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uno 01" sheetId="1" r:id="rId5"/>
    <sheet state="visible" name="bloco 01" sheetId="2" r:id="rId6"/>
    <sheet state="visible" name="aluno 02" sheetId="3" r:id="rId7"/>
    <sheet state="visible" name="bloco 02" sheetId="4" r:id="rId8"/>
    <sheet state="visible" name="aluno 03" sheetId="5" r:id="rId9"/>
    <sheet state="visible" name="bloco 03" sheetId="6" r:id="rId10"/>
    <sheet state="visible" name="prs" sheetId="7" r:id="rId11"/>
    <sheet state="visible" name="macro" sheetId="8" r:id="rId12"/>
  </sheets>
  <definedNames/>
  <calcPr/>
</workbook>
</file>

<file path=xl/sharedStrings.xml><?xml version="1.0" encoding="utf-8"?>
<sst xmlns="http://schemas.openxmlformats.org/spreadsheetml/2006/main" count="797" uniqueCount="55">
  <si>
    <t>BLOCO 01</t>
  </si>
  <si>
    <t>BLOCO 02</t>
  </si>
  <si>
    <t>PLANILHA DE TREINAMENTO</t>
  </si>
  <si>
    <t>NOME</t>
  </si>
  <si>
    <t>OBJETIVO</t>
  </si>
  <si>
    <t>TREINO 01</t>
  </si>
  <si>
    <t>SEGUNDA</t>
  </si>
  <si>
    <t>TERÇA</t>
  </si>
  <si>
    <t>QUARTA</t>
  </si>
  <si>
    <t>QUINTA</t>
  </si>
  <si>
    <t>SEXTA</t>
  </si>
  <si>
    <t>OBS</t>
  </si>
  <si>
    <t>AQC</t>
  </si>
  <si>
    <t>SETS</t>
  </si>
  <si>
    <t>REPS / TEMPO</t>
  </si>
  <si>
    <t>KG</t>
  </si>
  <si>
    <t>REPS</t>
  </si>
  <si>
    <t>%1RM</t>
  </si>
  <si>
    <t>exercícios</t>
  </si>
  <si>
    <t>pse</t>
  </si>
  <si>
    <t>SEMANA 01</t>
  </si>
  <si>
    <t>%1RM / PSE</t>
  </si>
  <si>
    <t>TREINO 02</t>
  </si>
  <si>
    <t>SEMANA 02</t>
  </si>
  <si>
    <t>SEMANA 03</t>
  </si>
  <si>
    <t>SEMANA 04</t>
  </si>
  <si>
    <t>TREINO 03</t>
  </si>
  <si>
    <t>TREINO 04</t>
  </si>
  <si>
    <t>BLOCO 03</t>
  </si>
  <si>
    <t>BLOCO</t>
  </si>
  <si>
    <t>bloco 01</t>
  </si>
  <si>
    <t>DATA</t>
  </si>
  <si>
    <t>Agachamento</t>
  </si>
  <si>
    <t>Supino</t>
  </si>
  <si>
    <t>Terra</t>
  </si>
  <si>
    <t>Desenvolvimento</t>
  </si>
  <si>
    <t>Remada</t>
  </si>
  <si>
    <t>Arranco</t>
  </si>
  <si>
    <t>Arremesso</t>
  </si>
  <si>
    <t>bloco 02</t>
  </si>
  <si>
    <t>bloco 03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</si>
  <si>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</si>
  <si>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</si>
  <si>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</si>
  <si>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</si>
  <si>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</si>
  <si>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</si>
  <si>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</si>
  <si>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</si>
  <si>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</si>
  <si>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</si>
  <si>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</si>
  <si>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</si>
  <si>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VTT</t>
  </si>
  <si>
    <t>VTR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</si>
</sst>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/&quot;mm"/>
    <numFmt numFmtId="165" formatCode="dd/mm"/>
    <numFmt numFmtId="166" formatCode="dd/MM/yyyy"/>
  </numFmts>
  <fonts count="21">
    <font>
      <sz val="10.0"/>
      <color rgb="FF000000"/>
      <name val="Arial"/>
      <scheme val="minor"/>
    </font>
    <font>
      <b/>
      <color rgb="FFFFFFFF"/>
      <name val="Arial"/>
    </font>
    <font>
      <sz val="12.0"/>
      <color rgb="FFFFFFFF"/>
      <name val="Arial"/>
    </font>
    <font>
      <b/>
      <sz val="20.0"/>
      <color theme="1"/>
      <name val="Arial"/>
    </font>
    <font>
      <b/>
      <sz val="12.0"/>
      <color theme="1"/>
      <name val="Arial"/>
    </font>
    <font>
      <sz val="10.0"/>
      <color rgb="FF000000"/>
      <name val="Arial"/>
    </font>
    <font>
      <color theme="1"/>
      <name val="Arial"/>
    </font>
    <font>
      <b/>
      <sz val="9.0"/>
      <color rgb="FFFFFFFF"/>
      <name val="Arial"/>
    </font>
    <font>
      <b/>
      <sz val="12.0"/>
      <color rgb="FFFFFFFF"/>
      <name val="Playfair Display"/>
    </font>
    <font>
      <color rgb="FFFFFFFF"/>
      <name val="Playfair Display"/>
    </font>
    <font>
      <color theme="1"/>
      <name val="Playfair Display"/>
    </font>
    <font>
      <color rgb="FFFFFFFF"/>
      <name val="Arial"/>
    </font>
    <font>
      <b/>
      <sz val="12.0"/>
      <color rgb="FFFFFFFF"/>
      <name val="Arial"/>
    </font>
    <font>
      <b/>
      <color rgb="FFFF0000"/>
      <name val="Arial"/>
    </font>
    <font>
      <b/>
      <color rgb="FF000000"/>
      <name val="Arial"/>
    </font>
    <font>
      <b/>
      <sz val="14.0"/>
      <color rgb="FFFFFFFF"/>
      <name val="Arial"/>
    </font>
    <font>
      <color rgb="FF000000"/>
      <name val="Arial"/>
    </font>
    <font>
      <b/>
      <sz val="16.0"/>
      <color rgb="FFFFFFFF"/>
      <name val="Arial"/>
    </font>
    <font>
      <b/>
      <color theme="1"/>
      <name val="Arial"/>
    </font>
    <font/>
    <font>
      <b/>
      <sz val="10.0"/>
      <color rgb="FFFFFF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</border>
    <border>
      <right style="medium">
        <color rgb="FF000000"/>
      </right>
    </border>
    <border>
      <top style="medium">
        <color rgb="FF000000"/>
      </top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F3F3F3"/>
      </right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2" fontId="1" numFmtId="0" xfId="0" applyFill="1" applyFont="1"/>
    <xf borderId="0" fillId="2" fontId="1" numFmtId="3" xfId="0" applyAlignment="1" applyFill="1" applyFont="1" applyNumberFormat="1">
      <alignment horizontal="center"/>
    </xf>
    <xf borderId="0" fillId="2" fontId="1" numFmtId="164" xfId="0" applyAlignment="1" applyFill="1" applyFont="1" applyNumberFormat="1">
      <alignment horizontal="center"/>
    </xf>
    <xf borderId="0" fillId="2" fontId="1" numFmtId="0" xfId="0" applyAlignment="1" applyFill="1" applyFont="1">
      <alignment horizontal="center"/>
    </xf>
    <xf borderId="0" fillId="2" fontId="1" numFmtId="0" xfId="0" applyAlignment="1" applyFill="1" applyFont="1">
      <alignment horizontal="right"/>
    </xf>
    <xf borderId="0" fillId="2" fontId="1" numFmtId="165" xfId="0" applyAlignment="1" applyFill="1" applyFont="1" applyNumberFormat="1">
      <alignment horizontal="left"/>
    </xf>
    <xf borderId="0" fillId="2" fontId="2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vertical="center"/>
    </xf>
    <xf borderId="0" fillId="0" fontId="5" numFmtId="0" xfId="0" applyFont="1"/>
    <xf borderId="0" fillId="3" fontId="1" numFmtId="0" xfId="0" applyAlignment="1" applyFill="1" applyFont="1">
      <alignment horizontal="center"/>
    </xf>
    <xf borderId="0" fillId="0" fontId="6" numFmtId="0" xfId="0" applyAlignment="1" applyFont="1">
      <alignment vertical="bottom"/>
    </xf>
    <xf borderId="0" fillId="2" fontId="7" numFmtId="0" xfId="0" applyFill="1" applyFont="1"/>
    <xf borderId="0" fillId="2" fontId="8" numFmtId="0" xfId="0" applyFill="1" applyFont="1"/>
    <xf borderId="0" fillId="2" fontId="4" numFmtId="0" xfId="0" applyFill="1" applyFont="1"/>
    <xf borderId="0" fillId="2" fontId="9" numFmtId="0" xfId="0" applyFill="1" applyFont="1"/>
    <xf borderId="0" fillId="0" fontId="6" numFmtId="0" xfId="0" applyFont="1"/>
    <xf borderId="0" fillId="2" fontId="10" numFmtId="0" xfId="0" applyFill="1" applyFont="1"/>
    <xf borderId="0" fillId="2" fontId="11" numFmtId="0" xfId="0" applyFill="1" applyFont="1"/>
    <xf borderId="0" fillId="2" fontId="6" numFmtId="0" xfId="0" applyFill="1" applyFont="1"/>
    <xf borderId="0" fillId="2" fontId="11" numFmtId="0" xfId="0" applyAlignment="1" applyFill="1" applyFont="1">
      <alignment horizontal="center"/>
    </xf>
    <xf borderId="0" fillId="2" fontId="12" numFmtId="0" xfId="0" applyAlignment="1" applyFill="1" applyFont="1">
      <alignment horizontal="center"/>
    </xf>
    <xf borderId="0" fillId="2" fontId="13" numFmtId="0" xfId="0" applyAlignment="1" applyFill="1" applyFont="1">
      <alignment horizontal="center"/>
    </xf>
    <xf borderId="0" fillId="0" fontId="14" numFmtId="0" xfId="0" applyAlignment="1" applyFont="1">
      <alignment horizontal="center"/>
    </xf>
    <xf borderId="0" fillId="2" fontId="14" numFmtId="0" xfId="0" applyAlignment="1" applyFill="1" applyFont="1">
      <alignment horizontal="center"/>
    </xf>
    <xf borderId="0" fillId="2" fontId="1" numFmtId="164" xfId="0" applyAlignment="1" applyFill="1" applyFont="1" applyNumberFormat="1">
      <alignment horizontal="center" vertical="bottom"/>
    </xf>
    <xf borderId="0" fillId="3" fontId="15" numFmtId="0" xfId="0" applyAlignment="1" applyFill="1" applyFont="1">
      <alignment horizontal="center" vertical="center"/>
    </xf>
    <xf borderId="0" fillId="3" fontId="11" numFmtId="0" xfId="0" applyAlignment="1" applyFill="1" applyFont="1">
      <alignment horizontal="center"/>
    </xf>
    <xf borderId="0" fillId="0" fontId="16" numFmtId="0" xfId="0" applyAlignment="1" applyFont="1">
      <alignment horizontal="center" vertical="center"/>
    </xf>
    <xf borderId="0" fillId="2" fontId="1" numFmtId="0" xfId="0" applyAlignment="1" applyFill="1" applyFont="1">
      <alignment vertical="bottom"/>
    </xf>
    <xf borderId="0" fillId="2" fontId="1" numFmtId="0" xfId="0" applyAlignment="1" applyFill="1" applyFont="1">
      <alignment horizontal="center" vertical="bottom"/>
    </xf>
    <xf borderId="0" fillId="0" fontId="6" numFmtId="0" xfId="0" applyAlignment="1" applyFont="1">
      <alignment horizontal="left"/>
    </xf>
    <xf borderId="0" fillId="0" fontId="6" numFmtId="0" xfId="0" applyAlignment="1" applyFont="1">
      <alignment horizontal="right"/>
    </xf>
    <xf borderId="0" fillId="0" fontId="6" numFmtId="0" xfId="0" applyAlignment="1" applyFont="1">
      <alignment horizontal="center"/>
    </xf>
    <xf borderId="0" fillId="4" fontId="6" numFmtId="0" xfId="0" applyAlignment="1" applyFill="1" applyFont="1">
      <alignment horizontal="left"/>
    </xf>
    <xf borderId="0" fillId="4" fontId="6" numFmtId="0" xfId="0" applyAlignment="1" applyFill="1" applyFont="1">
      <alignment horizontal="right"/>
    </xf>
    <xf borderId="1" fillId="2" fontId="1" numFmtId="0" xfId="0" applyAlignment="1" applyBorder="1" applyFill="1" applyFont="1">
      <alignment horizontal="center"/>
    </xf>
    <xf borderId="0" fillId="2" fontId="12" numFmtId="164" xfId="0" applyAlignment="1" applyFill="1" applyFont="1" applyNumberFormat="1">
      <alignment horizontal="center" vertical="center"/>
    </xf>
    <xf borderId="0" fillId="2" fontId="17" numFmtId="0" xfId="0" applyAlignment="1" applyFill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2" fillId="0" fontId="6" numFmtId="0" xfId="0" applyBorder="1" applyFont="1"/>
    <xf borderId="0" fillId="5" fontId="6" numFmtId="0" xfId="0" applyAlignment="1" applyFill="1" applyFont="1">
      <alignment horizontal="center"/>
    </xf>
    <xf borderId="2" fillId="5" fontId="6" numFmtId="0" xfId="0" applyAlignment="1" applyBorder="1" applyFill="1" applyFont="1">
      <alignment horizontal="center"/>
    </xf>
    <xf borderId="0" fillId="0" fontId="6" numFmtId="0" xfId="0" applyAlignment="1" applyFont="1">
      <alignment horizontal="center" vertical="bottom"/>
    </xf>
    <xf borderId="0" fillId="0" fontId="6" numFmtId="9" xfId="0" applyAlignment="1" applyFont="1" applyNumberFormat="1">
      <alignment horizontal="center" vertical="bottom"/>
    </xf>
    <xf borderId="0" fillId="3" fontId="6" numFmtId="0" xfId="0" applyAlignment="1" applyFill="1" applyFont="1">
      <alignment vertical="bottom"/>
    </xf>
    <xf borderId="0" fillId="0" fontId="6" numFmtId="9" xfId="0" applyAlignment="1" applyFont="1" applyNumberFormat="1">
      <alignment horizontal="center"/>
    </xf>
    <xf borderId="0" fillId="3" fontId="6" numFmtId="0" xfId="0" applyFill="1" applyFont="1"/>
    <xf borderId="0" fillId="5" fontId="6" numFmtId="0" xfId="0" applyAlignment="1" applyFill="1" applyFont="1">
      <alignment horizontal="center" vertical="bottom"/>
    </xf>
    <xf borderId="2" fillId="5" fontId="6" numFmtId="0" xfId="0" applyAlignment="1" applyBorder="1" applyFill="1" applyFont="1">
      <alignment horizontal="center" vertical="bottom"/>
    </xf>
    <xf borderId="0" fillId="2" fontId="6" numFmtId="0" xfId="0" applyAlignment="1" applyFill="1" applyFont="1">
      <alignment vertical="bottom"/>
    </xf>
    <xf borderId="2" fillId="0" fontId="6" numFmtId="0" xfId="0" applyAlignment="1" applyBorder="1" applyFont="1">
      <alignment vertical="bottom"/>
    </xf>
    <xf borderId="0" fillId="3" fontId="11" numFmtId="0" xfId="0" applyFill="1" applyFont="1"/>
    <xf borderId="0" fillId="3" fontId="18" numFmtId="0" xfId="0" applyAlignment="1" applyFill="1" applyFont="1">
      <alignment horizontal="right"/>
    </xf>
    <xf borderId="3" fillId="2" fontId="1" numFmtId="0" xfId="0" applyAlignment="1" applyBorder="1" applyFill="1" applyFont="1">
      <alignment horizontal="right"/>
    </xf>
    <xf borderId="3" fillId="2" fontId="11" numFmtId="0" xfId="0" applyBorder="1" applyFill="1" applyFont="1"/>
    <xf borderId="4" fillId="2" fontId="1" numFmtId="0" xfId="0" applyAlignment="1" applyBorder="1" applyFill="1" applyFont="1">
      <alignment horizontal="right"/>
    </xf>
    <xf borderId="4" fillId="2" fontId="11" numFmtId="166" xfId="0" applyAlignment="1" applyBorder="1" applyFill="1" applyFont="1" applyNumberFormat="1">
      <alignment horizontal="left"/>
    </xf>
    <xf borderId="5" fillId="2" fontId="1" numFmtId="0" xfId="0" applyAlignment="1" applyBorder="1" applyFill="1" applyFont="1">
      <alignment horizontal="center" vertical="bottom"/>
    </xf>
    <xf borderId="3" fillId="2" fontId="1" numFmtId="0" xfId="0" applyBorder="1" applyFill="1" applyFont="1"/>
    <xf borderId="3" fillId="2" fontId="1" numFmtId="0" xfId="0" applyAlignment="1" applyBorder="1" applyFill="1" applyFont="1">
      <alignment horizontal="center"/>
    </xf>
    <xf borderId="3" fillId="2" fontId="1" numFmtId="9" xfId="0" applyAlignment="1" applyBorder="1" applyFill="1" applyFont="1" applyNumberFormat="1">
      <alignment horizontal="center" vertical="bottom"/>
    </xf>
    <xf borderId="6" fillId="2" fontId="1" numFmtId="9" xfId="0" applyAlignment="1" applyBorder="1" applyFill="1" applyFont="1" applyNumberFormat="1">
      <alignment horizontal="center" vertical="bottom"/>
    </xf>
    <xf borderId="7" fillId="0" fontId="6" numFmtId="0" xfId="0" applyAlignment="1" applyBorder="1" applyFont="1">
      <alignment vertical="bottom"/>
    </xf>
    <xf borderId="5" fillId="5" fontId="6" numFmtId="0" xfId="0" applyAlignment="1" applyBorder="1" applyFill="1" applyFont="1">
      <alignment horizontal="center"/>
    </xf>
    <xf borderId="6" fillId="5" fontId="6" numFmtId="0" xfId="0" applyAlignment="1" applyBorder="1" applyFill="1" applyFont="1">
      <alignment horizontal="center"/>
    </xf>
    <xf borderId="0" fillId="4" fontId="16" numFmtId="1" xfId="0" applyAlignment="1" applyFill="1" applyFont="1" applyNumberFormat="1">
      <alignment horizontal="center" vertical="bottom"/>
    </xf>
    <xf borderId="2" fillId="4" fontId="16" numFmtId="1" xfId="0" applyAlignment="1" applyBorder="1" applyFill="1" applyFont="1" applyNumberFormat="1">
      <alignment horizontal="center" vertical="bottom"/>
    </xf>
    <xf borderId="7" fillId="5" fontId="6" numFmtId="0" xfId="0" applyAlignment="1" applyBorder="1" applyFill="1" applyFont="1">
      <alignment horizontal="center"/>
    </xf>
    <xf borderId="7" fillId="5" fontId="6" numFmtId="0" xfId="0" applyAlignment="1" applyBorder="1" applyFill="1" applyFont="1">
      <alignment horizontal="center" vertical="bottom"/>
    </xf>
    <xf borderId="8" fillId="0" fontId="6" numFmtId="0" xfId="0" applyAlignment="1" applyBorder="1" applyFont="1">
      <alignment vertical="bottom"/>
    </xf>
    <xf borderId="8" fillId="5" fontId="6" numFmtId="0" xfId="0" applyAlignment="1" applyBorder="1" applyFill="1" applyFont="1">
      <alignment horizontal="center" vertical="bottom"/>
    </xf>
    <xf borderId="9" fillId="5" fontId="6" numFmtId="0" xfId="0" applyAlignment="1" applyBorder="1" applyFill="1" applyFont="1">
      <alignment horizontal="center" vertical="bottom"/>
    </xf>
    <xf borderId="4" fillId="4" fontId="16" numFmtId="1" xfId="0" applyAlignment="1" applyBorder="1" applyFill="1" applyFont="1" applyNumberFormat="1">
      <alignment horizontal="center" vertical="bottom"/>
    </xf>
    <xf borderId="9" fillId="4" fontId="16" numFmtId="1" xfId="0" applyAlignment="1" applyBorder="1" applyFill="1" applyFont="1" applyNumberFormat="1">
      <alignment horizontal="center" vertical="bottom"/>
    </xf>
    <xf borderId="3" fillId="4" fontId="16" numFmtId="1" xfId="0" applyAlignment="1" applyBorder="1" applyFill="1" applyFont="1" applyNumberFormat="1">
      <alignment horizontal="center" vertical="bottom"/>
    </xf>
    <xf borderId="6" fillId="4" fontId="16" numFmtId="1" xfId="0" applyAlignment="1" applyBorder="1" applyFill="1" applyFont="1" applyNumberFormat="1">
      <alignment horizontal="center" vertical="bottom"/>
    </xf>
    <xf borderId="10" fillId="0" fontId="6" numFmtId="0" xfId="0" applyAlignment="1" applyBorder="1" applyFont="1">
      <alignment vertical="bottom"/>
    </xf>
    <xf borderId="0" fillId="2" fontId="1" numFmtId="9" xfId="0" applyAlignment="1" applyFill="1" applyFont="1" applyNumberFormat="1">
      <alignment horizontal="center" vertical="bottom"/>
    </xf>
    <xf borderId="11" fillId="0" fontId="6" numFmtId="0" xfId="0" applyAlignment="1" applyBorder="1" applyFont="1">
      <alignment vertical="bottom"/>
    </xf>
    <xf borderId="0" fillId="5" fontId="6" numFmtId="0" xfId="0" applyFill="1" applyFont="1"/>
    <xf borderId="0" fillId="5" fontId="18" numFmtId="0" xfId="0" applyAlignment="1" applyFill="1" applyFont="1">
      <alignment horizontal="center"/>
    </xf>
    <xf borderId="12" fillId="0" fontId="19" numFmtId="0" xfId="0" applyBorder="1" applyFont="1"/>
    <xf borderId="0" fillId="2" fontId="1" numFmtId="0" xfId="0" applyAlignment="1" applyFill="1" applyFont="1">
      <alignment vertical="center"/>
    </xf>
    <xf borderId="0" fillId="2" fontId="1" numFmtId="0" xfId="0" applyAlignment="1" applyFill="1" applyFont="1">
      <alignment horizontal="center" vertical="center"/>
    </xf>
    <xf borderId="12" fillId="2" fontId="1" numFmtId="0" xfId="0" applyAlignment="1" applyBorder="1" applyFill="1" applyFont="1">
      <alignment horizontal="center" vertical="center"/>
    </xf>
    <xf borderId="0" fillId="2" fontId="1" numFmtId="0" xfId="0" applyAlignment="1" applyFill="1" applyFont="1">
      <alignment horizontal="right" vertical="center"/>
    </xf>
    <xf borderId="0" fillId="2" fontId="11" numFmtId="3" xfId="0" applyAlignment="1" applyFill="1" applyFont="1" applyNumberFormat="1">
      <alignment horizontal="center" vertical="center"/>
    </xf>
    <xf borderId="12" fillId="2" fontId="11" numFmtId="3" xfId="0" applyAlignment="1" applyBorder="1" applyFill="1" applyFont="1" applyNumberFormat="1">
      <alignment horizontal="center" vertical="center"/>
    </xf>
    <xf borderId="0" fillId="2" fontId="11" numFmtId="9" xfId="0" applyAlignment="1" applyFill="1" applyFont="1" applyNumberFormat="1">
      <alignment horizontal="center" vertical="center"/>
    </xf>
    <xf borderId="12" fillId="2" fontId="11" numFmtId="9" xfId="0" applyAlignment="1" applyBorder="1" applyFill="1" applyFont="1" applyNumberFormat="1">
      <alignment horizontal="center" vertical="center"/>
    </xf>
    <xf borderId="0" fillId="3" fontId="1" numFmtId="0" xfId="0" applyAlignment="1" applyFill="1" applyFont="1">
      <alignment horizontal="right" vertical="center"/>
    </xf>
    <xf borderId="0" fillId="3" fontId="1" numFmtId="164" xfId="0" applyAlignment="1" applyFill="1" applyFont="1" applyNumberFormat="1">
      <alignment horizontal="center" vertical="center"/>
    </xf>
    <xf borderId="12" fillId="3" fontId="1" numFmtId="164" xfId="0" applyAlignment="1" applyBorder="1" applyFill="1" applyFont="1" applyNumberFormat="1">
      <alignment horizontal="center" vertical="center"/>
    </xf>
    <xf borderId="0" fillId="3" fontId="20" numFmtId="49" xfId="0" applyAlignment="1" applyFill="1" applyFont="1" applyNumberFormat="1">
      <alignment horizontal="left" vertical="center"/>
    </xf>
    <xf borderId="12" fillId="3" fontId="20" numFmtId="49" xfId="0" applyAlignment="1" applyBorder="1" applyFill="1" applyFont="1" applyNumberFormat="1">
      <alignment horizontal="left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VTT x VTR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macro!$A$3</c:f>
            </c:strRef>
          </c:tx>
          <c:spPr>
            <a:solidFill>
              <a:srgbClr val="1C4587"/>
            </a:solidFill>
            <a:ln cmpd="sng">
              <a:noFill/>
            </a:ln>
          </c:spPr>
          <c:invertIfNegative val="0"/>
          <c:cat>
            <c:strRef>
              <c:f>macro!$B$2:$M$2</c:f>
            </c:strRef>
          </c:cat>
          <c:val>
            <c:numRef>
              <c:f>macro!$B$3:$M$3</c:f>
              <c:numCache/>
            </c:numRef>
          </c:val>
        </c:ser>
        <c:axId val="1432362599"/>
        <c:axId val="1795819112"/>
      </c:barChart>
      <c:lineChart>
        <c:varyColors val="0"/>
        <c:ser>
          <c:idx val="1"/>
          <c:order val="1"/>
          <c:tx>
            <c:strRef>
              <c:f>macro!$A$4</c:f>
            </c:strRef>
          </c:tx>
          <c:spPr>
            <a:ln cmpd="sng">
              <a:solidFill>
                <a:srgbClr val="FF9900"/>
              </a:solidFill>
            </a:ln>
          </c:spPr>
          <c:marker>
            <c:symbol val="none"/>
          </c:marker>
          <c:cat>
            <c:strRef>
              <c:f>macro!$B$2:$M$2</c:f>
            </c:strRef>
          </c:cat>
          <c:val>
            <c:numRef>
              <c:f>macro!$B$4:$M$4</c:f>
              <c:numCache/>
            </c:numRef>
          </c:val>
          <c:smooth val="0"/>
        </c:ser>
        <c:axId val="1432362599"/>
        <c:axId val="1795819112"/>
      </c:lineChart>
      <c:catAx>
        <c:axId val="1432362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95819112"/>
      </c:catAx>
      <c:valAx>
        <c:axId val="1795819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43236259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115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182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249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115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182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249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115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182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249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447675</xdr:rowOff>
    </xdr:from>
    <xdr:ext cx="9420225" cy="24574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8"/>
      <c r="B1" s="9" t="s">
        <v>2</v>
      </c>
    </row>
    <row r="2" ht="15.75" customHeight="1">
      <c r="B2" s="10" t="s">
        <v>3</v>
      </c>
      <c r="C2" s="11"/>
    </row>
    <row r="3" ht="15.75" customHeight="1">
      <c r="B3" s="10" t="s">
        <v>4</v>
      </c>
      <c r="C3" s="13"/>
    </row>
    <row r="4" ht="15.75" customHeight="1">
      <c r="A4" s="14"/>
      <c r="B4" s="15"/>
      <c r="C4" s="16"/>
      <c r="D4" s="17"/>
      <c r="E4" s="19"/>
      <c r="F4" s="21"/>
      <c r="G4" s="21"/>
    </row>
    <row r="5" ht="15.75" customHeight="1">
      <c r="A5" s="22"/>
      <c r="B5" s="23" t="s">
        <v>6</v>
      </c>
      <c r="C5" s="23" t="s">
        <v>7</v>
      </c>
      <c r="D5" s="23" t="s">
        <v>8</v>
      </c>
      <c r="E5" s="23" t="s">
        <v>9</v>
      </c>
      <c r="F5" s="23" t="s">
        <v>10</v>
      </c>
      <c r="G5" s="5"/>
    </row>
    <row r="6" ht="15.75" customHeight="1">
      <c r="A6" s="24"/>
      <c r="B6" s="25"/>
      <c r="C6" s="25"/>
      <c r="D6" s="25"/>
      <c r="E6" s="25"/>
      <c r="F6" s="25"/>
      <c r="G6" s="5"/>
    </row>
    <row r="7" ht="15.75" customHeight="1">
      <c r="A7" s="24"/>
      <c r="B7" s="26"/>
      <c r="C7" s="26"/>
      <c r="D7" s="26"/>
      <c r="E7" s="26"/>
      <c r="F7" s="26"/>
      <c r="G7" s="26"/>
    </row>
    <row r="8" ht="15.75" customHeight="1">
      <c r="A8" s="28" t="s">
        <v>11</v>
      </c>
    </row>
    <row r="9" ht="15.75" customHeight="1">
      <c r="A9" s="30"/>
    </row>
    <row r="10" ht="15.75" customHeight="1"/>
    <row r="11" ht="15.75" customHeight="1">
      <c r="A11" s="28" t="s">
        <v>12</v>
      </c>
    </row>
    <row r="12" ht="15.75" customHeight="1">
      <c r="A12" s="2"/>
      <c r="B12" s="31" t="s">
        <v>13</v>
      </c>
      <c r="C12" s="31" t="s">
        <v>14</v>
      </c>
      <c r="D12" s="32" t="s">
        <v>15</v>
      </c>
      <c r="E12" s="32" t="s">
        <v>11</v>
      </c>
    </row>
    <row r="13" ht="15.75" customHeight="1">
      <c r="A13" s="33"/>
      <c r="B13" s="34"/>
      <c r="C13" s="34"/>
      <c r="D13" s="34"/>
      <c r="E13" s="35"/>
    </row>
    <row r="14" ht="15.75" customHeight="1">
      <c r="A14" s="36"/>
      <c r="B14" s="37"/>
      <c r="C14" s="37"/>
      <c r="D14" s="34"/>
      <c r="E14" s="35"/>
    </row>
    <row r="15" ht="15.75" customHeight="1">
      <c r="A15" s="33"/>
      <c r="B15" s="34"/>
      <c r="C15" s="34"/>
      <c r="D15" s="34"/>
      <c r="E15" s="35"/>
    </row>
    <row r="16" ht="15.75" customHeight="1">
      <c r="A16" s="39">
        <f>'bloco 01'!C3</f>
        <v>46296</v>
      </c>
    </row>
    <row r="17" ht="15.75" customHeight="1">
      <c r="A17" s="40" t="s">
        <v>20</v>
      </c>
    </row>
    <row r="18" ht="15.75" customHeight="1">
      <c r="A18" s="28" t="s">
        <v>5</v>
      </c>
    </row>
    <row r="19" ht="15.75" customHeight="1">
      <c r="A19" s="31"/>
      <c r="B19" s="31" t="s">
        <v>13</v>
      </c>
      <c r="C19" s="32" t="s">
        <v>16</v>
      </c>
      <c r="D19" s="32" t="s">
        <v>15</v>
      </c>
      <c r="E19" s="32" t="s">
        <v>21</v>
      </c>
      <c r="F19" s="32" t="s">
        <v>11</v>
      </c>
    </row>
    <row r="20" ht="15.75" customHeight="1">
      <c r="A20" s="13" t="str">
        <f>'bloco 01'!$B$6</f>
        <v/>
      </c>
      <c r="B20" s="45" t="str">
        <f>'bloco 01'!C6</f>
        <v/>
      </c>
      <c r="C20" s="45" t="str">
        <f>'bloco 01'!D6</f>
        <v/>
      </c>
      <c r="D20" s="45" t="str">
        <f>'bloco 01'!E6</f>
        <v/>
      </c>
      <c r="E20" s="46" t="str">
        <f>IFERROR(('bloco 01'!F6),"")</f>
        <v/>
      </c>
      <c r="F20" s="48" t="str">
        <f>'bloco 01'!G6</f>
        <v/>
      </c>
    </row>
    <row r="21" ht="15.75" customHeight="1">
      <c r="A21" s="13" t="str">
        <f>'bloco 01'!$B$7</f>
        <v/>
      </c>
      <c r="B21" s="45" t="str">
        <f>'bloco 01'!C7</f>
        <v/>
      </c>
      <c r="C21" s="45" t="str">
        <f>'bloco 01'!D7</f>
        <v/>
      </c>
      <c r="D21" s="45" t="str">
        <f>'bloco 01'!E7</f>
        <v/>
      </c>
      <c r="E21" s="46" t="str">
        <f>IFERROR(('bloco 01'!F7),"")</f>
        <v/>
      </c>
      <c r="F21" s="48" t="str">
        <f>'bloco 01'!G7</f>
        <v/>
      </c>
    </row>
    <row r="22" ht="15.75" customHeight="1">
      <c r="A22" s="13" t="str">
        <f>'bloco 01'!$B$8</f>
        <v/>
      </c>
      <c r="B22" s="45" t="str">
        <f>'bloco 01'!C8</f>
        <v/>
      </c>
      <c r="C22" s="45" t="str">
        <f>'bloco 01'!D8</f>
        <v/>
      </c>
      <c r="D22" s="45" t="str">
        <f>'bloco 01'!E8</f>
        <v/>
      </c>
      <c r="E22" s="46" t="str">
        <f>IFERROR(('bloco 01'!F8),"")</f>
        <v/>
      </c>
      <c r="F22" s="48" t="str">
        <f>'bloco 01'!G8</f>
        <v/>
      </c>
    </row>
    <row r="23" ht="15.75" customHeight="1">
      <c r="A23" s="13" t="str">
        <f>'bloco 01'!$B$9</f>
        <v/>
      </c>
      <c r="B23" s="45" t="str">
        <f>'bloco 01'!C9</f>
        <v/>
      </c>
      <c r="C23" s="45" t="str">
        <f>'bloco 01'!D9</f>
        <v/>
      </c>
      <c r="D23" s="45" t="str">
        <f>'bloco 01'!E9</f>
        <v/>
      </c>
      <c r="E23" s="46" t="str">
        <f>IFERROR(('bloco 01'!F9),"")</f>
        <v/>
      </c>
      <c r="F23" s="48" t="str">
        <f>'bloco 01'!G9</f>
        <v/>
      </c>
    </row>
    <row r="24" ht="15.75" customHeight="1">
      <c r="A24" s="13" t="str">
        <f>'bloco 01'!$B$10</f>
        <v/>
      </c>
      <c r="B24" s="45" t="str">
        <f>'bloco 01'!C10</f>
        <v/>
      </c>
      <c r="C24" s="45" t="str">
        <f>'bloco 01'!D10</f>
        <v/>
      </c>
      <c r="D24" s="45" t="str">
        <f>'bloco 01'!E10</f>
        <v/>
      </c>
      <c r="E24" s="46" t="str">
        <f>IFERROR(('bloco 01'!F10),"")</f>
        <v/>
      </c>
      <c r="F24" s="48" t="str">
        <f>'bloco 01'!G10</f>
        <v/>
      </c>
    </row>
    <row r="25" ht="15.75" customHeight="1">
      <c r="A25" s="13" t="str">
        <f>'bloco 01'!$B$11</f>
        <v/>
      </c>
      <c r="B25" s="45" t="str">
        <f>'bloco 01'!C11</f>
        <v/>
      </c>
      <c r="C25" s="45" t="str">
        <f>'bloco 01'!D11</f>
        <v/>
      </c>
      <c r="D25" s="45" t="str">
        <f>'bloco 01'!E11</f>
        <v/>
      </c>
      <c r="E25" s="46" t="str">
        <f>IFERROR(('bloco 01'!F11),"")</f>
        <v/>
      </c>
      <c r="F25" s="48" t="str">
        <f>'bloco 01'!G11</f>
        <v/>
      </c>
    </row>
    <row r="26" ht="15.75" customHeight="1">
      <c r="A26" s="13" t="str">
        <f>'bloco 01'!$B$12</f>
        <v/>
      </c>
      <c r="B26" s="45" t="str">
        <f>'bloco 01'!C12</f>
        <v/>
      </c>
      <c r="C26" s="45" t="str">
        <f>'bloco 01'!D12</f>
        <v/>
      </c>
      <c r="D26" s="45" t="str">
        <f>'bloco 01'!E12</f>
        <v/>
      </c>
      <c r="E26" s="46" t="str">
        <f>IFERROR(('bloco 01'!F12),"")</f>
        <v/>
      </c>
      <c r="F26" s="48" t="str">
        <f>'bloco 01'!G12</f>
        <v/>
      </c>
    </row>
    <row r="27" ht="15.75" customHeight="1">
      <c r="A27" s="13" t="str">
        <f>'bloco 01'!$B$13</f>
        <v/>
      </c>
      <c r="B27" s="45" t="str">
        <f>'bloco 01'!C13</f>
        <v/>
      </c>
      <c r="C27" s="45" t="str">
        <f>'bloco 01'!D13</f>
        <v/>
      </c>
      <c r="D27" s="45" t="str">
        <f>'bloco 01'!E13</f>
        <v/>
      </c>
      <c r="E27" s="46" t="str">
        <f>IFERROR(('bloco 01'!F13),"")</f>
        <v/>
      </c>
      <c r="F27" s="48" t="str">
        <f>'bloco 01'!G13</f>
        <v/>
      </c>
    </row>
    <row r="28" ht="15.75" customHeight="1">
      <c r="A28" s="13" t="str">
        <f>'bloco 01'!$B$14</f>
        <v/>
      </c>
      <c r="B28" s="45" t="str">
        <f>'bloco 01'!C14</f>
        <v/>
      </c>
      <c r="C28" s="45" t="str">
        <f>'bloco 01'!D14</f>
        <v/>
      </c>
      <c r="D28" s="45" t="str">
        <f>'bloco 01'!E14</f>
        <v/>
      </c>
      <c r="E28" s="46" t="str">
        <f>IFERROR(('bloco 01'!F14),"")</f>
        <v/>
      </c>
      <c r="F28" s="48" t="str">
        <f>'bloco 01'!G14</f>
        <v/>
      </c>
    </row>
    <row r="29" ht="15.75" customHeight="1">
      <c r="A29" s="13" t="str">
        <f>'bloco 01'!$B$15</f>
        <v/>
      </c>
      <c r="B29" s="45" t="str">
        <f>'bloco 01'!C15</f>
        <v/>
      </c>
      <c r="C29" s="45" t="str">
        <f>'bloco 01'!D15</f>
        <v/>
      </c>
      <c r="D29" s="45" t="str">
        <f>'bloco 01'!E15</f>
        <v/>
      </c>
      <c r="E29" s="46" t="str">
        <f>IFERROR(('bloco 01'!F15),"")</f>
        <v/>
      </c>
      <c r="F29" s="48" t="str">
        <f>'bloco 01'!G15</f>
        <v/>
      </c>
    </row>
    <row r="30" ht="15.75" customHeight="1">
      <c r="A30" s="28" t="s">
        <v>22</v>
      </c>
    </row>
    <row r="31" ht="15.75" customHeight="1">
      <c r="A31" s="31"/>
      <c r="B31" s="31" t="s">
        <v>13</v>
      </c>
      <c r="C31" s="32" t="s">
        <v>16</v>
      </c>
      <c r="D31" s="32" t="s">
        <v>15</v>
      </c>
      <c r="E31" s="32" t="s">
        <v>21</v>
      </c>
      <c r="F31" s="32" t="s">
        <v>11</v>
      </c>
    </row>
    <row r="32" ht="15.75" customHeight="1">
      <c r="A32" s="13" t="str">
        <f>'bloco 01'!$B$21</f>
        <v/>
      </c>
      <c r="B32" s="45" t="str">
        <f>'bloco 01'!C21</f>
        <v/>
      </c>
      <c r="C32" s="45" t="str">
        <f>'bloco 01'!D21</f>
        <v/>
      </c>
      <c r="D32" s="45" t="str">
        <f>'bloco 01'!E21</f>
        <v/>
      </c>
      <c r="E32" s="46" t="str">
        <f>IFERROR(('bloco 01'!F21),"")</f>
        <v/>
      </c>
      <c r="F32" s="48" t="str">
        <f>'bloco 01'!G21</f>
        <v/>
      </c>
    </row>
    <row r="33" ht="15.75" customHeight="1">
      <c r="A33" s="13" t="str">
        <f>'bloco 01'!$B$22</f>
        <v/>
      </c>
      <c r="B33" s="45" t="str">
        <f>'bloco 01'!C22</f>
        <v/>
      </c>
      <c r="C33" s="45" t="str">
        <f>'bloco 01'!D22</f>
        <v/>
      </c>
      <c r="D33" s="45" t="str">
        <f>'bloco 01'!E22</f>
        <v/>
      </c>
      <c r="E33" s="46" t="str">
        <f>IFERROR(('bloco 01'!F22),"")</f>
        <v/>
      </c>
      <c r="F33" s="48" t="str">
        <f>'bloco 01'!G22</f>
        <v/>
      </c>
    </row>
    <row r="34" ht="15.75" customHeight="1">
      <c r="A34" s="13" t="str">
        <f>'bloco 01'!$B$23</f>
        <v/>
      </c>
      <c r="B34" s="45" t="str">
        <f>'bloco 01'!C23</f>
        <v/>
      </c>
      <c r="C34" s="45" t="str">
        <f>'bloco 01'!D23</f>
        <v/>
      </c>
      <c r="D34" s="45" t="str">
        <f>'bloco 01'!E23</f>
        <v/>
      </c>
      <c r="E34" s="46" t="str">
        <f>IFERROR(('bloco 01'!F23),"")</f>
        <v/>
      </c>
      <c r="F34" s="48" t="str">
        <f>'bloco 01'!G23</f>
        <v/>
      </c>
    </row>
    <row r="35" ht="15.75" customHeight="1">
      <c r="A35" s="13" t="str">
        <f>'bloco 01'!$B$24</f>
        <v/>
      </c>
      <c r="B35" s="45" t="str">
        <f>'bloco 01'!C24</f>
        <v/>
      </c>
      <c r="C35" s="45" t="str">
        <f>'bloco 01'!D24</f>
        <v/>
      </c>
      <c r="D35" s="45" t="str">
        <f>'bloco 01'!E24</f>
        <v/>
      </c>
      <c r="E35" s="46" t="str">
        <f>IFERROR(('bloco 01'!F24),"")</f>
        <v/>
      </c>
      <c r="F35" s="48" t="str">
        <f>'bloco 01'!G24</f>
        <v/>
      </c>
    </row>
    <row r="36" ht="15.75" customHeight="1">
      <c r="A36" s="13" t="str">
        <f>'bloco 01'!$B$25</f>
        <v/>
      </c>
      <c r="B36" s="45" t="str">
        <f>'bloco 01'!C25</f>
        <v/>
      </c>
      <c r="C36" s="45" t="str">
        <f>'bloco 01'!D25</f>
        <v/>
      </c>
      <c r="D36" s="45" t="str">
        <f>'bloco 01'!E25</f>
        <v/>
      </c>
      <c r="E36" s="46" t="str">
        <f>IFERROR(('bloco 01'!F25),"")</f>
        <v/>
      </c>
      <c r="F36" s="48" t="str">
        <f>'bloco 01'!G25</f>
        <v/>
      </c>
    </row>
    <row r="37" ht="15.75" customHeight="1">
      <c r="A37" s="13" t="str">
        <f>'bloco 01'!$B$26</f>
        <v/>
      </c>
      <c r="B37" s="45" t="str">
        <f>'bloco 01'!C26</f>
        <v/>
      </c>
      <c r="C37" s="45" t="str">
        <f>'bloco 01'!D26</f>
        <v/>
      </c>
      <c r="D37" s="45" t="str">
        <f>'bloco 01'!E26</f>
        <v/>
      </c>
      <c r="E37" s="46" t="str">
        <f>IFERROR(('bloco 01'!F26),"")</f>
        <v/>
      </c>
      <c r="F37" s="48" t="str">
        <f>'bloco 01'!G26</f>
        <v/>
      </c>
    </row>
    <row r="38" ht="15.75" customHeight="1">
      <c r="A38" s="13" t="str">
        <f>'bloco 01'!$B$27</f>
        <v/>
      </c>
      <c r="B38" s="45" t="str">
        <f>'bloco 01'!C27</f>
        <v/>
      </c>
      <c r="C38" s="45" t="str">
        <f>'bloco 01'!D27</f>
        <v/>
      </c>
      <c r="D38" s="45" t="str">
        <f>'bloco 01'!E27</f>
        <v/>
      </c>
      <c r="E38" s="46" t="str">
        <f>IFERROR(('bloco 01'!F27),"")</f>
        <v/>
      </c>
      <c r="F38" s="48" t="str">
        <f>'bloco 01'!G27</f>
        <v/>
      </c>
    </row>
    <row r="39" ht="15.75" customHeight="1">
      <c r="A39" s="13" t="str">
        <f>'bloco 01'!$B$28</f>
        <v/>
      </c>
      <c r="B39" s="45" t="str">
        <f>'bloco 01'!C28</f>
        <v/>
      </c>
      <c r="C39" s="45" t="str">
        <f>'bloco 01'!D28</f>
        <v/>
      </c>
      <c r="D39" s="45" t="str">
        <f>'bloco 01'!E28</f>
        <v/>
      </c>
      <c r="E39" s="46" t="str">
        <f>IFERROR(('bloco 01'!F28),"")</f>
        <v/>
      </c>
      <c r="F39" s="48" t="str">
        <f>'bloco 01'!G28</f>
        <v/>
      </c>
    </row>
    <row r="40" ht="15.75" customHeight="1">
      <c r="A40" s="13" t="str">
        <f>'bloco 01'!$B$29</f>
        <v/>
      </c>
      <c r="B40" s="45" t="str">
        <f>'bloco 01'!C29</f>
        <v/>
      </c>
      <c r="C40" s="45" t="str">
        <f>'bloco 01'!D29</f>
        <v/>
      </c>
      <c r="D40" s="45" t="str">
        <f>'bloco 01'!E29</f>
        <v/>
      </c>
      <c r="E40" s="46" t="str">
        <f>IFERROR(('bloco 01'!F29),"")</f>
        <v/>
      </c>
      <c r="F40" s="48" t="str">
        <f>'bloco 01'!G29</f>
        <v/>
      </c>
    </row>
    <row r="41" ht="15.75" customHeight="1">
      <c r="A41" s="13" t="str">
        <f>'bloco 01'!$B$30</f>
        <v/>
      </c>
      <c r="B41" s="45" t="str">
        <f>'bloco 01'!C30</f>
        <v/>
      </c>
      <c r="C41" s="45" t="str">
        <f>'bloco 01'!D30</f>
        <v/>
      </c>
      <c r="D41" s="45" t="str">
        <f>'bloco 01'!E30</f>
        <v/>
      </c>
      <c r="E41" s="46" t="str">
        <f>IFERROR(('bloco 01'!F30),"")</f>
        <v/>
      </c>
      <c r="F41" s="48" t="str">
        <f>'bloco 01'!G30</f>
        <v/>
      </c>
    </row>
    <row r="42" ht="15.75" customHeight="1">
      <c r="A42" s="28" t="s">
        <v>26</v>
      </c>
    </row>
    <row r="43" ht="15.75" customHeight="1">
      <c r="A43" s="31"/>
      <c r="B43" s="31" t="s">
        <v>13</v>
      </c>
      <c r="C43" s="32" t="s">
        <v>16</v>
      </c>
      <c r="D43" s="32" t="s">
        <v>15</v>
      </c>
      <c r="E43" s="32" t="s">
        <v>21</v>
      </c>
      <c r="F43" s="32" t="s">
        <v>11</v>
      </c>
    </row>
    <row r="44" ht="15.75" customHeight="1">
      <c r="A44" s="13" t="str">
        <f>'bloco 01'!$B$36</f>
        <v/>
      </c>
      <c r="B44" s="45" t="str">
        <f>'bloco 01'!C36</f>
        <v/>
      </c>
      <c r="C44" s="45" t="str">
        <f>'bloco 01'!D36</f>
        <v/>
      </c>
      <c r="D44" s="45" t="str">
        <f>'bloco 01'!E36</f>
        <v/>
      </c>
      <c r="E44" s="46" t="str">
        <f>IFERROR(('bloco 01'!F36),"")</f>
        <v/>
      </c>
      <c r="F44" s="48" t="str">
        <f>'bloco 01'!G36</f>
        <v/>
      </c>
    </row>
    <row r="45" ht="15.75" customHeight="1">
      <c r="A45" s="13" t="str">
        <f>'bloco 01'!$B$37</f>
        <v/>
      </c>
      <c r="B45" s="45" t="str">
        <f>'bloco 01'!C37</f>
        <v/>
      </c>
      <c r="C45" s="45" t="str">
        <f>'bloco 01'!D37</f>
        <v/>
      </c>
      <c r="D45" s="45" t="str">
        <f>'bloco 01'!E37</f>
        <v/>
      </c>
      <c r="E45" s="46" t="str">
        <f>IFERROR(('bloco 01'!F37),"")</f>
        <v/>
      </c>
      <c r="F45" s="48" t="str">
        <f>'bloco 01'!G37</f>
        <v/>
      </c>
    </row>
    <row r="46" ht="15.75" customHeight="1">
      <c r="A46" s="13" t="str">
        <f>'bloco 01'!$B$38</f>
        <v/>
      </c>
      <c r="B46" s="45" t="str">
        <f>'bloco 01'!C38</f>
        <v/>
      </c>
      <c r="C46" s="45" t="str">
        <f>'bloco 01'!D38</f>
        <v/>
      </c>
      <c r="D46" s="45" t="str">
        <f>'bloco 01'!E38</f>
        <v/>
      </c>
      <c r="E46" s="46" t="str">
        <f>IFERROR(('bloco 01'!F38),"")</f>
        <v/>
      </c>
      <c r="F46" s="48" t="str">
        <f>'bloco 01'!G38</f>
        <v/>
      </c>
    </row>
    <row r="47" ht="15.75" customHeight="1">
      <c r="A47" s="13" t="str">
        <f>'bloco 01'!$B$39</f>
        <v/>
      </c>
      <c r="B47" s="45" t="str">
        <f>'bloco 01'!C39</f>
        <v/>
      </c>
      <c r="C47" s="45" t="str">
        <f>'bloco 01'!D39</f>
        <v/>
      </c>
      <c r="D47" s="45" t="str">
        <f>'bloco 01'!E39</f>
        <v/>
      </c>
      <c r="E47" s="46" t="str">
        <f>IFERROR(('bloco 01'!F39),"")</f>
        <v/>
      </c>
      <c r="F47" s="48" t="str">
        <f>'bloco 01'!G39</f>
        <v/>
      </c>
    </row>
    <row r="48" ht="15.75" customHeight="1">
      <c r="A48" s="13" t="str">
        <f>'bloco 01'!$B$40</f>
        <v/>
      </c>
      <c r="B48" s="45" t="str">
        <f>'bloco 01'!C40</f>
        <v/>
      </c>
      <c r="C48" s="45" t="str">
        <f>'bloco 01'!D40</f>
        <v/>
      </c>
      <c r="D48" s="45" t="str">
        <f>'bloco 01'!E40</f>
        <v/>
      </c>
      <c r="E48" s="46" t="str">
        <f>IFERROR(('bloco 01'!F40),"")</f>
        <v/>
      </c>
      <c r="F48" s="48" t="str">
        <f>'bloco 01'!G40</f>
        <v/>
      </c>
    </row>
    <row r="49" ht="15.75" customHeight="1">
      <c r="A49" s="13" t="str">
        <f>'bloco 01'!$B$41</f>
        <v/>
      </c>
      <c r="B49" s="45" t="str">
        <f>'bloco 01'!C41</f>
        <v/>
      </c>
      <c r="C49" s="45" t="str">
        <f>'bloco 01'!D41</f>
        <v/>
      </c>
      <c r="D49" s="45" t="str">
        <f>'bloco 01'!E41</f>
        <v/>
      </c>
      <c r="E49" s="46" t="str">
        <f>IFERROR(('bloco 01'!F41),"")</f>
        <v/>
      </c>
      <c r="F49" s="48" t="str">
        <f>'bloco 01'!G41</f>
        <v/>
      </c>
    </row>
    <row r="50" ht="15.75" customHeight="1">
      <c r="A50" s="13" t="str">
        <f>'bloco 01'!$B$42</f>
        <v/>
      </c>
      <c r="B50" s="45" t="str">
        <f>'bloco 01'!C42</f>
        <v/>
      </c>
      <c r="C50" s="45" t="str">
        <f>'bloco 01'!D42</f>
        <v/>
      </c>
      <c r="D50" s="45" t="str">
        <f>'bloco 01'!E42</f>
        <v/>
      </c>
      <c r="E50" s="46" t="str">
        <f>IFERROR(('bloco 01'!F42),"")</f>
        <v/>
      </c>
      <c r="F50" s="48" t="str">
        <f>'bloco 01'!G42</f>
        <v/>
      </c>
    </row>
    <row r="51" ht="15.75" customHeight="1">
      <c r="A51" s="13" t="str">
        <f>'bloco 01'!$B$43</f>
        <v/>
      </c>
      <c r="B51" s="45" t="str">
        <f>'bloco 01'!C43</f>
        <v/>
      </c>
      <c r="C51" s="45" t="str">
        <f>'bloco 01'!D43</f>
        <v/>
      </c>
      <c r="D51" s="45" t="str">
        <f>'bloco 01'!E43</f>
        <v/>
      </c>
      <c r="E51" s="46" t="str">
        <f>IFERROR(('bloco 01'!F43),"")</f>
        <v/>
      </c>
      <c r="F51" s="48" t="str">
        <f>'bloco 01'!G43</f>
        <v/>
      </c>
    </row>
    <row r="52" ht="15.75" customHeight="1">
      <c r="A52" s="13" t="str">
        <f>'bloco 01'!$B$44</f>
        <v/>
      </c>
      <c r="B52" s="45" t="str">
        <f>'bloco 01'!C44</f>
        <v/>
      </c>
      <c r="C52" s="45" t="str">
        <f>'bloco 01'!D44</f>
        <v/>
      </c>
      <c r="D52" s="45" t="str">
        <f>'bloco 01'!E44</f>
        <v/>
      </c>
      <c r="E52" s="46" t="str">
        <f>IFERROR(('bloco 01'!F44),"")</f>
        <v/>
      </c>
      <c r="F52" s="48" t="str">
        <f>'bloco 01'!G44</f>
        <v/>
      </c>
    </row>
    <row r="53" ht="15.75" customHeight="1">
      <c r="A53" s="13" t="str">
        <f>'bloco 01'!$B$45</f>
        <v/>
      </c>
      <c r="B53" s="45" t="str">
        <f>'bloco 01'!C45</f>
        <v/>
      </c>
      <c r="C53" s="45" t="str">
        <f>'bloco 01'!D45</f>
        <v/>
      </c>
      <c r="D53" s="45" t="str">
        <f>'bloco 01'!E45</f>
        <v/>
      </c>
      <c r="E53" s="46" t="str">
        <f>IFERROR(('bloco 01'!F45),"")</f>
        <v/>
      </c>
      <c r="F53" s="48" t="str">
        <f>'bloco 01'!G45</f>
        <v/>
      </c>
    </row>
    <row r="54" ht="15.75" customHeight="1">
      <c r="A54" s="28" t="s">
        <v>27</v>
      </c>
    </row>
    <row r="55" ht="15.75" customHeight="1">
      <c r="A55" s="31"/>
      <c r="B55" s="31" t="s">
        <v>13</v>
      </c>
      <c r="C55" s="32" t="s">
        <v>16</v>
      </c>
      <c r="D55" s="32" t="s">
        <v>15</v>
      </c>
      <c r="E55" s="32" t="s">
        <v>21</v>
      </c>
      <c r="F55" s="32" t="s">
        <v>11</v>
      </c>
    </row>
    <row r="56" ht="15.75" customHeight="1">
      <c r="A56" s="13" t="str">
        <f>'bloco 01'!$B$51</f>
        <v/>
      </c>
      <c r="B56" s="45" t="str">
        <f>'bloco 01'!C51</f>
        <v/>
      </c>
      <c r="C56" s="45" t="str">
        <f>'bloco 01'!D51</f>
        <v/>
      </c>
      <c r="D56" s="45" t="str">
        <f>'bloco 01'!E51</f>
        <v/>
      </c>
      <c r="E56" s="46" t="str">
        <f>IFERROR(('bloco 01'!F51),"")</f>
        <v/>
      </c>
      <c r="F56" s="48" t="str">
        <f>'bloco 01'!G51</f>
        <v/>
      </c>
    </row>
    <row r="57" ht="15.75" customHeight="1">
      <c r="A57" s="13" t="str">
        <f>'bloco 01'!$B$52</f>
        <v/>
      </c>
      <c r="B57" s="45" t="str">
        <f>'bloco 01'!C52</f>
        <v/>
      </c>
      <c r="C57" s="45" t="str">
        <f>'bloco 01'!D52</f>
        <v/>
      </c>
      <c r="D57" s="45" t="str">
        <f>'bloco 01'!E52</f>
        <v/>
      </c>
      <c r="E57" s="46" t="str">
        <f>IFERROR(('bloco 01'!F52),"")</f>
        <v/>
      </c>
      <c r="F57" s="48" t="str">
        <f>'bloco 01'!G52</f>
        <v/>
      </c>
    </row>
    <row r="58" ht="15.75" customHeight="1">
      <c r="A58" s="13" t="str">
        <f>'bloco 01'!$B$53</f>
        <v/>
      </c>
      <c r="B58" s="45" t="str">
        <f>'bloco 01'!C53</f>
        <v/>
      </c>
      <c r="C58" s="45" t="str">
        <f>'bloco 01'!D53</f>
        <v/>
      </c>
      <c r="D58" s="45" t="str">
        <f>'bloco 01'!E53</f>
        <v/>
      </c>
      <c r="E58" s="46" t="str">
        <f>IFERROR(('bloco 01'!F53),"")</f>
        <v/>
      </c>
      <c r="F58" s="48" t="str">
        <f>'bloco 01'!G53</f>
        <v/>
      </c>
    </row>
    <row r="59" ht="15.75" customHeight="1">
      <c r="A59" s="13" t="str">
        <f>'bloco 01'!$B$54</f>
        <v/>
      </c>
      <c r="B59" s="45" t="str">
        <f>'bloco 01'!C54</f>
        <v/>
      </c>
      <c r="C59" s="45" t="str">
        <f>'bloco 01'!D54</f>
        <v/>
      </c>
      <c r="D59" s="45" t="str">
        <f>'bloco 01'!E54</f>
        <v/>
      </c>
      <c r="E59" s="46" t="str">
        <f>IFERROR(('bloco 01'!F54),"")</f>
        <v/>
      </c>
      <c r="F59" s="48" t="str">
        <f>'bloco 01'!G54</f>
        <v/>
      </c>
    </row>
    <row r="60" ht="15.75" customHeight="1">
      <c r="A60" s="13" t="str">
        <f>'bloco 01'!$B$55</f>
        <v/>
      </c>
      <c r="B60" s="45" t="str">
        <f>'bloco 01'!C55</f>
        <v/>
      </c>
      <c r="C60" s="45" t="str">
        <f>'bloco 01'!D55</f>
        <v/>
      </c>
      <c r="D60" s="45" t="str">
        <f>'bloco 01'!E55</f>
        <v/>
      </c>
      <c r="E60" s="46" t="str">
        <f>IFERROR(('bloco 01'!F55),"")</f>
        <v/>
      </c>
      <c r="F60" s="48" t="str">
        <f>'bloco 01'!G55</f>
        <v/>
      </c>
    </row>
    <row r="61" ht="15.75" customHeight="1">
      <c r="A61" s="13" t="str">
        <f>'bloco 01'!$B$56</f>
        <v/>
      </c>
      <c r="B61" s="45" t="str">
        <f>'bloco 01'!C56</f>
        <v/>
      </c>
      <c r="C61" s="45" t="str">
        <f>'bloco 01'!D56</f>
        <v/>
      </c>
      <c r="D61" s="45" t="str">
        <f>'bloco 01'!E56</f>
        <v/>
      </c>
      <c r="E61" s="46" t="str">
        <f>IFERROR(('bloco 01'!F56),"")</f>
        <v/>
      </c>
      <c r="F61" s="48" t="str">
        <f>'bloco 01'!G56</f>
        <v/>
      </c>
    </row>
    <row r="62" ht="15.75" customHeight="1">
      <c r="A62" s="13" t="str">
        <f>'bloco 01'!$B$57</f>
        <v/>
      </c>
      <c r="B62" s="45" t="str">
        <f>'bloco 01'!C57</f>
        <v/>
      </c>
      <c r="C62" s="45" t="str">
        <f>'bloco 01'!D57</f>
        <v/>
      </c>
      <c r="D62" s="45" t="str">
        <f>'bloco 01'!E57</f>
        <v/>
      </c>
      <c r="E62" s="46" t="str">
        <f>IFERROR(('bloco 01'!F57),"")</f>
        <v/>
      </c>
      <c r="F62" s="48" t="str">
        <f>'bloco 01'!G57</f>
        <v/>
      </c>
    </row>
    <row r="63" ht="15.75" customHeight="1">
      <c r="A63" s="13" t="str">
        <f>'bloco 01'!$B$58</f>
        <v/>
      </c>
      <c r="B63" s="45" t="str">
        <f>'bloco 01'!C58</f>
        <v/>
      </c>
      <c r="C63" s="45" t="str">
        <f>'bloco 01'!D58</f>
        <v/>
      </c>
      <c r="D63" s="45" t="str">
        <f>'bloco 01'!E58</f>
        <v/>
      </c>
      <c r="E63" s="46" t="str">
        <f>IFERROR(('bloco 01'!F58),"")</f>
        <v/>
      </c>
      <c r="F63" s="48" t="str">
        <f>'bloco 01'!G58</f>
        <v/>
      </c>
    </row>
    <row r="64" ht="15.75" customHeight="1">
      <c r="A64" s="13" t="str">
        <f>'bloco 01'!$B$59</f>
        <v/>
      </c>
      <c r="B64" s="45" t="str">
        <f>'bloco 01'!C59</f>
        <v/>
      </c>
      <c r="C64" s="45" t="str">
        <f>'bloco 01'!D59</f>
        <v/>
      </c>
      <c r="D64" s="45" t="str">
        <f>'bloco 01'!E59</f>
        <v/>
      </c>
      <c r="E64" s="46" t="str">
        <f>IFERROR(('bloco 01'!F59),"")</f>
        <v/>
      </c>
      <c r="F64" s="48" t="str">
        <f>'bloco 01'!G59</f>
        <v/>
      </c>
    </row>
    <row r="65" ht="15.75" customHeight="1">
      <c r="A65" s="13" t="str">
        <f>'bloco 01'!$B$60</f>
        <v/>
      </c>
      <c r="B65" s="45" t="str">
        <f>'bloco 01'!C60</f>
        <v/>
      </c>
      <c r="C65" s="45" t="str">
        <f>'bloco 01'!D60</f>
        <v/>
      </c>
      <c r="D65" s="45" t="str">
        <f>'bloco 01'!E60</f>
        <v/>
      </c>
      <c r="E65" s="46" t="str">
        <f>IFERROR(('bloco 01'!F60),"")</f>
        <v/>
      </c>
      <c r="F65" s="48" t="str">
        <f>'bloco 01'!G60</f>
        <v/>
      </c>
    </row>
    <row r="66" ht="15.75" customHeight="1">
      <c r="A66" s="39">
        <f>'bloco 01'!J3</f>
        <v>46303</v>
      </c>
    </row>
    <row r="67" ht="15.75" customHeight="1">
      <c r="A67" s="40" t="s">
        <v>23</v>
      </c>
    </row>
    <row r="68" ht="15.75" customHeight="1">
      <c r="A68" s="28" t="s">
        <v>5</v>
      </c>
    </row>
    <row r="69" ht="15.75" customHeight="1">
      <c r="A69" s="31"/>
      <c r="B69" s="31" t="s">
        <v>13</v>
      </c>
      <c r="C69" s="32" t="s">
        <v>16</v>
      </c>
      <c r="D69" s="32" t="s">
        <v>15</v>
      </c>
      <c r="E69" s="32" t="s">
        <v>21</v>
      </c>
      <c r="F69" s="32" t="s">
        <v>11</v>
      </c>
    </row>
    <row r="70" ht="15.75" customHeight="1">
      <c r="A70" s="13" t="str">
        <f>'bloco 01'!$I$6</f>
        <v/>
      </c>
      <c r="B70" s="45" t="str">
        <f>'bloco 01'!J6</f>
        <v/>
      </c>
      <c r="C70" s="45" t="str">
        <f>'bloco 01'!K6</f>
        <v/>
      </c>
      <c r="D70" s="45" t="str">
        <f>'bloco 01'!L6</f>
        <v/>
      </c>
      <c r="E70" s="46" t="str">
        <f>IFERROR(('bloco 01'!M6),"")</f>
        <v/>
      </c>
      <c r="F70" s="48" t="str">
        <f>'bloco 01'!N6</f>
        <v/>
      </c>
    </row>
    <row r="71" ht="15.75" customHeight="1">
      <c r="A71" s="13" t="str">
        <f>'bloco 01'!$I$7</f>
        <v/>
      </c>
      <c r="B71" s="45" t="str">
        <f>'bloco 01'!J7</f>
        <v/>
      </c>
      <c r="C71" s="45" t="str">
        <f>'bloco 01'!K7</f>
        <v/>
      </c>
      <c r="D71" s="45" t="str">
        <f>'bloco 01'!L7</f>
        <v/>
      </c>
      <c r="E71" s="46" t="str">
        <f>IFERROR(('bloco 01'!M7),"")</f>
        <v/>
      </c>
      <c r="F71" s="48" t="str">
        <f>'bloco 01'!N7</f>
        <v/>
      </c>
    </row>
    <row r="72" ht="15.75" customHeight="1">
      <c r="A72" s="13" t="str">
        <f>'bloco 01'!$I$8</f>
        <v/>
      </c>
      <c r="B72" s="45" t="str">
        <f>'bloco 01'!J8</f>
        <v/>
      </c>
      <c r="C72" s="45" t="str">
        <f>'bloco 01'!K8</f>
        <v/>
      </c>
      <c r="D72" s="45" t="str">
        <f>'bloco 01'!L8</f>
        <v/>
      </c>
      <c r="E72" s="46" t="str">
        <f>IFERROR(('bloco 01'!M8),"")</f>
        <v/>
      </c>
      <c r="F72" s="48" t="str">
        <f>'bloco 01'!N8</f>
        <v/>
      </c>
    </row>
    <row r="73" ht="15.75" customHeight="1">
      <c r="A73" s="13" t="str">
        <f>'bloco 01'!$I$9</f>
        <v/>
      </c>
      <c r="B73" s="45" t="str">
        <f>'bloco 01'!J9</f>
        <v/>
      </c>
      <c r="C73" s="45" t="str">
        <f>'bloco 01'!K9</f>
        <v/>
      </c>
      <c r="D73" s="45" t="str">
        <f>'bloco 01'!L9</f>
        <v/>
      </c>
      <c r="E73" s="46" t="str">
        <f>IFERROR(('bloco 01'!M9),"")</f>
        <v/>
      </c>
      <c r="F73" s="48" t="str">
        <f>'bloco 01'!N9</f>
        <v/>
      </c>
    </row>
    <row r="74" ht="15.75" customHeight="1">
      <c r="A74" s="13" t="str">
        <f>'bloco 01'!$I$10</f>
        <v/>
      </c>
      <c r="B74" s="45" t="str">
        <f>'bloco 01'!J10</f>
        <v/>
      </c>
      <c r="C74" s="45" t="str">
        <f>'bloco 01'!K10</f>
        <v/>
      </c>
      <c r="D74" s="45" t="str">
        <f>'bloco 01'!L10</f>
        <v/>
      </c>
      <c r="E74" s="46" t="str">
        <f>IFERROR(('bloco 01'!M10),"")</f>
        <v/>
      </c>
      <c r="F74" s="48" t="str">
        <f>'bloco 01'!N10</f>
        <v/>
      </c>
    </row>
    <row r="75" ht="15.75" customHeight="1">
      <c r="A75" s="13" t="str">
        <f>'bloco 01'!$I$11</f>
        <v/>
      </c>
      <c r="B75" s="45" t="str">
        <f>'bloco 01'!J11</f>
        <v/>
      </c>
      <c r="C75" s="45" t="str">
        <f>'bloco 01'!K11</f>
        <v/>
      </c>
      <c r="D75" s="45" t="str">
        <f>'bloco 01'!L11</f>
        <v/>
      </c>
      <c r="E75" s="46" t="str">
        <f>IFERROR(('bloco 01'!M11),"")</f>
        <v/>
      </c>
      <c r="F75" s="48" t="str">
        <f>'bloco 01'!N11</f>
        <v/>
      </c>
    </row>
    <row r="76" ht="15.75" customHeight="1">
      <c r="A76" s="13" t="str">
        <f>'bloco 01'!$I$12</f>
        <v/>
      </c>
      <c r="B76" s="45" t="str">
        <f>'bloco 01'!J12</f>
        <v/>
      </c>
      <c r="C76" s="45" t="str">
        <f>'bloco 01'!K12</f>
        <v/>
      </c>
      <c r="D76" s="45" t="str">
        <f>'bloco 01'!L12</f>
        <v/>
      </c>
      <c r="E76" s="46" t="str">
        <f>IFERROR(('bloco 01'!M12),"")</f>
        <v/>
      </c>
      <c r="F76" s="48" t="str">
        <f>'bloco 01'!N12</f>
        <v/>
      </c>
    </row>
    <row r="77" ht="15.75" customHeight="1">
      <c r="A77" s="13" t="str">
        <f>'bloco 01'!$I$13</f>
        <v/>
      </c>
      <c r="B77" s="45" t="str">
        <f>'bloco 01'!J13</f>
        <v/>
      </c>
      <c r="C77" s="45" t="str">
        <f>'bloco 01'!K13</f>
        <v/>
      </c>
      <c r="D77" s="45" t="str">
        <f>'bloco 01'!L13</f>
        <v/>
      </c>
      <c r="E77" s="46" t="str">
        <f>IFERROR(('bloco 01'!M13),"")</f>
        <v/>
      </c>
      <c r="F77" s="48" t="str">
        <f>'bloco 01'!N13</f>
        <v/>
      </c>
    </row>
    <row r="78" ht="15.75" customHeight="1">
      <c r="A78" s="13" t="str">
        <f>'bloco 01'!$I$14</f>
        <v/>
      </c>
      <c r="B78" s="45" t="str">
        <f>'bloco 01'!J14</f>
        <v/>
      </c>
      <c r="C78" s="45" t="str">
        <f>'bloco 01'!K14</f>
        <v/>
      </c>
      <c r="D78" s="45" t="str">
        <f>'bloco 01'!L14</f>
        <v/>
      </c>
      <c r="E78" s="46" t="str">
        <f>IFERROR(('bloco 01'!M14),"")</f>
        <v/>
      </c>
      <c r="F78" s="48" t="str">
        <f>'bloco 01'!N14</f>
        <v/>
      </c>
    </row>
    <row r="79" ht="15.75" customHeight="1">
      <c r="A79" s="13" t="str">
        <f>'bloco 01'!$I$15</f>
        <v/>
      </c>
      <c r="B79" s="45" t="str">
        <f>'bloco 01'!J15</f>
        <v/>
      </c>
      <c r="C79" s="45" t="str">
        <f>'bloco 01'!K15</f>
        <v/>
      </c>
      <c r="D79" s="45" t="str">
        <f>'bloco 01'!L15</f>
        <v/>
      </c>
      <c r="E79" s="46" t="str">
        <f>IFERROR(('bloco 01'!M15),"")</f>
        <v/>
      </c>
      <c r="F79" s="48" t="str">
        <f>'bloco 01'!N15</f>
        <v/>
      </c>
    </row>
    <row r="80" ht="15.75" customHeight="1">
      <c r="A80" s="28" t="s">
        <v>22</v>
      </c>
    </row>
    <row r="81" ht="15.75" customHeight="1">
      <c r="A81" s="31"/>
      <c r="B81" s="31" t="s">
        <v>13</v>
      </c>
      <c r="C81" s="32" t="s">
        <v>16</v>
      </c>
      <c r="D81" s="32" t="s">
        <v>15</v>
      </c>
      <c r="E81" s="32" t="s">
        <v>21</v>
      </c>
      <c r="F81" s="32" t="s">
        <v>11</v>
      </c>
    </row>
    <row r="82" ht="15.75" customHeight="1">
      <c r="A82" s="13" t="str">
        <f>'bloco 01'!$I$21</f>
        <v/>
      </c>
      <c r="B82" s="45" t="str">
        <f>'bloco 01'!J21</f>
        <v/>
      </c>
      <c r="C82" s="45" t="str">
        <f>'bloco 01'!K21</f>
        <v/>
      </c>
      <c r="D82" s="45" t="str">
        <f>'bloco 01'!L21</f>
        <v/>
      </c>
      <c r="E82" s="46" t="str">
        <f>IFERROR(('bloco 01'!M21),"")</f>
        <v/>
      </c>
      <c r="F82" s="48" t="str">
        <f>'bloco 01'!N21</f>
        <v/>
      </c>
    </row>
    <row r="83" ht="15.75" customHeight="1">
      <c r="A83" s="13" t="str">
        <f>'bloco 01'!$I$22</f>
        <v/>
      </c>
      <c r="B83" s="45" t="str">
        <f>'bloco 01'!J22</f>
        <v/>
      </c>
      <c r="C83" s="45" t="str">
        <f>'bloco 01'!K22</f>
        <v/>
      </c>
      <c r="D83" s="45" t="str">
        <f>'bloco 01'!L22</f>
        <v/>
      </c>
      <c r="E83" s="46" t="str">
        <f>IFERROR(('bloco 01'!M22),"")</f>
        <v/>
      </c>
      <c r="F83" s="48" t="str">
        <f>'bloco 01'!N22</f>
        <v/>
      </c>
    </row>
    <row r="84" ht="15.75" customHeight="1">
      <c r="A84" s="13" t="str">
        <f>'bloco 01'!$I$23</f>
        <v/>
      </c>
      <c r="B84" s="45" t="str">
        <f>'bloco 01'!J23</f>
        <v/>
      </c>
      <c r="C84" s="45" t="str">
        <f>'bloco 01'!K23</f>
        <v/>
      </c>
      <c r="D84" s="45" t="str">
        <f>'bloco 01'!L23</f>
        <v/>
      </c>
      <c r="E84" s="46" t="str">
        <f>IFERROR(('bloco 01'!M23),"")</f>
        <v/>
      </c>
      <c r="F84" s="48" t="str">
        <f>'bloco 01'!N23</f>
        <v/>
      </c>
    </row>
    <row r="85" ht="15.75" customHeight="1">
      <c r="A85" s="13" t="str">
        <f>'bloco 01'!$I$24</f>
        <v/>
      </c>
      <c r="B85" s="45" t="str">
        <f>'bloco 01'!J24</f>
        <v/>
      </c>
      <c r="C85" s="45" t="str">
        <f>'bloco 01'!K24</f>
        <v/>
      </c>
      <c r="D85" s="45" t="str">
        <f>'bloco 01'!L24</f>
        <v/>
      </c>
      <c r="E85" s="46" t="str">
        <f>IFERROR(('bloco 01'!M24),"")</f>
        <v/>
      </c>
      <c r="F85" s="48" t="str">
        <f>'bloco 01'!N24</f>
        <v/>
      </c>
    </row>
    <row r="86" ht="15.75" customHeight="1">
      <c r="A86" s="13" t="str">
        <f>'bloco 01'!$I$25</f>
        <v/>
      </c>
      <c r="B86" s="45" t="str">
        <f>'bloco 01'!J25</f>
        <v/>
      </c>
      <c r="C86" s="45" t="str">
        <f>'bloco 01'!K25</f>
        <v/>
      </c>
      <c r="D86" s="45" t="str">
        <f>'bloco 01'!L25</f>
        <v/>
      </c>
      <c r="E86" s="46" t="str">
        <f>IFERROR(('bloco 01'!M25),"")</f>
        <v/>
      </c>
      <c r="F86" s="48" t="str">
        <f>'bloco 01'!N25</f>
        <v/>
      </c>
    </row>
    <row r="87" ht="15.75" customHeight="1">
      <c r="A87" s="13" t="str">
        <f>'bloco 01'!$I$26</f>
        <v/>
      </c>
      <c r="B87" s="45" t="str">
        <f>'bloco 01'!J26</f>
        <v/>
      </c>
      <c r="C87" s="45" t="str">
        <f>'bloco 01'!K26</f>
        <v/>
      </c>
      <c r="D87" s="45" t="str">
        <f>'bloco 01'!L26</f>
        <v/>
      </c>
      <c r="E87" s="46" t="str">
        <f>IFERROR(('bloco 01'!M26),"")</f>
        <v/>
      </c>
      <c r="F87" s="48" t="str">
        <f>'bloco 01'!N26</f>
        <v/>
      </c>
    </row>
    <row r="88" ht="15.75" customHeight="1">
      <c r="A88" s="13" t="str">
        <f>'bloco 01'!$I$27</f>
        <v/>
      </c>
      <c r="B88" s="45" t="str">
        <f>'bloco 01'!J27</f>
        <v/>
      </c>
      <c r="C88" s="45" t="str">
        <f>'bloco 01'!K27</f>
        <v/>
      </c>
      <c r="D88" s="45" t="str">
        <f>'bloco 01'!L27</f>
        <v/>
      </c>
      <c r="E88" s="46" t="str">
        <f>IFERROR(('bloco 01'!M27),"")</f>
        <v/>
      </c>
      <c r="F88" s="48" t="str">
        <f>'bloco 01'!N27</f>
        <v/>
      </c>
    </row>
    <row r="89" ht="15.75" customHeight="1">
      <c r="A89" s="13" t="str">
        <f>'bloco 01'!$I$28</f>
        <v/>
      </c>
      <c r="B89" s="45" t="str">
        <f>'bloco 01'!J28</f>
        <v/>
      </c>
      <c r="C89" s="45" t="str">
        <f>'bloco 01'!K28</f>
        <v/>
      </c>
      <c r="D89" s="45" t="str">
        <f>'bloco 01'!L28</f>
        <v/>
      </c>
      <c r="E89" s="46" t="str">
        <f>IFERROR(('bloco 01'!M28),"")</f>
        <v/>
      </c>
      <c r="F89" s="48" t="str">
        <f>'bloco 01'!N28</f>
        <v/>
      </c>
    </row>
    <row r="90" ht="15.75" customHeight="1">
      <c r="A90" s="13" t="str">
        <f>'bloco 01'!$I$29</f>
        <v/>
      </c>
      <c r="B90" s="45" t="str">
        <f>'bloco 01'!J29</f>
        <v/>
      </c>
      <c r="C90" s="45" t="str">
        <f>'bloco 01'!K29</f>
        <v/>
      </c>
      <c r="D90" s="45" t="str">
        <f>'bloco 01'!L29</f>
        <v/>
      </c>
      <c r="E90" s="46" t="str">
        <f>IFERROR(('bloco 01'!M29),"")</f>
        <v/>
      </c>
      <c r="F90" s="48" t="str">
        <f>'bloco 01'!N29</f>
        <v/>
      </c>
    </row>
    <row r="91" ht="15.75" customHeight="1">
      <c r="A91" s="13" t="str">
        <f>'bloco 01'!$I$30</f>
        <v/>
      </c>
      <c r="B91" s="45" t="str">
        <f>'bloco 01'!J30</f>
        <v/>
      </c>
      <c r="C91" s="45" t="str">
        <f>'bloco 01'!K30</f>
        <v/>
      </c>
      <c r="D91" s="45" t="str">
        <f>'bloco 01'!L30</f>
        <v/>
      </c>
      <c r="E91" s="46" t="str">
        <f>IFERROR(('bloco 01'!M30),"")</f>
        <v/>
      </c>
      <c r="F91" s="48" t="str">
        <f>'bloco 01'!N30</f>
        <v/>
      </c>
    </row>
    <row r="92" ht="15.75" customHeight="1">
      <c r="A92" s="28" t="s">
        <v>26</v>
      </c>
    </row>
    <row r="93" ht="15.75" customHeight="1">
      <c r="A93" s="31"/>
      <c r="B93" s="31" t="s">
        <v>13</v>
      </c>
      <c r="C93" s="32" t="s">
        <v>16</v>
      </c>
      <c r="D93" s="32" t="s">
        <v>15</v>
      </c>
      <c r="E93" s="32" t="s">
        <v>21</v>
      </c>
      <c r="F93" s="32" t="s">
        <v>11</v>
      </c>
    </row>
    <row r="94" ht="15.75" customHeight="1">
      <c r="A94" s="13" t="str">
        <f>'bloco 01'!$I$36</f>
        <v/>
      </c>
      <c r="B94" s="45" t="str">
        <f>'bloco 01'!J36</f>
        <v/>
      </c>
      <c r="C94" s="45" t="str">
        <f>'bloco 01'!K36</f>
        <v/>
      </c>
      <c r="D94" s="45" t="str">
        <f>'bloco 01'!L36</f>
        <v/>
      </c>
      <c r="E94" s="46" t="str">
        <f>IFERROR(('bloco 01'!M36),"")</f>
        <v/>
      </c>
      <c r="F94" s="48" t="str">
        <f>'bloco 01'!N36</f>
        <v/>
      </c>
    </row>
    <row r="95" ht="15.75" customHeight="1">
      <c r="A95" s="13" t="str">
        <f>'bloco 01'!$I$37</f>
        <v/>
      </c>
      <c r="B95" s="45" t="str">
        <f>'bloco 01'!J37</f>
        <v/>
      </c>
      <c r="C95" s="45" t="str">
        <f>'bloco 01'!K37</f>
        <v/>
      </c>
      <c r="D95" s="45" t="str">
        <f>'bloco 01'!L37</f>
        <v/>
      </c>
      <c r="E95" s="46" t="str">
        <f>IFERROR(('bloco 01'!M37),"")</f>
        <v/>
      </c>
      <c r="F95" s="48" t="str">
        <f>'bloco 01'!N37</f>
        <v/>
      </c>
    </row>
    <row r="96" ht="15.75" customHeight="1">
      <c r="A96" s="13" t="str">
        <f>'bloco 01'!$I$38</f>
        <v/>
      </c>
      <c r="B96" s="45" t="str">
        <f>'bloco 01'!J38</f>
        <v/>
      </c>
      <c r="C96" s="45" t="str">
        <f>'bloco 01'!K38</f>
        <v/>
      </c>
      <c r="D96" s="45" t="str">
        <f>'bloco 01'!L38</f>
        <v/>
      </c>
      <c r="E96" s="46" t="str">
        <f>IFERROR(('bloco 01'!M38),"")</f>
        <v/>
      </c>
      <c r="F96" s="48" t="str">
        <f>'bloco 01'!N38</f>
        <v/>
      </c>
    </row>
    <row r="97" ht="15.75" customHeight="1">
      <c r="A97" s="13" t="str">
        <f>'bloco 01'!$I$39</f>
        <v/>
      </c>
      <c r="B97" s="45" t="str">
        <f>'bloco 01'!J39</f>
        <v/>
      </c>
      <c r="C97" s="45" t="str">
        <f>'bloco 01'!K39</f>
        <v/>
      </c>
      <c r="D97" s="45" t="str">
        <f>'bloco 01'!L39</f>
        <v/>
      </c>
      <c r="E97" s="46" t="str">
        <f>IFERROR(('bloco 01'!M39),"")</f>
        <v/>
      </c>
      <c r="F97" s="48" t="str">
        <f>'bloco 01'!N39</f>
        <v/>
      </c>
    </row>
    <row r="98" ht="15.75" customHeight="1">
      <c r="A98" s="13" t="str">
        <f>'bloco 01'!$I$40</f>
        <v/>
      </c>
      <c r="B98" s="45" t="str">
        <f>'bloco 01'!J40</f>
        <v/>
      </c>
      <c r="C98" s="45" t="str">
        <f>'bloco 01'!K40</f>
        <v/>
      </c>
      <c r="D98" s="45" t="str">
        <f>'bloco 01'!L40</f>
        <v/>
      </c>
      <c r="E98" s="46" t="str">
        <f>IFERROR(('bloco 01'!M40),"")</f>
        <v/>
      </c>
      <c r="F98" s="48" t="str">
        <f>'bloco 01'!N40</f>
        <v/>
      </c>
    </row>
    <row r="99" ht="15.75" customHeight="1">
      <c r="A99" s="13" t="str">
        <f>'bloco 01'!$I$41</f>
        <v/>
      </c>
      <c r="B99" s="45" t="str">
        <f>'bloco 01'!J41</f>
        <v/>
      </c>
      <c r="C99" s="45" t="str">
        <f>'bloco 01'!K41</f>
        <v/>
      </c>
      <c r="D99" s="45" t="str">
        <f>'bloco 01'!L41</f>
        <v/>
      </c>
      <c r="E99" s="46" t="str">
        <f>IFERROR(('bloco 01'!M41),"")</f>
        <v/>
      </c>
      <c r="F99" s="48" t="str">
        <f>'bloco 01'!N41</f>
        <v/>
      </c>
    </row>
    <row r="100" ht="15.75" customHeight="1">
      <c r="A100" s="13" t="str">
        <f>'bloco 01'!$I$42</f>
        <v/>
      </c>
      <c r="B100" s="45" t="str">
        <f>'bloco 01'!J42</f>
        <v/>
      </c>
      <c r="C100" s="45" t="str">
        <f>'bloco 01'!K42</f>
        <v/>
      </c>
      <c r="D100" s="45" t="str">
        <f>'bloco 01'!L42</f>
        <v/>
      </c>
      <c r="E100" s="46" t="str">
        <f>IFERROR(('bloco 01'!M42),"")</f>
        <v/>
      </c>
      <c r="F100" s="48" t="str">
        <f>'bloco 01'!N42</f>
        <v/>
      </c>
    </row>
    <row r="101" ht="15.75" customHeight="1">
      <c r="A101" s="13" t="str">
        <f>'bloco 01'!$I$43</f>
        <v/>
      </c>
      <c r="B101" s="45" t="str">
        <f>'bloco 01'!J43</f>
        <v/>
      </c>
      <c r="C101" s="45" t="str">
        <f>'bloco 01'!K43</f>
        <v/>
      </c>
      <c r="D101" s="45" t="str">
        <f>'bloco 01'!L43</f>
        <v/>
      </c>
      <c r="E101" s="46" t="str">
        <f>IFERROR(('bloco 01'!M43),"")</f>
        <v/>
      </c>
      <c r="F101" s="48" t="str">
        <f>'bloco 01'!N43</f>
        <v/>
      </c>
    </row>
    <row r="102" ht="15.75" customHeight="1">
      <c r="A102" s="13" t="str">
        <f>'bloco 01'!$I$44</f>
        <v/>
      </c>
      <c r="B102" s="45" t="str">
        <f>'bloco 01'!J44</f>
        <v/>
      </c>
      <c r="C102" s="45" t="str">
        <f>'bloco 01'!K44</f>
        <v/>
      </c>
      <c r="D102" s="45" t="str">
        <f>'bloco 01'!L44</f>
        <v/>
      </c>
      <c r="E102" s="46" t="str">
        <f>IFERROR(('bloco 01'!M44),"")</f>
        <v/>
      </c>
      <c r="F102" s="48" t="str">
        <f>'bloco 01'!N44</f>
        <v/>
      </c>
    </row>
    <row r="103" ht="15.75" customHeight="1">
      <c r="A103" s="13" t="str">
        <f>'bloco 01'!$I$45</f>
        <v/>
      </c>
      <c r="B103" s="45" t="str">
        <f>'bloco 01'!J45</f>
        <v/>
      </c>
      <c r="C103" s="45" t="str">
        <f>'bloco 01'!K45</f>
        <v/>
      </c>
      <c r="D103" s="45" t="str">
        <f>'bloco 01'!L45</f>
        <v/>
      </c>
      <c r="E103" s="46" t="str">
        <f>IFERROR(('bloco 01'!M45),"")</f>
        <v/>
      </c>
      <c r="F103" s="48" t="str">
        <f>'bloco 01'!N45</f>
        <v/>
      </c>
    </row>
    <row r="104" ht="15.75" customHeight="1">
      <c r="A104" s="28" t="s">
        <v>27</v>
      </c>
    </row>
    <row r="105" ht="15.75" customHeight="1">
      <c r="A105" s="31"/>
      <c r="B105" s="31" t="s">
        <v>13</v>
      </c>
      <c r="C105" s="32" t="s">
        <v>16</v>
      </c>
      <c r="D105" s="32" t="s">
        <v>15</v>
      </c>
      <c r="E105" s="32" t="s">
        <v>21</v>
      </c>
      <c r="F105" s="32" t="s">
        <v>11</v>
      </c>
    </row>
    <row r="106" ht="15.75" customHeight="1">
      <c r="A106" s="13" t="str">
        <f>'bloco 01'!$I$51</f>
        <v/>
      </c>
      <c r="B106" s="45" t="str">
        <f>'bloco 01'!J51</f>
        <v/>
      </c>
      <c r="C106" s="45" t="str">
        <f>'bloco 01'!K51</f>
        <v/>
      </c>
      <c r="D106" s="45" t="str">
        <f>'bloco 01'!L51</f>
        <v/>
      </c>
      <c r="E106" s="46" t="str">
        <f>IFERROR(('bloco 01'!M51),"")</f>
        <v/>
      </c>
      <c r="F106" s="48" t="str">
        <f>'bloco 01'!N51</f>
        <v/>
      </c>
    </row>
    <row r="107" ht="15.75" customHeight="1">
      <c r="A107" s="13" t="str">
        <f>'bloco 01'!$I$52</f>
        <v/>
      </c>
      <c r="B107" s="45" t="str">
        <f>'bloco 01'!J52</f>
        <v/>
      </c>
      <c r="C107" s="45" t="str">
        <f>'bloco 01'!K52</f>
        <v/>
      </c>
      <c r="D107" s="45" t="str">
        <f>'bloco 01'!L52</f>
        <v/>
      </c>
      <c r="E107" s="46" t="str">
        <f>IFERROR(('bloco 01'!M52),"")</f>
        <v/>
      </c>
      <c r="F107" s="48" t="str">
        <f>'bloco 01'!N52</f>
        <v/>
      </c>
    </row>
    <row r="108" ht="15.75" customHeight="1">
      <c r="A108" s="13" t="str">
        <f>'bloco 01'!$I$53</f>
        <v/>
      </c>
      <c r="B108" s="45" t="str">
        <f>'bloco 01'!J53</f>
        <v/>
      </c>
      <c r="C108" s="45" t="str">
        <f>'bloco 01'!K53</f>
        <v/>
      </c>
      <c r="D108" s="45" t="str">
        <f>'bloco 01'!L53</f>
        <v/>
      </c>
      <c r="E108" s="46" t="str">
        <f>IFERROR(('bloco 01'!M53),"")</f>
        <v/>
      </c>
      <c r="F108" s="48" t="str">
        <f>'bloco 01'!N53</f>
        <v/>
      </c>
    </row>
    <row r="109" ht="15.75" customHeight="1">
      <c r="A109" s="13" t="str">
        <f>'bloco 01'!$I$54</f>
        <v/>
      </c>
      <c r="B109" s="45" t="str">
        <f>'bloco 01'!J54</f>
        <v/>
      </c>
      <c r="C109" s="45" t="str">
        <f>'bloco 01'!K54</f>
        <v/>
      </c>
      <c r="D109" s="45" t="str">
        <f>'bloco 01'!L54</f>
        <v/>
      </c>
      <c r="E109" s="46" t="str">
        <f>IFERROR(('bloco 01'!M54),"")</f>
        <v/>
      </c>
      <c r="F109" s="48" t="str">
        <f>'bloco 01'!N54</f>
        <v/>
      </c>
    </row>
    <row r="110" ht="15.75" customHeight="1">
      <c r="A110" s="13" t="str">
        <f>'bloco 01'!$I$55</f>
        <v/>
      </c>
      <c r="B110" s="45" t="str">
        <f>'bloco 01'!J55</f>
        <v/>
      </c>
      <c r="C110" s="45" t="str">
        <f>'bloco 01'!K55</f>
        <v/>
      </c>
      <c r="D110" s="45" t="str">
        <f>'bloco 01'!L55</f>
        <v/>
      </c>
      <c r="E110" s="46" t="str">
        <f>IFERROR(('bloco 01'!M55),"")</f>
        <v/>
      </c>
      <c r="F110" s="48" t="str">
        <f>'bloco 01'!N55</f>
        <v/>
      </c>
    </row>
    <row r="111" ht="15.75" customHeight="1">
      <c r="A111" s="13" t="str">
        <f>'bloco 01'!$I$56</f>
        <v/>
      </c>
      <c r="B111" s="45" t="str">
        <f>'bloco 01'!J56</f>
        <v/>
      </c>
      <c r="C111" s="45" t="str">
        <f>'bloco 01'!K56</f>
        <v/>
      </c>
      <c r="D111" s="45" t="str">
        <f>'bloco 01'!L56</f>
        <v/>
      </c>
      <c r="E111" s="46" t="str">
        <f>IFERROR(('bloco 01'!M56),"")</f>
        <v/>
      </c>
      <c r="F111" s="48" t="str">
        <f>'bloco 01'!N56</f>
        <v/>
      </c>
    </row>
    <row r="112" ht="15.75" customHeight="1">
      <c r="A112" s="13" t="str">
        <f>'bloco 01'!$I$57</f>
        <v/>
      </c>
      <c r="B112" s="45" t="str">
        <f>'bloco 01'!J57</f>
        <v/>
      </c>
      <c r="C112" s="45" t="str">
        <f>'bloco 01'!K57</f>
        <v/>
      </c>
      <c r="D112" s="45" t="str">
        <f>'bloco 01'!L57</f>
        <v/>
      </c>
      <c r="E112" s="46" t="str">
        <f>IFERROR(('bloco 01'!M57),"")</f>
        <v/>
      </c>
      <c r="F112" s="48" t="str">
        <f>'bloco 01'!N57</f>
        <v/>
      </c>
    </row>
    <row r="113" ht="15.75" customHeight="1">
      <c r="A113" s="13" t="str">
        <f>'bloco 01'!$I$58</f>
        <v/>
      </c>
      <c r="B113" s="45" t="str">
        <f>'bloco 01'!J58</f>
        <v/>
      </c>
      <c r="C113" s="45" t="str">
        <f>'bloco 01'!K58</f>
        <v/>
      </c>
      <c r="D113" s="45" t="str">
        <f>'bloco 01'!L58</f>
        <v/>
      </c>
      <c r="E113" s="46" t="str">
        <f>IFERROR(('bloco 01'!M58),"")</f>
        <v/>
      </c>
      <c r="F113" s="48" t="str">
        <f>'bloco 01'!N58</f>
        <v/>
      </c>
    </row>
    <row r="114" ht="15.75" customHeight="1">
      <c r="A114" s="13" t="str">
        <f>'bloco 01'!$I$59</f>
        <v/>
      </c>
      <c r="B114" s="45" t="str">
        <f>'bloco 01'!J59</f>
        <v/>
      </c>
      <c r="C114" s="45" t="str">
        <f>'bloco 01'!K59</f>
        <v/>
      </c>
      <c r="D114" s="45" t="str">
        <f>'bloco 01'!L59</f>
        <v/>
      </c>
      <c r="E114" s="46" t="str">
        <f>IFERROR(('bloco 01'!M59),"")</f>
        <v/>
      </c>
      <c r="F114" s="48" t="str">
        <f>'bloco 01'!N59</f>
        <v/>
      </c>
    </row>
    <row r="115" ht="15.75" customHeight="1">
      <c r="A115" s="13" t="str">
        <f>'bloco 01'!$I$60</f>
        <v/>
      </c>
      <c r="B115" s="45" t="str">
        <f>'bloco 01'!J60</f>
        <v/>
      </c>
      <c r="C115" s="45" t="str">
        <f>'bloco 01'!K60</f>
        <v/>
      </c>
      <c r="D115" s="45" t="str">
        <f>'bloco 01'!L60</f>
        <v/>
      </c>
      <c r="E115" s="46" t="str">
        <f>IFERROR(('bloco 01'!M60),"")</f>
        <v/>
      </c>
      <c r="F115" s="48" t="str">
        <f>'bloco 01'!N60</f>
        <v/>
      </c>
    </row>
    <row r="116" ht="15.75" customHeight="1">
      <c r="A116" s="45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>
      <c r="A133" s="39">
        <f>'bloco 01'!Q3</f>
        <v>46310</v>
      </c>
    </row>
    <row r="134" ht="15.75" customHeight="1">
      <c r="A134" s="40" t="s">
        <v>24</v>
      </c>
    </row>
    <row r="135" ht="15.75" customHeight="1">
      <c r="A135" s="28" t="s">
        <v>5</v>
      </c>
    </row>
    <row r="136" ht="15.75" customHeight="1">
      <c r="A136" s="31"/>
      <c r="B136" s="31" t="s">
        <v>13</v>
      </c>
      <c r="C136" s="32" t="s">
        <v>16</v>
      </c>
      <c r="D136" s="32" t="s">
        <v>15</v>
      </c>
      <c r="E136" s="32" t="s">
        <v>21</v>
      </c>
      <c r="F136" s="32" t="s">
        <v>11</v>
      </c>
    </row>
    <row r="137" ht="15.75" customHeight="1">
      <c r="A137" s="13" t="str">
        <f>'bloco 01'!$P$6</f>
        <v/>
      </c>
      <c r="B137" s="45" t="str">
        <f>'bloco 01'!Q6</f>
        <v/>
      </c>
      <c r="C137" s="45" t="str">
        <f>'bloco 01'!R6</f>
        <v/>
      </c>
      <c r="D137" s="45" t="str">
        <f>'bloco 01'!S6</f>
        <v/>
      </c>
      <c r="E137" s="46" t="str">
        <f>IFERROR(('bloco 01'!T6),"")</f>
        <v/>
      </c>
      <c r="F137" s="48" t="str">
        <f>'bloco 01'!U6</f>
        <v/>
      </c>
    </row>
    <row r="138" ht="15.75" customHeight="1">
      <c r="A138" s="13" t="str">
        <f>'bloco 01'!$P$7</f>
        <v/>
      </c>
      <c r="B138" s="45" t="str">
        <f>'bloco 01'!Q7</f>
        <v/>
      </c>
      <c r="C138" s="45" t="str">
        <f>'bloco 01'!R7</f>
        <v/>
      </c>
      <c r="D138" s="45" t="str">
        <f>'bloco 01'!S7</f>
        <v/>
      </c>
      <c r="E138" s="46" t="str">
        <f>IFERROR(('bloco 01'!T7),"")</f>
        <v/>
      </c>
      <c r="F138" s="48" t="str">
        <f>'bloco 01'!U7</f>
        <v/>
      </c>
    </row>
    <row r="139" ht="15.75" customHeight="1">
      <c r="A139" s="13" t="str">
        <f>'bloco 01'!$P$8</f>
        <v/>
      </c>
      <c r="B139" s="45" t="str">
        <f>'bloco 01'!Q8</f>
        <v/>
      </c>
      <c r="C139" s="45" t="str">
        <f>'bloco 01'!R8</f>
        <v/>
      </c>
      <c r="D139" s="45" t="str">
        <f>'bloco 01'!S8</f>
        <v/>
      </c>
      <c r="E139" s="46" t="str">
        <f>IFERROR(('bloco 01'!T8),"")</f>
        <v/>
      </c>
      <c r="F139" s="48" t="str">
        <f>'bloco 01'!U8</f>
        <v/>
      </c>
    </row>
    <row r="140" ht="15.75" customHeight="1">
      <c r="A140" s="13" t="str">
        <f>'bloco 01'!$P$9</f>
        <v/>
      </c>
      <c r="B140" s="45" t="str">
        <f>'bloco 01'!Q9</f>
        <v/>
      </c>
      <c r="C140" s="45" t="str">
        <f>'bloco 01'!R9</f>
        <v/>
      </c>
      <c r="D140" s="45" t="str">
        <f>'bloco 01'!S9</f>
        <v/>
      </c>
      <c r="E140" s="46" t="str">
        <f>IFERROR(('bloco 01'!T9),"")</f>
        <v/>
      </c>
      <c r="F140" s="48" t="str">
        <f>'bloco 01'!U9</f>
        <v/>
      </c>
    </row>
    <row r="141" ht="15.75" customHeight="1">
      <c r="A141" s="13" t="str">
        <f>'bloco 01'!$P$10</f>
        <v/>
      </c>
      <c r="B141" s="45" t="str">
        <f>'bloco 01'!Q10</f>
        <v/>
      </c>
      <c r="C141" s="45" t="str">
        <f>'bloco 01'!R10</f>
        <v/>
      </c>
      <c r="D141" s="45" t="str">
        <f>'bloco 01'!S10</f>
        <v/>
      </c>
      <c r="E141" s="46" t="str">
        <f>IFERROR(('bloco 01'!T10),"")</f>
        <v/>
      </c>
      <c r="F141" s="48" t="str">
        <f>'bloco 01'!U10</f>
        <v/>
      </c>
    </row>
    <row r="142" ht="15.75" customHeight="1">
      <c r="A142" s="13" t="str">
        <f>'bloco 01'!$P$11</f>
        <v/>
      </c>
      <c r="B142" s="45" t="str">
        <f>'bloco 01'!Q11</f>
        <v/>
      </c>
      <c r="C142" s="45" t="str">
        <f>'bloco 01'!R11</f>
        <v/>
      </c>
      <c r="D142" s="45" t="str">
        <f>'bloco 01'!S11</f>
        <v/>
      </c>
      <c r="E142" s="46" t="str">
        <f>IFERROR(('bloco 01'!T11),"")</f>
        <v/>
      </c>
      <c r="F142" s="48" t="str">
        <f>'bloco 01'!U11</f>
        <v/>
      </c>
    </row>
    <row r="143" ht="15.75" customHeight="1">
      <c r="A143" s="13" t="str">
        <f>'bloco 01'!$P$12</f>
        <v/>
      </c>
      <c r="B143" s="45" t="str">
        <f>'bloco 01'!Q12</f>
        <v/>
      </c>
      <c r="C143" s="45" t="str">
        <f>'bloco 01'!R12</f>
        <v/>
      </c>
      <c r="D143" s="45" t="str">
        <f>'bloco 01'!S12</f>
        <v/>
      </c>
      <c r="E143" s="46" t="str">
        <f>IFERROR(('bloco 01'!T12),"")</f>
        <v/>
      </c>
      <c r="F143" s="48" t="str">
        <f>'bloco 01'!U12</f>
        <v/>
      </c>
    </row>
    <row r="144" ht="15.75" customHeight="1">
      <c r="A144" s="13" t="str">
        <f>'bloco 01'!$P$13</f>
        <v/>
      </c>
      <c r="B144" s="45" t="str">
        <f>'bloco 01'!Q13</f>
        <v/>
      </c>
      <c r="C144" s="45" t="str">
        <f>'bloco 01'!R13</f>
        <v/>
      </c>
      <c r="D144" s="45" t="str">
        <f>'bloco 01'!S13</f>
        <v/>
      </c>
      <c r="E144" s="46" t="str">
        <f>IFERROR(('bloco 01'!T13),"")</f>
        <v/>
      </c>
      <c r="F144" s="48" t="str">
        <f>'bloco 01'!U13</f>
        <v/>
      </c>
    </row>
    <row r="145" ht="15.75" customHeight="1">
      <c r="A145" s="13" t="str">
        <f>'bloco 01'!$P$14</f>
        <v/>
      </c>
      <c r="B145" s="45" t="str">
        <f>'bloco 01'!Q14</f>
        <v/>
      </c>
      <c r="C145" s="45" t="str">
        <f>'bloco 01'!R14</f>
        <v/>
      </c>
      <c r="D145" s="45" t="str">
        <f>'bloco 01'!S14</f>
        <v/>
      </c>
      <c r="E145" s="46" t="str">
        <f>IFERROR(('bloco 01'!T14),"")</f>
        <v/>
      </c>
      <c r="F145" s="48" t="str">
        <f>'bloco 01'!U14</f>
        <v/>
      </c>
    </row>
    <row r="146" ht="15.75" customHeight="1">
      <c r="A146" s="13" t="str">
        <f>'bloco 01'!$P$15</f>
        <v/>
      </c>
      <c r="B146" s="45" t="str">
        <f>'bloco 01'!Q15</f>
        <v/>
      </c>
      <c r="C146" s="45" t="str">
        <f>'bloco 01'!R15</f>
        <v/>
      </c>
      <c r="D146" s="45" t="str">
        <f>'bloco 01'!S15</f>
        <v/>
      </c>
      <c r="E146" s="46" t="str">
        <f>IFERROR(('bloco 01'!T15),"")</f>
        <v/>
      </c>
      <c r="F146" s="48" t="str">
        <f>'bloco 01'!U15</f>
        <v/>
      </c>
    </row>
    <row r="147" ht="15.75" customHeight="1">
      <c r="A147" s="28" t="s">
        <v>22</v>
      </c>
    </row>
    <row r="148" ht="15.75" customHeight="1">
      <c r="A148" s="31"/>
      <c r="B148" s="31" t="s">
        <v>13</v>
      </c>
      <c r="C148" s="32" t="s">
        <v>16</v>
      </c>
      <c r="D148" s="32" t="s">
        <v>15</v>
      </c>
      <c r="E148" s="32" t="s">
        <v>21</v>
      </c>
      <c r="F148" s="32" t="s">
        <v>11</v>
      </c>
    </row>
    <row r="149" ht="15.75" customHeight="1">
      <c r="A149" s="13" t="str">
        <f>'bloco 01'!$P$21</f>
        <v/>
      </c>
      <c r="B149" s="45" t="str">
        <f>'bloco 01'!Q21</f>
        <v/>
      </c>
      <c r="C149" s="45" t="str">
        <f>'bloco 01'!R21</f>
        <v/>
      </c>
      <c r="D149" s="45" t="str">
        <f>'bloco 01'!S21</f>
        <v/>
      </c>
      <c r="E149" s="46" t="str">
        <f>IFERROR(('bloco 01'!T21),"")</f>
        <v/>
      </c>
      <c r="F149" s="48" t="str">
        <f>'bloco 01'!U21</f>
        <v/>
      </c>
    </row>
    <row r="150" ht="15.75" customHeight="1">
      <c r="A150" s="13" t="str">
        <f>'bloco 01'!$P$22</f>
        <v/>
      </c>
      <c r="B150" s="45" t="str">
        <f>'bloco 01'!Q22</f>
        <v/>
      </c>
      <c r="C150" s="45" t="str">
        <f>'bloco 01'!R22</f>
        <v/>
      </c>
      <c r="D150" s="45" t="str">
        <f>'bloco 01'!S22</f>
        <v/>
      </c>
      <c r="E150" s="46" t="str">
        <f>IFERROR(('bloco 01'!T22),"")</f>
        <v/>
      </c>
      <c r="F150" s="48" t="str">
        <f>'bloco 01'!U22</f>
        <v/>
      </c>
    </row>
    <row r="151" ht="15.75" customHeight="1">
      <c r="A151" s="13" t="str">
        <f>'bloco 01'!$P$23</f>
        <v/>
      </c>
      <c r="B151" s="45" t="str">
        <f>'bloco 01'!Q23</f>
        <v/>
      </c>
      <c r="C151" s="45" t="str">
        <f>'bloco 01'!R23</f>
        <v/>
      </c>
      <c r="D151" s="45" t="str">
        <f>'bloco 01'!S23</f>
        <v/>
      </c>
      <c r="E151" s="46" t="str">
        <f>IFERROR(('bloco 01'!T23),"")</f>
        <v/>
      </c>
      <c r="F151" s="48" t="str">
        <f>'bloco 01'!U23</f>
        <v/>
      </c>
    </row>
    <row r="152" ht="15.75" customHeight="1">
      <c r="A152" s="13" t="str">
        <f>'bloco 01'!$P$24</f>
        <v/>
      </c>
      <c r="B152" s="45" t="str">
        <f>'bloco 01'!Q24</f>
        <v/>
      </c>
      <c r="C152" s="45" t="str">
        <f>'bloco 01'!R24</f>
        <v/>
      </c>
      <c r="D152" s="45" t="str">
        <f>'bloco 01'!S24</f>
        <v/>
      </c>
      <c r="E152" s="46" t="str">
        <f>IFERROR(('bloco 01'!T24),"")</f>
        <v/>
      </c>
      <c r="F152" s="48" t="str">
        <f>'bloco 01'!U24</f>
        <v/>
      </c>
    </row>
    <row r="153" ht="15.75" customHeight="1">
      <c r="A153" s="13" t="str">
        <f>'bloco 01'!$P$25</f>
        <v/>
      </c>
      <c r="B153" s="45" t="str">
        <f>'bloco 01'!Q25</f>
        <v/>
      </c>
      <c r="C153" s="45" t="str">
        <f>'bloco 01'!R25</f>
        <v/>
      </c>
      <c r="D153" s="45" t="str">
        <f>'bloco 01'!S25</f>
        <v/>
      </c>
      <c r="E153" s="46" t="str">
        <f>IFERROR(('bloco 01'!T25),"")</f>
        <v/>
      </c>
      <c r="F153" s="48" t="str">
        <f>'bloco 01'!U25</f>
        <v/>
      </c>
    </row>
    <row r="154" ht="15.75" customHeight="1">
      <c r="A154" s="13" t="str">
        <f>'bloco 01'!$P$26</f>
        <v/>
      </c>
      <c r="B154" s="45" t="str">
        <f>'bloco 01'!Q26</f>
        <v/>
      </c>
      <c r="C154" s="45" t="str">
        <f>'bloco 01'!R26</f>
        <v/>
      </c>
      <c r="D154" s="45" t="str">
        <f>'bloco 01'!S26</f>
        <v/>
      </c>
      <c r="E154" s="46" t="str">
        <f>IFERROR(('bloco 01'!T26),"")</f>
        <v/>
      </c>
      <c r="F154" s="48" t="str">
        <f>'bloco 01'!U26</f>
        <v/>
      </c>
    </row>
    <row r="155" ht="15.75" customHeight="1">
      <c r="A155" s="13" t="str">
        <f>'bloco 01'!$P$27</f>
        <v/>
      </c>
      <c r="B155" s="45" t="str">
        <f>'bloco 01'!Q27</f>
        <v/>
      </c>
      <c r="C155" s="45" t="str">
        <f>'bloco 01'!R27</f>
        <v/>
      </c>
      <c r="D155" s="45" t="str">
        <f>'bloco 01'!S27</f>
        <v/>
      </c>
      <c r="E155" s="46" t="str">
        <f>IFERROR(('bloco 01'!T27),"")</f>
        <v/>
      </c>
      <c r="F155" s="48" t="str">
        <f>'bloco 01'!U27</f>
        <v/>
      </c>
    </row>
    <row r="156" ht="15.75" customHeight="1">
      <c r="A156" s="13" t="str">
        <f>'bloco 01'!$P$28</f>
        <v/>
      </c>
      <c r="B156" s="45" t="str">
        <f>'bloco 01'!Q28</f>
        <v/>
      </c>
      <c r="C156" s="45" t="str">
        <f>'bloco 01'!R28</f>
        <v/>
      </c>
      <c r="D156" s="45" t="str">
        <f>'bloco 01'!S28</f>
        <v/>
      </c>
      <c r="E156" s="46" t="str">
        <f>IFERROR(('bloco 01'!T28),"")</f>
        <v/>
      </c>
      <c r="F156" s="48" t="str">
        <f>'bloco 01'!U28</f>
        <v/>
      </c>
    </row>
    <row r="157" ht="15.75" customHeight="1">
      <c r="A157" s="13" t="str">
        <f>'bloco 01'!$P$29</f>
        <v/>
      </c>
      <c r="B157" s="45" t="str">
        <f>'bloco 01'!Q29</f>
        <v/>
      </c>
      <c r="C157" s="45" t="str">
        <f>'bloco 01'!R29</f>
        <v/>
      </c>
      <c r="D157" s="45" t="str">
        <f>'bloco 01'!S29</f>
        <v/>
      </c>
      <c r="E157" s="46" t="str">
        <f>IFERROR(('bloco 01'!T29),"")</f>
        <v/>
      </c>
      <c r="F157" s="48" t="str">
        <f>'bloco 01'!U29</f>
        <v/>
      </c>
    </row>
    <row r="158" ht="15.75" customHeight="1">
      <c r="A158" s="13" t="str">
        <f>'bloco 01'!$P$30</f>
        <v/>
      </c>
      <c r="B158" s="45" t="str">
        <f>'bloco 01'!Q30</f>
        <v/>
      </c>
      <c r="C158" s="45" t="str">
        <f>'bloco 01'!R30</f>
        <v/>
      </c>
      <c r="D158" s="45" t="str">
        <f>'bloco 01'!S30</f>
        <v/>
      </c>
      <c r="E158" s="46" t="str">
        <f>IFERROR(('bloco 01'!T30),"")</f>
        <v/>
      </c>
      <c r="F158" s="48" t="str">
        <f>'bloco 01'!U30</f>
        <v/>
      </c>
    </row>
    <row r="159" ht="15.75" customHeight="1">
      <c r="A159" s="28" t="s">
        <v>26</v>
      </c>
    </row>
    <row r="160" ht="15.75" customHeight="1">
      <c r="A160" s="31"/>
      <c r="B160" s="31" t="s">
        <v>13</v>
      </c>
      <c r="C160" s="32" t="s">
        <v>16</v>
      </c>
      <c r="D160" s="32" t="s">
        <v>15</v>
      </c>
      <c r="E160" s="32" t="s">
        <v>21</v>
      </c>
      <c r="F160" s="32" t="s">
        <v>11</v>
      </c>
    </row>
    <row r="161" ht="15.75" customHeight="1">
      <c r="A161" s="13" t="str">
        <f>'bloco 01'!$P$36</f>
        <v/>
      </c>
      <c r="B161" s="45" t="str">
        <f>'bloco 01'!Q36</f>
        <v/>
      </c>
      <c r="C161" s="45" t="str">
        <f>'bloco 01'!R36</f>
        <v/>
      </c>
      <c r="D161" s="45" t="str">
        <f>'bloco 01'!S36</f>
        <v/>
      </c>
      <c r="E161" s="46" t="str">
        <f>IFERROR(('bloco 01'!T36),"")</f>
        <v/>
      </c>
      <c r="F161" s="48" t="str">
        <f>'bloco 01'!U36</f>
        <v/>
      </c>
    </row>
    <row r="162" ht="15.75" customHeight="1">
      <c r="A162" s="13" t="str">
        <f>'bloco 01'!$P$37</f>
        <v/>
      </c>
      <c r="B162" s="45" t="str">
        <f>'bloco 01'!Q37</f>
        <v/>
      </c>
      <c r="C162" s="45" t="str">
        <f>'bloco 01'!R37</f>
        <v/>
      </c>
      <c r="D162" s="45" t="str">
        <f>'bloco 01'!S37</f>
        <v/>
      </c>
      <c r="E162" s="46" t="str">
        <f>IFERROR(('bloco 01'!T37),"")</f>
        <v/>
      </c>
      <c r="F162" s="48" t="str">
        <f>'bloco 01'!U37</f>
        <v/>
      </c>
    </row>
    <row r="163" ht="15.75" customHeight="1">
      <c r="A163" s="13" t="str">
        <f>'bloco 01'!$P$38</f>
        <v/>
      </c>
      <c r="B163" s="45" t="str">
        <f>'bloco 01'!Q38</f>
        <v/>
      </c>
      <c r="C163" s="45" t="str">
        <f>'bloco 01'!R38</f>
        <v/>
      </c>
      <c r="D163" s="45" t="str">
        <f>'bloco 01'!S38</f>
        <v/>
      </c>
      <c r="E163" s="46" t="str">
        <f>IFERROR(('bloco 01'!T38),"")</f>
        <v/>
      </c>
      <c r="F163" s="48" t="str">
        <f>'bloco 01'!U38</f>
        <v/>
      </c>
    </row>
    <row r="164" ht="15.75" customHeight="1">
      <c r="A164" s="13" t="str">
        <f>'bloco 01'!$P$39</f>
        <v/>
      </c>
      <c r="B164" s="45" t="str">
        <f>'bloco 01'!Q39</f>
        <v/>
      </c>
      <c r="C164" s="45" t="str">
        <f>'bloco 01'!R39</f>
        <v/>
      </c>
      <c r="D164" s="45" t="str">
        <f>'bloco 01'!S39</f>
        <v/>
      </c>
      <c r="E164" s="46" t="str">
        <f>IFERROR(('bloco 01'!T39),"")</f>
        <v/>
      </c>
      <c r="F164" s="48" t="str">
        <f>'bloco 01'!U39</f>
        <v/>
      </c>
    </row>
    <row r="165" ht="15.75" customHeight="1">
      <c r="A165" s="13" t="str">
        <f>'bloco 01'!$P$40</f>
        <v/>
      </c>
      <c r="B165" s="45" t="str">
        <f>'bloco 01'!Q40</f>
        <v/>
      </c>
      <c r="C165" s="45" t="str">
        <f>'bloco 01'!R40</f>
        <v/>
      </c>
      <c r="D165" s="45" t="str">
        <f>'bloco 01'!S40</f>
        <v/>
      </c>
      <c r="E165" s="46" t="str">
        <f>IFERROR(('bloco 01'!T40),"")</f>
        <v/>
      </c>
      <c r="F165" s="48" t="str">
        <f>'bloco 01'!U40</f>
        <v/>
      </c>
    </row>
    <row r="166" ht="15.75" customHeight="1">
      <c r="A166" s="13" t="str">
        <f>'bloco 01'!$P$41</f>
        <v/>
      </c>
      <c r="B166" s="45" t="str">
        <f>'bloco 01'!Q41</f>
        <v/>
      </c>
      <c r="C166" s="45" t="str">
        <f>'bloco 01'!R41</f>
        <v/>
      </c>
      <c r="D166" s="45" t="str">
        <f>'bloco 01'!S41</f>
        <v/>
      </c>
      <c r="E166" s="46" t="str">
        <f>IFERROR(('bloco 01'!T41),"")</f>
        <v/>
      </c>
      <c r="F166" s="48" t="str">
        <f>'bloco 01'!U41</f>
        <v/>
      </c>
    </row>
    <row r="167" ht="15.75" customHeight="1">
      <c r="A167" s="13" t="str">
        <f>'bloco 01'!$P$42</f>
        <v/>
      </c>
      <c r="B167" s="45" t="str">
        <f>'bloco 01'!Q42</f>
        <v/>
      </c>
      <c r="C167" s="45" t="str">
        <f>'bloco 01'!R42</f>
        <v/>
      </c>
      <c r="D167" s="45" t="str">
        <f>'bloco 01'!S42</f>
        <v/>
      </c>
      <c r="E167" s="46" t="str">
        <f>IFERROR(('bloco 01'!T42),"")</f>
        <v/>
      </c>
      <c r="F167" s="48" t="str">
        <f>'bloco 01'!U42</f>
        <v/>
      </c>
    </row>
    <row r="168" ht="15.75" customHeight="1">
      <c r="A168" s="13" t="str">
        <f>'bloco 01'!$P$43</f>
        <v/>
      </c>
      <c r="B168" s="45" t="str">
        <f>'bloco 01'!Q43</f>
        <v/>
      </c>
      <c r="C168" s="45" t="str">
        <f>'bloco 01'!R43</f>
        <v/>
      </c>
      <c r="D168" s="45" t="str">
        <f>'bloco 01'!S43</f>
        <v/>
      </c>
      <c r="E168" s="46" t="str">
        <f>IFERROR(('bloco 01'!T43),"")</f>
        <v/>
      </c>
      <c r="F168" s="48" t="str">
        <f>'bloco 01'!U43</f>
        <v/>
      </c>
    </row>
    <row r="169" ht="15.75" customHeight="1">
      <c r="A169" s="13" t="str">
        <f>'bloco 01'!$P$44</f>
        <v/>
      </c>
      <c r="B169" s="45" t="str">
        <f>'bloco 01'!Q44</f>
        <v/>
      </c>
      <c r="C169" s="45" t="str">
        <f>'bloco 01'!R44</f>
        <v/>
      </c>
      <c r="D169" s="45" t="str">
        <f>'bloco 01'!S44</f>
        <v/>
      </c>
      <c r="E169" s="46" t="str">
        <f>IFERROR(('bloco 01'!T44),"")</f>
        <v/>
      </c>
      <c r="F169" s="48" t="str">
        <f>'bloco 01'!U44</f>
        <v/>
      </c>
    </row>
    <row r="170" ht="15.75" customHeight="1">
      <c r="A170" s="13" t="str">
        <f>'bloco 01'!$P$45</f>
        <v/>
      </c>
      <c r="B170" s="45" t="str">
        <f>'bloco 01'!Q45</f>
        <v/>
      </c>
      <c r="C170" s="45" t="str">
        <f>'bloco 01'!R45</f>
        <v/>
      </c>
      <c r="D170" s="45" t="str">
        <f>'bloco 01'!S45</f>
        <v/>
      </c>
      <c r="E170" s="46" t="str">
        <f>IFERROR(('bloco 01'!T45),"")</f>
        <v/>
      </c>
      <c r="F170" s="48" t="str">
        <f>'bloco 01'!U45</f>
        <v/>
      </c>
    </row>
    <row r="171" ht="15.75" customHeight="1">
      <c r="A171" s="28" t="s">
        <v>27</v>
      </c>
    </row>
    <row r="172" ht="15.75" customHeight="1">
      <c r="A172" s="31"/>
      <c r="B172" s="31" t="s">
        <v>13</v>
      </c>
      <c r="C172" s="32" t="s">
        <v>16</v>
      </c>
      <c r="D172" s="32" t="s">
        <v>15</v>
      </c>
      <c r="E172" s="32" t="s">
        <v>21</v>
      </c>
      <c r="F172" s="32" t="s">
        <v>11</v>
      </c>
    </row>
    <row r="173" ht="15.75" customHeight="1">
      <c r="A173" s="13" t="str">
        <f>'bloco 01'!$P$51</f>
        <v/>
      </c>
      <c r="B173" s="45" t="str">
        <f>'bloco 01'!Q51</f>
        <v/>
      </c>
      <c r="C173" s="45" t="str">
        <f>'bloco 01'!R51</f>
        <v/>
      </c>
      <c r="D173" s="45" t="str">
        <f>'bloco 01'!S51</f>
        <v/>
      </c>
      <c r="E173" s="46" t="str">
        <f>IFERROR(('bloco 01'!T51),"")</f>
        <v/>
      </c>
      <c r="F173" s="48" t="str">
        <f>'bloco 01'!U51</f>
        <v/>
      </c>
    </row>
    <row r="174" ht="15.75" customHeight="1">
      <c r="A174" s="13" t="str">
        <f>'bloco 01'!$P$52</f>
        <v/>
      </c>
      <c r="B174" s="45" t="str">
        <f>'bloco 01'!Q52</f>
        <v/>
      </c>
      <c r="C174" s="45" t="str">
        <f>'bloco 01'!R52</f>
        <v/>
      </c>
      <c r="D174" s="45" t="str">
        <f>'bloco 01'!S52</f>
        <v/>
      </c>
      <c r="E174" s="46" t="str">
        <f>IFERROR(('bloco 01'!T52),"")</f>
        <v/>
      </c>
      <c r="F174" s="48" t="str">
        <f>'bloco 01'!U52</f>
        <v/>
      </c>
    </row>
    <row r="175" ht="15.75" customHeight="1">
      <c r="A175" s="13" t="str">
        <f>'bloco 01'!$P$53</f>
        <v/>
      </c>
      <c r="B175" s="45" t="str">
        <f>'bloco 01'!Q53</f>
        <v/>
      </c>
      <c r="C175" s="45" t="str">
        <f>'bloco 01'!R53</f>
        <v/>
      </c>
      <c r="D175" s="45" t="str">
        <f>'bloco 01'!S53</f>
        <v/>
      </c>
      <c r="E175" s="46" t="str">
        <f>IFERROR(('bloco 01'!T53),"")</f>
        <v/>
      </c>
      <c r="F175" s="48" t="str">
        <f>'bloco 01'!U53</f>
        <v/>
      </c>
    </row>
    <row r="176" ht="15.75" customHeight="1">
      <c r="A176" s="13" t="str">
        <f>'bloco 01'!$P$54</f>
        <v/>
      </c>
      <c r="B176" s="45" t="str">
        <f>'bloco 01'!Q54</f>
        <v/>
      </c>
      <c r="C176" s="45" t="str">
        <f>'bloco 01'!R54</f>
        <v/>
      </c>
      <c r="D176" s="45" t="str">
        <f>'bloco 01'!S54</f>
        <v/>
      </c>
      <c r="E176" s="46" t="str">
        <f>IFERROR(('bloco 01'!T54),"")</f>
        <v/>
      </c>
      <c r="F176" s="48" t="str">
        <f>'bloco 01'!U54</f>
        <v/>
      </c>
    </row>
    <row r="177" ht="15.75" customHeight="1">
      <c r="A177" s="13" t="str">
        <f>'bloco 01'!$P$55</f>
        <v/>
      </c>
      <c r="B177" s="45" t="str">
        <f>'bloco 01'!Q55</f>
        <v/>
      </c>
      <c r="C177" s="45" t="str">
        <f>'bloco 01'!R55</f>
        <v/>
      </c>
      <c r="D177" s="45" t="str">
        <f>'bloco 01'!S55</f>
        <v/>
      </c>
      <c r="E177" s="46" t="str">
        <f>IFERROR(('bloco 01'!T55),"")</f>
        <v/>
      </c>
      <c r="F177" s="48" t="str">
        <f>'bloco 01'!U55</f>
        <v/>
      </c>
    </row>
    <row r="178" ht="15.75" customHeight="1">
      <c r="A178" s="13" t="str">
        <f>'bloco 01'!$P$56</f>
        <v/>
      </c>
      <c r="B178" s="45" t="str">
        <f>'bloco 01'!Q56</f>
        <v/>
      </c>
      <c r="C178" s="45" t="str">
        <f>'bloco 01'!R56</f>
        <v/>
      </c>
      <c r="D178" s="45" t="str">
        <f>'bloco 01'!S56</f>
        <v/>
      </c>
      <c r="E178" s="46" t="str">
        <f>IFERROR(('bloco 01'!T56),"")</f>
        <v/>
      </c>
      <c r="F178" s="48" t="str">
        <f>'bloco 01'!U56</f>
        <v/>
      </c>
    </row>
    <row r="179" ht="15.75" customHeight="1">
      <c r="A179" s="13" t="str">
        <f>'bloco 01'!$P$57</f>
        <v/>
      </c>
      <c r="B179" s="45" t="str">
        <f>'bloco 01'!Q57</f>
        <v/>
      </c>
      <c r="C179" s="45" t="str">
        <f>'bloco 01'!R57</f>
        <v/>
      </c>
      <c r="D179" s="45" t="str">
        <f>'bloco 01'!S57</f>
        <v/>
      </c>
      <c r="E179" s="46" t="str">
        <f>IFERROR(('bloco 01'!T57),"")</f>
        <v/>
      </c>
      <c r="F179" s="48" t="str">
        <f>'bloco 01'!U57</f>
        <v/>
      </c>
    </row>
    <row r="180" ht="15.75" customHeight="1">
      <c r="A180" s="13" t="str">
        <f>'bloco 01'!$P$58</f>
        <v/>
      </c>
      <c r="B180" s="45" t="str">
        <f>'bloco 01'!Q58</f>
        <v/>
      </c>
      <c r="C180" s="45" t="str">
        <f>'bloco 01'!R58</f>
        <v/>
      </c>
      <c r="D180" s="45" t="str">
        <f>'bloco 01'!S58</f>
        <v/>
      </c>
      <c r="E180" s="46" t="str">
        <f>IFERROR(('bloco 01'!T58),"")</f>
        <v/>
      </c>
      <c r="F180" s="48" t="str">
        <f>'bloco 01'!U58</f>
        <v/>
      </c>
    </row>
    <row r="181" ht="15.75" customHeight="1">
      <c r="A181" s="13" t="str">
        <f>'bloco 01'!$P$59</f>
        <v/>
      </c>
      <c r="B181" s="45" t="str">
        <f>'bloco 01'!Q59</f>
        <v/>
      </c>
      <c r="C181" s="45" t="str">
        <f>'bloco 01'!R59</f>
        <v/>
      </c>
      <c r="D181" s="45" t="str">
        <f>'bloco 01'!S59</f>
        <v/>
      </c>
      <c r="E181" s="46" t="str">
        <f>IFERROR(('bloco 01'!T59),"")</f>
        <v/>
      </c>
      <c r="F181" s="48" t="str">
        <f>'bloco 01'!U59</f>
        <v/>
      </c>
    </row>
    <row r="182" ht="15.75" customHeight="1">
      <c r="A182" s="13" t="str">
        <f>'bloco 01'!$P$60</f>
        <v/>
      </c>
      <c r="B182" s="45" t="str">
        <f>'bloco 01'!Q60</f>
        <v/>
      </c>
      <c r="C182" s="45" t="str">
        <f>'bloco 01'!R60</f>
        <v/>
      </c>
      <c r="D182" s="45" t="str">
        <f>'bloco 01'!S60</f>
        <v/>
      </c>
      <c r="E182" s="46" t="str">
        <f>IFERROR(('bloco 01'!T60),"")</f>
        <v/>
      </c>
      <c r="F182" s="48" t="str">
        <f>'bloco 01'!U60</f>
        <v/>
      </c>
    </row>
    <row r="183" ht="15.75" customHeight="1">
      <c r="A183" s="45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>
      <c r="A200" s="39">
        <f>'bloco 01'!X3</f>
        <v>46317</v>
      </c>
    </row>
    <row r="201" ht="15.75" customHeight="1">
      <c r="A201" s="40" t="s">
        <v>25</v>
      </c>
    </row>
    <row r="202" ht="15.75" customHeight="1">
      <c r="A202" s="28" t="s">
        <v>5</v>
      </c>
    </row>
    <row r="203" ht="15.75" customHeight="1">
      <c r="A203" s="31"/>
      <c r="B203" s="31" t="s">
        <v>13</v>
      </c>
      <c r="C203" s="32" t="s">
        <v>16</v>
      </c>
      <c r="D203" s="32" t="s">
        <v>15</v>
      </c>
      <c r="E203" s="32" t="s">
        <v>21</v>
      </c>
      <c r="F203" s="32" t="s">
        <v>11</v>
      </c>
    </row>
    <row r="204" ht="15.75" customHeight="1">
      <c r="A204" s="13" t="str">
        <f>'bloco 01'!$W$6</f>
        <v/>
      </c>
      <c r="B204" s="45" t="str">
        <f>'bloco 01'!X6</f>
        <v/>
      </c>
      <c r="C204" s="45" t="str">
        <f>'bloco 01'!Y6</f>
        <v/>
      </c>
      <c r="D204" s="45" t="str">
        <f>'bloco 01'!Z6</f>
        <v/>
      </c>
      <c r="E204" s="46" t="str">
        <f>IFERROR(('bloco 01'!AA6),"")</f>
        <v/>
      </c>
      <c r="F204" s="48" t="str">
        <f>'bloco 01'!AB6</f>
        <v/>
      </c>
    </row>
    <row r="205" ht="15.75" customHeight="1">
      <c r="A205" s="13" t="str">
        <f>'bloco 01'!$W$7</f>
        <v/>
      </c>
      <c r="B205" s="45" t="str">
        <f>'bloco 01'!X7</f>
        <v/>
      </c>
      <c r="C205" s="45" t="str">
        <f>'bloco 01'!Y7</f>
        <v/>
      </c>
      <c r="D205" s="45" t="str">
        <f>'bloco 01'!Z7</f>
        <v/>
      </c>
      <c r="E205" s="46" t="str">
        <f>IFERROR(('bloco 01'!AA7),"")</f>
        <v/>
      </c>
      <c r="F205" s="48" t="str">
        <f>'bloco 01'!AB7</f>
        <v/>
      </c>
    </row>
    <row r="206" ht="15.75" customHeight="1">
      <c r="A206" s="13" t="str">
        <f>'bloco 01'!$W$8</f>
        <v/>
      </c>
      <c r="B206" s="45" t="str">
        <f>'bloco 01'!X8</f>
        <v/>
      </c>
      <c r="C206" s="45" t="str">
        <f>'bloco 01'!Y8</f>
        <v/>
      </c>
      <c r="D206" s="45" t="str">
        <f>'bloco 01'!Z8</f>
        <v/>
      </c>
      <c r="E206" s="46" t="str">
        <f>IFERROR(('bloco 01'!AA8),"")</f>
        <v/>
      </c>
      <c r="F206" s="48" t="str">
        <f>'bloco 01'!AB8</f>
        <v/>
      </c>
    </row>
    <row r="207" ht="15.75" customHeight="1">
      <c r="A207" s="13" t="str">
        <f>'bloco 01'!$W$9</f>
        <v/>
      </c>
      <c r="B207" s="45" t="str">
        <f>'bloco 01'!X9</f>
        <v/>
      </c>
      <c r="C207" s="45" t="str">
        <f>'bloco 01'!Y9</f>
        <v/>
      </c>
      <c r="D207" s="45" t="str">
        <f>'bloco 01'!Z9</f>
        <v/>
      </c>
      <c r="E207" s="46" t="str">
        <f>IFERROR(('bloco 01'!AA9),"")</f>
        <v/>
      </c>
      <c r="F207" s="48" t="str">
        <f>'bloco 01'!AB9</f>
        <v/>
      </c>
    </row>
    <row r="208" ht="15.75" customHeight="1">
      <c r="A208" s="13" t="str">
        <f>'bloco 01'!$W$10</f>
        <v/>
      </c>
      <c r="B208" s="45" t="str">
        <f>'bloco 01'!X10</f>
        <v/>
      </c>
      <c r="C208" s="45" t="str">
        <f>'bloco 01'!Y10</f>
        <v/>
      </c>
      <c r="D208" s="45" t="str">
        <f>'bloco 01'!Z10</f>
        <v/>
      </c>
      <c r="E208" s="46" t="str">
        <f>IFERROR(('bloco 01'!AA10),"")</f>
        <v/>
      </c>
      <c r="F208" s="48" t="str">
        <f>'bloco 01'!AB10</f>
        <v/>
      </c>
    </row>
    <row r="209" ht="15.75" customHeight="1">
      <c r="A209" s="13" t="str">
        <f>'bloco 01'!$W$11</f>
        <v/>
      </c>
      <c r="B209" s="45" t="str">
        <f>'bloco 01'!X11</f>
        <v/>
      </c>
      <c r="C209" s="45" t="str">
        <f>'bloco 01'!Y11</f>
        <v/>
      </c>
      <c r="D209" s="45" t="str">
        <f>'bloco 01'!Z11</f>
        <v/>
      </c>
      <c r="E209" s="46" t="str">
        <f>IFERROR(('bloco 01'!AA11),"")</f>
        <v/>
      </c>
      <c r="F209" s="48" t="str">
        <f>'bloco 01'!AB11</f>
        <v/>
      </c>
    </row>
    <row r="210" ht="15.75" customHeight="1">
      <c r="A210" s="13" t="str">
        <f>'bloco 01'!$W$12</f>
        <v/>
      </c>
      <c r="B210" s="45" t="str">
        <f>'bloco 01'!X12</f>
        <v/>
      </c>
      <c r="C210" s="45" t="str">
        <f>'bloco 01'!Y12</f>
        <v/>
      </c>
      <c r="D210" s="45" t="str">
        <f>'bloco 01'!Z12</f>
        <v/>
      </c>
      <c r="E210" s="46" t="str">
        <f>IFERROR(('bloco 01'!AA12),"")</f>
        <v/>
      </c>
      <c r="F210" s="48" t="str">
        <f>'bloco 01'!AB12</f>
        <v/>
      </c>
    </row>
    <row r="211" ht="15.75" customHeight="1">
      <c r="A211" s="13" t="str">
        <f>'bloco 01'!$W$13</f>
        <v/>
      </c>
      <c r="B211" s="45" t="str">
        <f>'bloco 01'!X13</f>
        <v/>
      </c>
      <c r="C211" s="45" t="str">
        <f>'bloco 01'!Y13</f>
        <v/>
      </c>
      <c r="D211" s="45" t="str">
        <f>'bloco 01'!Z13</f>
        <v/>
      </c>
      <c r="E211" s="46" t="str">
        <f>IFERROR(('bloco 01'!AA13),"")</f>
        <v/>
      </c>
      <c r="F211" s="48" t="str">
        <f>'bloco 01'!AB13</f>
        <v/>
      </c>
    </row>
    <row r="212" ht="15.75" customHeight="1">
      <c r="A212" s="13" t="str">
        <f>'bloco 01'!$W$14</f>
        <v/>
      </c>
      <c r="B212" s="45" t="str">
        <f>'bloco 01'!X14</f>
        <v/>
      </c>
      <c r="C212" s="45" t="str">
        <f>'bloco 01'!Y14</f>
        <v/>
      </c>
      <c r="D212" s="45" t="str">
        <f>'bloco 01'!Z14</f>
        <v/>
      </c>
      <c r="E212" s="46" t="str">
        <f>IFERROR(('bloco 01'!AA14),"")</f>
        <v/>
      </c>
      <c r="F212" s="48" t="str">
        <f>'bloco 01'!AB14</f>
        <v/>
      </c>
    </row>
    <row r="213" ht="15.75" customHeight="1">
      <c r="A213" s="13" t="str">
        <f>'bloco 01'!$W$15</f>
        <v/>
      </c>
      <c r="B213" s="45" t="str">
        <f>'bloco 01'!X15</f>
        <v/>
      </c>
      <c r="C213" s="45" t="str">
        <f>'bloco 01'!Y15</f>
        <v/>
      </c>
      <c r="D213" s="45" t="str">
        <f>'bloco 01'!Z15</f>
        <v/>
      </c>
      <c r="E213" s="46" t="str">
        <f>IFERROR(('bloco 01'!AA15),"")</f>
        <v/>
      </c>
      <c r="F213" s="48" t="str">
        <f>'bloco 01'!AB15</f>
        <v/>
      </c>
    </row>
    <row r="214" ht="15.75" customHeight="1">
      <c r="A214" s="28" t="s">
        <v>22</v>
      </c>
    </row>
    <row r="215" ht="15.75" customHeight="1">
      <c r="A215" s="31"/>
      <c r="B215" s="31" t="s">
        <v>13</v>
      </c>
      <c r="C215" s="32" t="s">
        <v>16</v>
      </c>
      <c r="D215" s="32" t="s">
        <v>15</v>
      </c>
      <c r="E215" s="32" t="s">
        <v>21</v>
      </c>
      <c r="F215" s="32" t="s">
        <v>11</v>
      </c>
    </row>
    <row r="216" ht="15.75" customHeight="1">
      <c r="A216" s="13" t="str">
        <f>'bloco 01'!$W$21</f>
        <v/>
      </c>
      <c r="B216" s="45" t="str">
        <f>'bloco 01'!X21</f>
        <v/>
      </c>
      <c r="C216" s="45" t="str">
        <f>'bloco 01'!Y21</f>
        <v/>
      </c>
      <c r="D216" s="45" t="str">
        <f>'bloco 01'!Z21</f>
        <v/>
      </c>
      <c r="E216" s="46" t="str">
        <f>IFERROR(('bloco 01'!AA21),"")</f>
        <v/>
      </c>
      <c r="F216" s="48" t="str">
        <f>'bloco 01'!AB21</f>
        <v/>
      </c>
    </row>
    <row r="217" ht="15.75" customHeight="1">
      <c r="A217" s="13" t="str">
        <f>'bloco 01'!$W$22</f>
        <v/>
      </c>
      <c r="B217" s="45" t="str">
        <f>'bloco 01'!X22</f>
        <v/>
      </c>
      <c r="C217" s="45" t="str">
        <f>'bloco 01'!Y22</f>
        <v/>
      </c>
      <c r="D217" s="45" t="str">
        <f>'bloco 01'!Z22</f>
        <v/>
      </c>
      <c r="E217" s="46" t="str">
        <f>IFERROR(('bloco 01'!AA22),"")</f>
        <v/>
      </c>
      <c r="F217" s="48" t="str">
        <f>'bloco 01'!AB22</f>
        <v/>
      </c>
    </row>
    <row r="218" ht="15.75" customHeight="1">
      <c r="A218" s="13" t="str">
        <f>'bloco 01'!$W$23</f>
        <v/>
      </c>
      <c r="B218" s="45" t="str">
        <f>'bloco 01'!X23</f>
        <v/>
      </c>
      <c r="C218" s="45" t="str">
        <f>'bloco 01'!Y23</f>
        <v/>
      </c>
      <c r="D218" s="45" t="str">
        <f>'bloco 01'!Z23</f>
        <v/>
      </c>
      <c r="E218" s="46" t="str">
        <f>IFERROR(('bloco 01'!AA23),"")</f>
        <v/>
      </c>
      <c r="F218" s="48" t="str">
        <f>'bloco 01'!AB23</f>
        <v/>
      </c>
    </row>
    <row r="219" ht="15.75" customHeight="1">
      <c r="A219" s="13" t="str">
        <f>'bloco 01'!$W$24</f>
        <v/>
      </c>
      <c r="B219" s="45" t="str">
        <f>'bloco 01'!X24</f>
        <v/>
      </c>
      <c r="C219" s="45" t="str">
        <f>'bloco 01'!Y24</f>
        <v/>
      </c>
      <c r="D219" s="45" t="str">
        <f>'bloco 01'!Z24</f>
        <v/>
      </c>
      <c r="E219" s="46" t="str">
        <f>IFERROR(('bloco 01'!AA24),"")</f>
        <v/>
      </c>
      <c r="F219" s="48" t="str">
        <f>'bloco 01'!AB24</f>
        <v/>
      </c>
    </row>
    <row r="220" ht="15.75" customHeight="1">
      <c r="A220" s="13" t="str">
        <f>'bloco 01'!$W$25</f>
        <v/>
      </c>
      <c r="B220" s="45" t="str">
        <f>'bloco 01'!X25</f>
        <v/>
      </c>
      <c r="C220" s="45" t="str">
        <f>'bloco 01'!Y25</f>
        <v/>
      </c>
      <c r="D220" s="45" t="str">
        <f>'bloco 01'!Z25</f>
        <v/>
      </c>
      <c r="E220" s="46" t="str">
        <f>IFERROR(('bloco 01'!AA25),"")</f>
        <v/>
      </c>
      <c r="F220" s="48" t="str">
        <f>'bloco 01'!AB25</f>
        <v/>
      </c>
    </row>
    <row r="221" ht="15.75" customHeight="1">
      <c r="A221" s="13" t="str">
        <f>'bloco 01'!$W$26</f>
        <v/>
      </c>
      <c r="B221" s="45" t="str">
        <f>'bloco 01'!X26</f>
        <v/>
      </c>
      <c r="C221" s="45" t="str">
        <f>'bloco 01'!Y26</f>
        <v/>
      </c>
      <c r="D221" s="45" t="str">
        <f>'bloco 01'!Z26</f>
        <v/>
      </c>
      <c r="E221" s="46" t="str">
        <f>IFERROR(('bloco 01'!AA26),"")</f>
        <v/>
      </c>
      <c r="F221" s="48" t="str">
        <f>'bloco 01'!AB26</f>
        <v/>
      </c>
    </row>
    <row r="222" ht="15.75" customHeight="1">
      <c r="A222" s="13" t="str">
        <f>'bloco 01'!$W$27</f>
        <v/>
      </c>
      <c r="B222" s="45" t="str">
        <f>'bloco 01'!X27</f>
        <v/>
      </c>
      <c r="C222" s="45" t="str">
        <f>'bloco 01'!Y27</f>
        <v/>
      </c>
      <c r="D222" s="45" t="str">
        <f>'bloco 01'!Z27</f>
        <v/>
      </c>
      <c r="E222" s="46" t="str">
        <f>IFERROR(('bloco 01'!AA27),"")</f>
        <v/>
      </c>
      <c r="F222" s="48" t="str">
        <f>'bloco 01'!AB27</f>
        <v/>
      </c>
    </row>
    <row r="223" ht="15.75" customHeight="1">
      <c r="A223" s="13" t="str">
        <f>'bloco 01'!$W$28</f>
        <v/>
      </c>
      <c r="B223" s="45" t="str">
        <f>'bloco 01'!X28</f>
        <v/>
      </c>
      <c r="C223" s="45" t="str">
        <f>'bloco 01'!Y28</f>
        <v/>
      </c>
      <c r="D223" s="45" t="str">
        <f>'bloco 01'!Z28</f>
        <v/>
      </c>
      <c r="E223" s="46" t="str">
        <f>IFERROR(('bloco 01'!AA28),"")</f>
        <v/>
      </c>
      <c r="F223" s="48" t="str">
        <f>'bloco 01'!AB28</f>
        <v/>
      </c>
    </row>
    <row r="224" ht="15.75" customHeight="1">
      <c r="A224" s="13" t="str">
        <f>'bloco 01'!$W$29</f>
        <v/>
      </c>
      <c r="B224" s="45" t="str">
        <f>'bloco 01'!X29</f>
        <v/>
      </c>
      <c r="C224" s="45" t="str">
        <f>'bloco 01'!Y29</f>
        <v/>
      </c>
      <c r="D224" s="45" t="str">
        <f>'bloco 01'!Z29</f>
        <v/>
      </c>
      <c r="E224" s="46" t="str">
        <f>IFERROR(('bloco 01'!AA29),"")</f>
        <v/>
      </c>
      <c r="F224" s="48" t="str">
        <f>'bloco 01'!AB29</f>
        <v/>
      </c>
    </row>
    <row r="225" ht="15.75" customHeight="1">
      <c r="A225" s="13" t="str">
        <f>'bloco 01'!$W$30</f>
        <v/>
      </c>
      <c r="B225" s="45" t="str">
        <f>'bloco 01'!X30</f>
        <v/>
      </c>
      <c r="C225" s="45" t="str">
        <f>'bloco 01'!Y30</f>
        <v/>
      </c>
      <c r="D225" s="45" t="str">
        <f>'bloco 01'!Z30</f>
        <v/>
      </c>
      <c r="E225" s="46" t="str">
        <f>IFERROR(('bloco 01'!AA30),"")</f>
        <v/>
      </c>
      <c r="F225" s="48" t="str">
        <f>'bloco 01'!AB30</f>
        <v/>
      </c>
    </row>
    <row r="226" ht="15.75" customHeight="1">
      <c r="A226" s="28" t="s">
        <v>26</v>
      </c>
    </row>
    <row r="227" ht="15.75" customHeight="1">
      <c r="A227" s="31"/>
      <c r="B227" s="31" t="s">
        <v>13</v>
      </c>
      <c r="C227" s="32" t="s">
        <v>16</v>
      </c>
      <c r="D227" s="32" t="s">
        <v>15</v>
      </c>
      <c r="E227" s="32" t="s">
        <v>21</v>
      </c>
      <c r="F227" s="32" t="s">
        <v>11</v>
      </c>
    </row>
    <row r="228" ht="15.75" customHeight="1">
      <c r="A228" s="13" t="str">
        <f>'bloco 01'!$W$36</f>
        <v/>
      </c>
      <c r="B228" s="45" t="str">
        <f>'bloco 01'!X36</f>
        <v/>
      </c>
      <c r="C228" s="45" t="str">
        <f>'bloco 01'!Y36</f>
        <v/>
      </c>
      <c r="D228" s="45" t="str">
        <f>'bloco 01'!Z36</f>
        <v/>
      </c>
      <c r="E228" s="46" t="str">
        <f>IFERROR(('bloco 01'!AA36),"")</f>
        <v/>
      </c>
      <c r="F228" s="48" t="str">
        <f>'bloco 01'!AB36</f>
        <v/>
      </c>
    </row>
    <row r="229" ht="15.75" customHeight="1">
      <c r="A229" s="13" t="str">
        <f>'bloco 01'!$W$37</f>
        <v/>
      </c>
      <c r="B229" s="45" t="str">
        <f>'bloco 01'!X37</f>
        <v/>
      </c>
      <c r="C229" s="45" t="str">
        <f>'bloco 01'!Y37</f>
        <v/>
      </c>
      <c r="D229" s="45" t="str">
        <f>'bloco 01'!Z37</f>
        <v/>
      </c>
      <c r="E229" s="46" t="str">
        <f>IFERROR(('bloco 01'!AA37),"")</f>
        <v/>
      </c>
      <c r="F229" s="48" t="str">
        <f>'bloco 01'!AB37</f>
        <v/>
      </c>
    </row>
    <row r="230" ht="15.75" customHeight="1">
      <c r="A230" s="13" t="str">
        <f>'bloco 01'!$W$38</f>
        <v/>
      </c>
      <c r="B230" s="45" t="str">
        <f>'bloco 01'!X38</f>
        <v/>
      </c>
      <c r="C230" s="45" t="str">
        <f>'bloco 01'!Y38</f>
        <v/>
      </c>
      <c r="D230" s="45" t="str">
        <f>'bloco 01'!Z38</f>
        <v/>
      </c>
      <c r="E230" s="46" t="str">
        <f>IFERROR(('bloco 01'!AA38),"")</f>
        <v/>
      </c>
      <c r="F230" s="48" t="str">
        <f>'bloco 01'!AB38</f>
        <v/>
      </c>
    </row>
    <row r="231" ht="15.75" customHeight="1">
      <c r="A231" s="13" t="str">
        <f>'bloco 01'!$W$39</f>
        <v/>
      </c>
      <c r="B231" s="45" t="str">
        <f>'bloco 01'!X39</f>
        <v/>
      </c>
      <c r="C231" s="45" t="str">
        <f>'bloco 01'!Y39</f>
        <v/>
      </c>
      <c r="D231" s="45" t="str">
        <f>'bloco 01'!Z39</f>
        <v/>
      </c>
      <c r="E231" s="46" t="str">
        <f>IFERROR(('bloco 01'!AA39),"")</f>
        <v/>
      </c>
      <c r="F231" s="48" t="str">
        <f>'bloco 01'!AB39</f>
        <v/>
      </c>
    </row>
    <row r="232" ht="15.75" customHeight="1">
      <c r="A232" s="13" t="str">
        <f>'bloco 01'!$W$40</f>
        <v/>
      </c>
      <c r="B232" s="45" t="str">
        <f>'bloco 01'!X40</f>
        <v/>
      </c>
      <c r="C232" s="45" t="str">
        <f>'bloco 01'!Y40</f>
        <v/>
      </c>
      <c r="D232" s="45" t="str">
        <f>'bloco 01'!Z40</f>
        <v/>
      </c>
      <c r="E232" s="46" t="str">
        <f>IFERROR(('bloco 01'!AA40),"")</f>
        <v/>
      </c>
      <c r="F232" s="48" t="str">
        <f>'bloco 01'!AB40</f>
        <v/>
      </c>
    </row>
    <row r="233" ht="15.75" customHeight="1">
      <c r="A233" s="13" t="str">
        <f>'bloco 01'!$W$41</f>
        <v/>
      </c>
      <c r="B233" s="45" t="str">
        <f>'bloco 01'!X41</f>
        <v/>
      </c>
      <c r="C233" s="45" t="str">
        <f>'bloco 01'!Y41</f>
        <v/>
      </c>
      <c r="D233" s="45" t="str">
        <f>'bloco 01'!Z41</f>
        <v/>
      </c>
      <c r="E233" s="46" t="str">
        <f>IFERROR(('bloco 01'!AA41),"")</f>
        <v/>
      </c>
      <c r="F233" s="48" t="str">
        <f>'bloco 01'!AB41</f>
        <v/>
      </c>
    </row>
    <row r="234" ht="15.75" customHeight="1">
      <c r="A234" s="13" t="str">
        <f>'bloco 01'!$W$42</f>
        <v/>
      </c>
      <c r="B234" s="45" t="str">
        <f>'bloco 01'!X42</f>
        <v/>
      </c>
      <c r="C234" s="45" t="str">
        <f>'bloco 01'!Y42</f>
        <v/>
      </c>
      <c r="D234" s="45" t="str">
        <f>'bloco 01'!Z42</f>
        <v/>
      </c>
      <c r="E234" s="46" t="str">
        <f>IFERROR(('bloco 01'!AA42),"")</f>
        <v/>
      </c>
      <c r="F234" s="48" t="str">
        <f>'bloco 01'!AB42</f>
        <v/>
      </c>
    </row>
    <row r="235" ht="15.75" customHeight="1">
      <c r="A235" s="13" t="str">
        <f>'bloco 01'!$W$43</f>
        <v/>
      </c>
      <c r="B235" s="45" t="str">
        <f>'bloco 01'!X43</f>
        <v/>
      </c>
      <c r="C235" s="45" t="str">
        <f>'bloco 01'!Y43</f>
        <v/>
      </c>
      <c r="D235" s="45" t="str">
        <f>'bloco 01'!Z43</f>
        <v/>
      </c>
      <c r="E235" s="46" t="str">
        <f>IFERROR(('bloco 01'!AA43),"")</f>
        <v/>
      </c>
      <c r="F235" s="48" t="str">
        <f>'bloco 01'!AB43</f>
        <v/>
      </c>
    </row>
    <row r="236" ht="15.75" customHeight="1">
      <c r="A236" s="13" t="str">
        <f>'bloco 01'!$W$44</f>
        <v/>
      </c>
      <c r="B236" s="45" t="str">
        <f>'bloco 01'!X44</f>
        <v/>
      </c>
      <c r="C236" s="45" t="str">
        <f>'bloco 01'!Y44</f>
        <v/>
      </c>
      <c r="D236" s="45" t="str">
        <f>'bloco 01'!Z44</f>
        <v/>
      </c>
      <c r="E236" s="46" t="str">
        <f>IFERROR(('bloco 01'!AA44),"")</f>
        <v/>
      </c>
      <c r="F236" s="48" t="str">
        <f>'bloco 01'!AB44</f>
        <v/>
      </c>
    </row>
    <row r="237" ht="15.75" customHeight="1">
      <c r="A237" s="13" t="str">
        <f>'bloco 01'!$W$45</f>
        <v/>
      </c>
      <c r="B237" s="45" t="str">
        <f>'bloco 01'!X45</f>
        <v/>
      </c>
      <c r="C237" s="45" t="str">
        <f>'bloco 01'!Y45</f>
        <v/>
      </c>
      <c r="D237" s="45" t="str">
        <f>'bloco 01'!Z45</f>
        <v/>
      </c>
      <c r="E237" s="46" t="str">
        <f>IFERROR(('bloco 01'!AA45),"")</f>
        <v/>
      </c>
      <c r="F237" s="48" t="str">
        <f>'bloco 01'!AB45</f>
        <v/>
      </c>
    </row>
    <row r="238" ht="15.75" customHeight="1">
      <c r="A238" s="28" t="s">
        <v>27</v>
      </c>
    </row>
    <row r="239" ht="15.75" customHeight="1">
      <c r="A239" s="31"/>
      <c r="B239" s="31" t="s">
        <v>13</v>
      </c>
      <c r="C239" s="32" t="s">
        <v>16</v>
      </c>
      <c r="D239" s="32" t="s">
        <v>15</v>
      </c>
      <c r="E239" s="32" t="s">
        <v>21</v>
      </c>
      <c r="F239" s="32" t="s">
        <v>11</v>
      </c>
    </row>
    <row r="240" ht="15.75" customHeight="1">
      <c r="A240" s="13" t="str">
        <f>'bloco 01'!$W$51</f>
        <v/>
      </c>
      <c r="B240" s="45" t="str">
        <f>'bloco 01'!X51</f>
        <v/>
      </c>
      <c r="C240" s="45" t="str">
        <f>'bloco 01'!Y51</f>
        <v/>
      </c>
      <c r="D240" s="45" t="str">
        <f>'bloco 01'!Z51</f>
        <v/>
      </c>
      <c r="E240" s="46" t="str">
        <f>IFERROR(('bloco 01'!AA51),"")</f>
        <v/>
      </c>
      <c r="F240" s="48" t="str">
        <f>'bloco 01'!AB51</f>
        <v/>
      </c>
    </row>
    <row r="241" ht="15.75" customHeight="1">
      <c r="A241" s="13" t="str">
        <f>'bloco 01'!$W$52</f>
        <v/>
      </c>
      <c r="B241" s="45" t="str">
        <f>'bloco 01'!X52</f>
        <v/>
      </c>
      <c r="C241" s="45" t="str">
        <f>'bloco 01'!Y52</f>
        <v/>
      </c>
      <c r="D241" s="45" t="str">
        <f>'bloco 01'!Z52</f>
        <v/>
      </c>
      <c r="E241" s="46" t="str">
        <f>IFERROR(('bloco 01'!AA52),"")</f>
        <v/>
      </c>
      <c r="F241" s="48" t="str">
        <f>'bloco 01'!AB52</f>
        <v/>
      </c>
    </row>
    <row r="242" ht="15.75" customHeight="1">
      <c r="A242" s="13" t="str">
        <f>'bloco 01'!$W$53</f>
        <v/>
      </c>
      <c r="B242" s="45" t="str">
        <f>'bloco 01'!X53</f>
        <v/>
      </c>
      <c r="C242" s="45" t="str">
        <f>'bloco 01'!Y53</f>
        <v/>
      </c>
      <c r="D242" s="45" t="str">
        <f>'bloco 01'!Z53</f>
        <v/>
      </c>
      <c r="E242" s="46" t="str">
        <f>IFERROR(('bloco 01'!AA53),"")</f>
        <v/>
      </c>
      <c r="F242" s="48" t="str">
        <f>'bloco 01'!AB53</f>
        <v/>
      </c>
    </row>
    <row r="243" ht="15.75" customHeight="1">
      <c r="A243" s="13" t="str">
        <f>'bloco 01'!$W$54</f>
        <v/>
      </c>
      <c r="B243" s="45" t="str">
        <f>'bloco 01'!X54</f>
        <v/>
      </c>
      <c r="C243" s="45" t="str">
        <f>'bloco 01'!Y54</f>
        <v/>
      </c>
      <c r="D243" s="45" t="str">
        <f>'bloco 01'!Z54</f>
        <v/>
      </c>
      <c r="E243" s="46" t="str">
        <f>IFERROR(('bloco 01'!AA54),"")</f>
        <v/>
      </c>
      <c r="F243" s="48" t="str">
        <f>'bloco 01'!AB54</f>
        <v/>
      </c>
    </row>
    <row r="244" ht="15.75" customHeight="1">
      <c r="A244" s="13" t="str">
        <f>'bloco 01'!$W$55</f>
        <v/>
      </c>
      <c r="B244" s="45" t="str">
        <f>'bloco 01'!X55</f>
        <v/>
      </c>
      <c r="C244" s="45" t="str">
        <f>'bloco 01'!Y55</f>
        <v/>
      </c>
      <c r="D244" s="45" t="str">
        <f>'bloco 01'!Z55</f>
        <v/>
      </c>
      <c r="E244" s="46" t="str">
        <f>IFERROR(('bloco 01'!AA55),"")</f>
        <v/>
      </c>
      <c r="F244" s="48" t="str">
        <f>'bloco 01'!AB55</f>
        <v/>
      </c>
    </row>
    <row r="245" ht="15.75" customHeight="1">
      <c r="A245" s="13" t="str">
        <f>'bloco 01'!$W$56</f>
        <v/>
      </c>
      <c r="B245" s="45" t="str">
        <f>'bloco 01'!X56</f>
        <v/>
      </c>
      <c r="C245" s="45" t="str">
        <f>'bloco 01'!Y56</f>
        <v/>
      </c>
      <c r="D245" s="45" t="str">
        <f>'bloco 01'!Z56</f>
        <v/>
      </c>
      <c r="E245" s="46" t="str">
        <f>IFERROR(('bloco 01'!AA56),"")</f>
        <v/>
      </c>
      <c r="F245" s="48" t="str">
        <f>'bloco 01'!AB56</f>
        <v/>
      </c>
    </row>
    <row r="246" ht="15.75" customHeight="1">
      <c r="A246" s="13" t="str">
        <f>'bloco 01'!$W$57</f>
        <v/>
      </c>
      <c r="B246" s="45" t="str">
        <f>'bloco 01'!X57</f>
        <v/>
      </c>
      <c r="C246" s="45" t="str">
        <f>'bloco 01'!Y57</f>
        <v/>
      </c>
      <c r="D246" s="45" t="str">
        <f>'bloco 01'!Z57</f>
        <v/>
      </c>
      <c r="E246" s="46" t="str">
        <f>IFERROR(('bloco 01'!AA57),"")</f>
        <v/>
      </c>
      <c r="F246" s="48" t="str">
        <f>'bloco 01'!AB57</f>
        <v/>
      </c>
    </row>
    <row r="247" ht="15.75" customHeight="1">
      <c r="A247" s="13" t="str">
        <f>'bloco 01'!$W$58</f>
        <v/>
      </c>
      <c r="B247" s="45" t="str">
        <f>'bloco 01'!X58</f>
        <v/>
      </c>
      <c r="C247" s="45" t="str">
        <f>'bloco 01'!Y58</f>
        <v/>
      </c>
      <c r="D247" s="45" t="str">
        <f>'bloco 01'!Z58</f>
        <v/>
      </c>
      <c r="E247" s="46" t="str">
        <f>IFERROR(('bloco 01'!AA58),"")</f>
        <v/>
      </c>
      <c r="F247" s="48" t="str">
        <f>'bloco 01'!AB58</f>
        <v/>
      </c>
    </row>
    <row r="248" ht="15.75" customHeight="1">
      <c r="A248" s="13" t="str">
        <f>'bloco 01'!$W$59</f>
        <v/>
      </c>
      <c r="B248" s="45" t="str">
        <f>'bloco 01'!X59</f>
        <v/>
      </c>
      <c r="C248" s="45" t="str">
        <f>'bloco 01'!Y59</f>
        <v/>
      </c>
      <c r="D248" s="45" t="str">
        <f>'bloco 01'!Z59</f>
        <v/>
      </c>
      <c r="E248" s="46" t="str">
        <f>IFERROR(('bloco 01'!AA59),"")</f>
        <v/>
      </c>
      <c r="F248" s="48" t="str">
        <f>'bloco 01'!AB59</f>
        <v/>
      </c>
    </row>
    <row r="249" ht="15.75" customHeight="1">
      <c r="A249" s="13" t="str">
        <f>'bloco 01'!$W$60</f>
        <v/>
      </c>
      <c r="B249" s="45" t="str">
        <f>'bloco 01'!X60</f>
        <v/>
      </c>
      <c r="C249" s="45" t="str">
        <f>'bloco 01'!Y60</f>
        <v/>
      </c>
      <c r="D249" s="45" t="str">
        <f>'bloco 01'!Z60</f>
        <v/>
      </c>
      <c r="E249" s="46" t="str">
        <f>IFERROR(('bloco 01'!AA60),"")</f>
        <v/>
      </c>
      <c r="F249" s="48" t="str">
        <f>'bloco 01'!AB60</f>
        <v/>
      </c>
    </row>
    <row r="250" ht="15.75" customHeight="1">
      <c r="A250" s="45"/>
    </row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>
      <c r="A354" s="11"/>
      <c r="B354" s="11"/>
      <c r="C354" s="11"/>
      <c r="D354" s="11"/>
      <c r="E354" s="11"/>
      <c r="F354" s="11"/>
      <c r="G354" s="11"/>
    </row>
    <row r="355" ht="15.75" customHeight="1">
      <c r="A355" s="11"/>
      <c r="B355" s="11"/>
      <c r="C355" s="11"/>
      <c r="D355" s="11"/>
      <c r="E355" s="11"/>
      <c r="F355" s="11"/>
      <c r="G355" s="11"/>
    </row>
    <row r="356" ht="15.75" customHeight="1">
      <c r="A356" s="11"/>
      <c r="B356" s="11"/>
      <c r="C356" s="11"/>
      <c r="D356" s="11"/>
      <c r="E356" s="11"/>
      <c r="F356" s="11"/>
      <c r="G356" s="11"/>
    </row>
    <row r="357" ht="15.75" customHeight="1">
      <c r="A357" s="11"/>
      <c r="B357" s="11"/>
      <c r="C357" s="11"/>
      <c r="D357" s="11"/>
      <c r="E357" s="11"/>
      <c r="F357" s="11"/>
      <c r="G357" s="11"/>
    </row>
    <row r="358" ht="15.75" customHeight="1">
      <c r="A358" s="11"/>
      <c r="B358" s="11"/>
      <c r="C358" s="11"/>
      <c r="D358" s="11"/>
      <c r="E358" s="11"/>
      <c r="F358" s="11"/>
      <c r="G358" s="11"/>
    </row>
    <row r="359" ht="15.75" customHeight="1">
      <c r="A359" s="11"/>
      <c r="B359" s="11"/>
      <c r="C359" s="11"/>
      <c r="D359" s="11"/>
      <c r="E359" s="11"/>
      <c r="F359" s="11"/>
      <c r="G359" s="11"/>
    </row>
    <row r="360" ht="15.75" customHeight="1">
      <c r="A360" s="11"/>
      <c r="B360" s="11"/>
      <c r="C360" s="11"/>
      <c r="D360" s="11"/>
      <c r="E360" s="11"/>
      <c r="F360" s="11"/>
      <c r="G360" s="11"/>
    </row>
    <row r="361" ht="15.75" customHeight="1">
      <c r="A361" s="11"/>
      <c r="B361" s="11"/>
      <c r="C361" s="11"/>
      <c r="D361" s="11"/>
      <c r="E361" s="11"/>
      <c r="F361" s="11"/>
      <c r="G361" s="11"/>
    </row>
    <row r="362" ht="15.75" customHeight="1">
      <c r="A362" s="11"/>
      <c r="B362" s="11"/>
      <c r="C362" s="11"/>
      <c r="D362" s="11"/>
      <c r="E362" s="11"/>
      <c r="F362" s="11"/>
      <c r="G362" s="11"/>
    </row>
    <row r="363" ht="15.75" customHeight="1">
      <c r="A363" s="11"/>
      <c r="B363" s="11"/>
      <c r="C363" s="11"/>
      <c r="D363" s="11"/>
      <c r="E363" s="11"/>
      <c r="F363" s="11"/>
      <c r="G363" s="11"/>
    </row>
    <row r="364" ht="15.75" customHeight="1">
      <c r="A364" s="11"/>
      <c r="B364" s="11"/>
      <c r="C364" s="11"/>
      <c r="D364" s="11"/>
      <c r="E364" s="11"/>
      <c r="F364" s="11"/>
      <c r="G364" s="11"/>
    </row>
    <row r="365" ht="15.75" customHeight="1">
      <c r="A365" s="11"/>
      <c r="B365" s="11"/>
      <c r="C365" s="11"/>
      <c r="D365" s="11"/>
      <c r="E365" s="11"/>
      <c r="F365" s="11"/>
      <c r="G365" s="11"/>
    </row>
    <row r="366" ht="15.75" customHeight="1">
      <c r="A366" s="11"/>
      <c r="B366" s="11"/>
      <c r="C366" s="11"/>
      <c r="D366" s="11"/>
      <c r="E366" s="11"/>
      <c r="F366" s="11"/>
      <c r="G366" s="11"/>
    </row>
    <row r="367" ht="15.75" customHeight="1">
      <c r="A367" s="11"/>
      <c r="B367" s="11"/>
      <c r="C367" s="11"/>
      <c r="D367" s="11"/>
      <c r="E367" s="11"/>
      <c r="F367" s="11"/>
      <c r="G367" s="11"/>
    </row>
    <row r="368" ht="15.75" customHeight="1">
      <c r="A368" s="11"/>
      <c r="B368" s="11"/>
      <c r="C368" s="11"/>
      <c r="D368" s="11"/>
      <c r="E368" s="11"/>
      <c r="F368" s="11"/>
      <c r="G368" s="11"/>
    </row>
    <row r="369" ht="15.75" customHeight="1">
      <c r="A369" s="11"/>
      <c r="B369" s="11"/>
      <c r="C369" s="11"/>
      <c r="D369" s="11"/>
      <c r="E369" s="11"/>
      <c r="F369" s="11"/>
      <c r="G369" s="11"/>
    </row>
    <row r="370" ht="15.75" customHeight="1">
      <c r="A370" s="11"/>
      <c r="B370" s="11"/>
      <c r="C370" s="11"/>
      <c r="D370" s="11"/>
      <c r="E370" s="11"/>
      <c r="F370" s="11"/>
      <c r="G370" s="11"/>
    </row>
    <row r="371" ht="15.75" customHeight="1">
      <c r="A371" s="11"/>
      <c r="B371" s="11"/>
      <c r="C371" s="11"/>
      <c r="D371" s="11"/>
      <c r="E371" s="11"/>
      <c r="F371" s="11"/>
      <c r="G371" s="11"/>
    </row>
    <row r="372" ht="15.75" customHeight="1">
      <c r="A372" s="11"/>
      <c r="B372" s="11"/>
      <c r="C372" s="11"/>
      <c r="D372" s="11"/>
      <c r="E372" s="11"/>
      <c r="F372" s="11"/>
      <c r="G372" s="11"/>
    </row>
    <row r="373" ht="15.75" customHeight="1">
      <c r="A373" s="11"/>
      <c r="B373" s="11"/>
      <c r="C373" s="11"/>
      <c r="D373" s="11"/>
      <c r="E373" s="11"/>
      <c r="F373" s="11"/>
      <c r="G373" s="11"/>
    </row>
    <row r="374" ht="15.75" customHeight="1">
      <c r="A374" s="11"/>
      <c r="B374" s="11"/>
      <c r="C374" s="11"/>
      <c r="D374" s="11"/>
      <c r="E374" s="11"/>
      <c r="F374" s="11"/>
      <c r="G374" s="11"/>
    </row>
    <row r="375" ht="15.75" customHeight="1">
      <c r="A375" s="11"/>
      <c r="B375" s="11"/>
      <c r="C375" s="11"/>
      <c r="D375" s="11"/>
      <c r="E375" s="11"/>
      <c r="F375" s="11"/>
      <c r="G375" s="11"/>
    </row>
    <row r="376" ht="15.75" customHeight="1">
      <c r="A376" s="11"/>
      <c r="B376" s="11"/>
      <c r="C376" s="11"/>
      <c r="D376" s="11"/>
      <c r="E376" s="11"/>
      <c r="F376" s="11"/>
      <c r="G376" s="11"/>
    </row>
    <row r="377" ht="15.75" customHeight="1">
      <c r="A377" s="11"/>
      <c r="B377" s="11"/>
      <c r="C377" s="11"/>
      <c r="D377" s="11"/>
      <c r="E377" s="11"/>
      <c r="F377" s="11"/>
      <c r="G377" s="11"/>
    </row>
    <row r="378" ht="15.75" customHeight="1">
      <c r="A378" s="11"/>
      <c r="B378" s="11"/>
      <c r="C378" s="11"/>
      <c r="D378" s="11"/>
      <c r="E378" s="11"/>
      <c r="F378" s="11"/>
      <c r="G378" s="11"/>
    </row>
    <row r="379" ht="15.75" customHeight="1">
      <c r="A379" s="11"/>
      <c r="B379" s="11"/>
      <c r="C379" s="11"/>
      <c r="D379" s="11"/>
      <c r="E379" s="11"/>
      <c r="F379" s="11"/>
      <c r="G379" s="11"/>
    </row>
    <row r="380" ht="15.75" customHeight="1">
      <c r="A380" s="11"/>
      <c r="B380" s="11"/>
      <c r="C380" s="11"/>
      <c r="D380" s="11"/>
      <c r="E380" s="11"/>
      <c r="F380" s="11"/>
      <c r="G380" s="11"/>
    </row>
    <row r="381" ht="15.75" customHeight="1">
      <c r="A381" s="11"/>
      <c r="B381" s="11"/>
      <c r="C381" s="11"/>
      <c r="D381" s="11"/>
      <c r="E381" s="11"/>
      <c r="F381" s="11"/>
      <c r="G381" s="11"/>
    </row>
    <row r="382" ht="15.75" customHeight="1">
      <c r="A382" s="11"/>
      <c r="B382" s="11"/>
      <c r="C382" s="11"/>
      <c r="D382" s="11"/>
      <c r="E382" s="11"/>
      <c r="F382" s="11"/>
      <c r="G382" s="11"/>
    </row>
    <row r="383" ht="15.75" customHeight="1">
      <c r="A383" s="11"/>
      <c r="B383" s="11"/>
      <c r="C383" s="11"/>
      <c r="D383" s="11"/>
      <c r="E383" s="11"/>
      <c r="F383" s="11"/>
      <c r="G383" s="11"/>
    </row>
    <row r="384" ht="15.75" customHeight="1">
      <c r="A384" s="11"/>
      <c r="B384" s="11"/>
      <c r="C384" s="11"/>
      <c r="D384" s="11"/>
      <c r="E384" s="11"/>
      <c r="F384" s="11"/>
      <c r="G384" s="11"/>
    </row>
    <row r="385" ht="15.75" customHeight="1">
      <c r="A385" s="11"/>
      <c r="B385" s="11"/>
      <c r="C385" s="11"/>
      <c r="D385" s="11"/>
      <c r="E385" s="11"/>
      <c r="F385" s="11"/>
      <c r="G385" s="11"/>
    </row>
    <row r="386" ht="15.75" customHeight="1">
      <c r="A386" s="11"/>
      <c r="B386" s="11"/>
      <c r="C386" s="11"/>
      <c r="D386" s="11"/>
      <c r="E386" s="11"/>
      <c r="F386" s="11"/>
      <c r="G386" s="11"/>
    </row>
    <row r="387" ht="15.75" customHeight="1">
      <c r="A387" s="11"/>
      <c r="B387" s="11"/>
      <c r="C387" s="11"/>
      <c r="D387" s="11"/>
      <c r="E387" s="11"/>
      <c r="F387" s="11"/>
      <c r="G387" s="11"/>
    </row>
    <row r="388" ht="15.75" customHeight="1">
      <c r="A388" s="11"/>
      <c r="B388" s="11"/>
      <c r="C388" s="11"/>
      <c r="D388" s="11"/>
      <c r="E388" s="11"/>
      <c r="F388" s="11"/>
      <c r="G388" s="11"/>
    </row>
    <row r="389" ht="15.75" customHeight="1">
      <c r="A389" s="11"/>
      <c r="B389" s="11"/>
      <c r="C389" s="11"/>
      <c r="D389" s="11"/>
      <c r="E389" s="11"/>
      <c r="F389" s="11"/>
      <c r="G389" s="11"/>
    </row>
    <row r="390" ht="15.75" customHeight="1">
      <c r="A390" s="11"/>
      <c r="B390" s="11"/>
      <c r="C390" s="11"/>
      <c r="D390" s="11"/>
      <c r="E390" s="11"/>
      <c r="F390" s="11"/>
      <c r="G390" s="11"/>
    </row>
    <row r="391" ht="15.75" customHeight="1">
      <c r="A391" s="11"/>
      <c r="B391" s="11"/>
      <c r="C391" s="11"/>
      <c r="D391" s="11"/>
      <c r="E391" s="11"/>
      <c r="F391" s="11"/>
      <c r="G391" s="11"/>
    </row>
    <row r="392" ht="15.75" customHeight="1">
      <c r="A392" s="11"/>
      <c r="B392" s="11"/>
      <c r="C392" s="11"/>
      <c r="D392" s="11"/>
      <c r="E392" s="11"/>
      <c r="F392" s="11"/>
      <c r="G392" s="11"/>
    </row>
    <row r="393" ht="15.75" customHeight="1">
      <c r="A393" s="11"/>
      <c r="B393" s="11"/>
      <c r="C393" s="11"/>
      <c r="D393" s="11"/>
      <c r="E393" s="11"/>
      <c r="F393" s="11"/>
      <c r="G393" s="11"/>
    </row>
    <row r="394" ht="15.75" customHeight="1">
      <c r="A394" s="11"/>
      <c r="B394" s="11"/>
      <c r="C394" s="11"/>
      <c r="D394" s="11"/>
      <c r="E394" s="11"/>
      <c r="F394" s="11"/>
      <c r="G394" s="11"/>
    </row>
    <row r="395" ht="15.75" customHeight="1">
      <c r="A395" s="11"/>
      <c r="B395" s="11"/>
      <c r="C395" s="11"/>
      <c r="D395" s="11"/>
      <c r="E395" s="11"/>
      <c r="F395" s="11"/>
      <c r="G395" s="11"/>
    </row>
    <row r="396" ht="15.75" customHeight="1">
      <c r="A396" s="11"/>
      <c r="B396" s="11"/>
      <c r="C396" s="11"/>
      <c r="D396" s="11"/>
      <c r="E396" s="11"/>
      <c r="F396" s="11"/>
      <c r="G396" s="11"/>
    </row>
    <row r="397" ht="15.75" customHeight="1">
      <c r="A397" s="11"/>
      <c r="B397" s="11"/>
      <c r="C397" s="11"/>
      <c r="D397" s="11"/>
      <c r="E397" s="11"/>
      <c r="F397" s="11"/>
      <c r="G397" s="11"/>
    </row>
    <row r="398" ht="15.75" customHeight="1">
      <c r="A398" s="11"/>
      <c r="B398" s="11"/>
      <c r="C398" s="11"/>
      <c r="D398" s="11"/>
      <c r="E398" s="11"/>
      <c r="F398" s="11"/>
      <c r="G398" s="11"/>
    </row>
    <row r="399" ht="15.75" customHeight="1">
      <c r="A399" s="11"/>
      <c r="B399" s="11"/>
      <c r="C399" s="11"/>
      <c r="D399" s="11"/>
      <c r="E399" s="11"/>
      <c r="F399" s="11"/>
      <c r="G399" s="11"/>
    </row>
    <row r="400" ht="15.75" customHeight="1">
      <c r="A400" s="11"/>
      <c r="B400" s="11"/>
      <c r="C400" s="11"/>
      <c r="D400" s="11"/>
      <c r="E400" s="11"/>
      <c r="F400" s="11"/>
      <c r="G400" s="11"/>
    </row>
    <row r="401" ht="15.75" customHeight="1">
      <c r="A401" s="11"/>
      <c r="B401" s="11"/>
      <c r="C401" s="11"/>
      <c r="D401" s="11"/>
      <c r="E401" s="11"/>
      <c r="F401" s="11"/>
      <c r="G401" s="11"/>
    </row>
    <row r="402" ht="15.75" customHeight="1">
      <c r="A402" s="11"/>
      <c r="B402" s="11"/>
      <c r="C402" s="11"/>
      <c r="D402" s="11"/>
      <c r="E402" s="11"/>
      <c r="F402" s="11"/>
      <c r="G402" s="11"/>
    </row>
    <row r="403" ht="15.75" customHeight="1">
      <c r="A403" s="11"/>
      <c r="B403" s="11"/>
      <c r="C403" s="11"/>
      <c r="D403" s="11"/>
      <c r="E403" s="11"/>
      <c r="F403" s="11"/>
      <c r="G403" s="11"/>
    </row>
    <row r="404" ht="15.75" customHeight="1">
      <c r="A404" s="11"/>
      <c r="B404" s="11"/>
      <c r="C404" s="11"/>
      <c r="D404" s="11"/>
      <c r="E404" s="11"/>
      <c r="F404" s="11"/>
      <c r="G404" s="11"/>
    </row>
    <row r="405" ht="15.75" customHeight="1">
      <c r="A405" s="11"/>
      <c r="B405" s="11"/>
      <c r="C405" s="11"/>
      <c r="D405" s="11"/>
      <c r="E405" s="11"/>
      <c r="F405" s="11"/>
      <c r="G405" s="11"/>
    </row>
    <row r="406" ht="15.75" customHeight="1">
      <c r="A406" s="11"/>
      <c r="B406" s="11"/>
      <c r="C406" s="11"/>
      <c r="D406" s="11"/>
      <c r="E406" s="11"/>
      <c r="F406" s="11"/>
      <c r="G406" s="11"/>
    </row>
    <row r="407" ht="15.75" customHeight="1">
      <c r="A407" s="11"/>
      <c r="B407" s="11"/>
      <c r="C407" s="11"/>
      <c r="D407" s="11"/>
      <c r="E407" s="11"/>
      <c r="F407" s="11"/>
      <c r="G407" s="11"/>
    </row>
    <row r="408" ht="15.75" customHeight="1">
      <c r="A408" s="11"/>
      <c r="B408" s="11"/>
      <c r="C408" s="11"/>
      <c r="D408" s="11"/>
      <c r="E408" s="11"/>
      <c r="F408" s="11"/>
      <c r="G408" s="11"/>
    </row>
    <row r="409" ht="15.75" customHeight="1">
      <c r="A409" s="11"/>
      <c r="B409" s="11"/>
      <c r="C409" s="11"/>
      <c r="D409" s="11"/>
      <c r="E409" s="11"/>
      <c r="F409" s="11"/>
      <c r="G409" s="11"/>
    </row>
    <row r="410" ht="15.75" customHeight="1">
      <c r="A410" s="11"/>
      <c r="B410" s="11"/>
      <c r="C410" s="11"/>
      <c r="D410" s="11"/>
      <c r="E410" s="11"/>
      <c r="F410" s="11"/>
      <c r="G410" s="11"/>
    </row>
    <row r="411" ht="15.75" customHeight="1">
      <c r="A411" s="11"/>
      <c r="B411" s="11"/>
      <c r="C411" s="11"/>
      <c r="D411" s="11"/>
      <c r="E411" s="11"/>
      <c r="F411" s="11"/>
      <c r="G411" s="11"/>
    </row>
    <row r="412" ht="15.75" customHeight="1">
      <c r="A412" s="11"/>
      <c r="B412" s="11"/>
      <c r="C412" s="11"/>
      <c r="D412" s="11"/>
      <c r="E412" s="11"/>
      <c r="F412" s="11"/>
      <c r="G412" s="11"/>
    </row>
    <row r="413" ht="15.75" customHeight="1">
      <c r="A413" s="11"/>
      <c r="B413" s="11"/>
      <c r="C413" s="11"/>
      <c r="D413" s="11"/>
      <c r="E413" s="11"/>
      <c r="F413" s="11"/>
      <c r="G413" s="11"/>
    </row>
    <row r="414" ht="15.75" customHeight="1">
      <c r="A414" s="11"/>
      <c r="B414" s="11"/>
      <c r="C414" s="11"/>
      <c r="D414" s="11"/>
      <c r="E414" s="11"/>
      <c r="F414" s="11"/>
      <c r="G414" s="11"/>
    </row>
    <row r="415" ht="15.75" customHeight="1">
      <c r="A415" s="11"/>
      <c r="B415" s="11"/>
      <c r="C415" s="11"/>
      <c r="D415" s="11"/>
      <c r="E415" s="11"/>
      <c r="F415" s="11"/>
      <c r="G415" s="11"/>
    </row>
    <row r="416" ht="15.75" customHeight="1">
      <c r="A416" s="11"/>
      <c r="B416" s="11"/>
      <c r="C416" s="11"/>
      <c r="D416" s="11"/>
      <c r="E416" s="11"/>
      <c r="F416" s="11"/>
      <c r="G416" s="11"/>
    </row>
    <row r="417" ht="15.75" customHeight="1">
      <c r="A417" s="11"/>
      <c r="B417" s="11"/>
      <c r="C417" s="11"/>
      <c r="D417" s="11"/>
      <c r="E417" s="11"/>
      <c r="F417" s="11"/>
      <c r="G417" s="11"/>
    </row>
    <row r="418" ht="15.75" customHeight="1">
      <c r="A418" s="11"/>
      <c r="B418" s="11"/>
      <c r="C418" s="11"/>
      <c r="D418" s="11"/>
      <c r="E418" s="11"/>
      <c r="F418" s="11"/>
      <c r="G418" s="11"/>
    </row>
    <row r="419" ht="15.75" customHeight="1">
      <c r="A419" s="11"/>
      <c r="B419" s="11"/>
      <c r="C419" s="11"/>
      <c r="D419" s="11"/>
      <c r="E419" s="11"/>
      <c r="F419" s="11"/>
      <c r="G419" s="11"/>
    </row>
    <row r="420" ht="15.75" customHeight="1">
      <c r="A420" s="11"/>
      <c r="B420" s="11"/>
      <c r="C420" s="11"/>
      <c r="D420" s="11"/>
      <c r="E420" s="11"/>
      <c r="F420" s="11"/>
      <c r="G420" s="11"/>
    </row>
    <row r="421" ht="15.75" customHeight="1">
      <c r="A421" s="11"/>
      <c r="B421" s="11"/>
      <c r="C421" s="11"/>
      <c r="D421" s="11"/>
      <c r="E421" s="11"/>
      <c r="F421" s="11"/>
      <c r="G421" s="11"/>
    </row>
    <row r="422" ht="15.75" customHeight="1">
      <c r="A422" s="11"/>
      <c r="B422" s="11"/>
      <c r="C422" s="11"/>
      <c r="D422" s="11"/>
      <c r="E422" s="11"/>
      <c r="F422" s="11"/>
      <c r="G422" s="11"/>
    </row>
    <row r="423" ht="15.75" customHeight="1">
      <c r="A423" s="11"/>
      <c r="B423" s="11"/>
      <c r="C423" s="11"/>
      <c r="D423" s="11"/>
      <c r="E423" s="11"/>
      <c r="F423" s="11"/>
      <c r="G423" s="11"/>
    </row>
    <row r="424" ht="15.75" customHeight="1">
      <c r="A424" s="11"/>
      <c r="B424" s="11"/>
      <c r="C424" s="11"/>
      <c r="D424" s="11"/>
      <c r="E424" s="11"/>
      <c r="F424" s="11"/>
      <c r="G424" s="11"/>
    </row>
    <row r="425" ht="15.75" customHeight="1">
      <c r="A425" s="11"/>
      <c r="B425" s="11"/>
      <c r="C425" s="11"/>
      <c r="D425" s="11"/>
      <c r="E425" s="11"/>
      <c r="F425" s="11"/>
      <c r="G425" s="11"/>
    </row>
    <row r="426" ht="15.75" customHeight="1">
      <c r="A426" s="11"/>
      <c r="B426" s="11"/>
      <c r="C426" s="11"/>
      <c r="D426" s="11"/>
      <c r="E426" s="11"/>
      <c r="F426" s="11"/>
      <c r="G426" s="11"/>
    </row>
    <row r="427" ht="15.75" customHeight="1">
      <c r="A427" s="11"/>
      <c r="B427" s="11"/>
      <c r="C427" s="11"/>
      <c r="D427" s="11"/>
      <c r="E427" s="11"/>
      <c r="F427" s="11"/>
      <c r="G427" s="11"/>
    </row>
    <row r="428" ht="15.75" customHeight="1">
      <c r="A428" s="11"/>
      <c r="B428" s="11"/>
      <c r="C428" s="11"/>
      <c r="D428" s="11"/>
      <c r="E428" s="11"/>
      <c r="F428" s="11"/>
      <c r="G428" s="11"/>
    </row>
    <row r="429" ht="15.75" customHeight="1">
      <c r="A429" s="11"/>
      <c r="B429" s="11"/>
      <c r="C429" s="11"/>
      <c r="D429" s="11"/>
      <c r="E429" s="11"/>
      <c r="F429" s="11"/>
      <c r="G429" s="11"/>
    </row>
    <row r="430" ht="15.75" customHeight="1">
      <c r="A430" s="11"/>
      <c r="B430" s="11"/>
      <c r="C430" s="11"/>
      <c r="D430" s="11"/>
      <c r="E430" s="11"/>
      <c r="F430" s="11"/>
      <c r="G430" s="11"/>
    </row>
    <row r="431" ht="15.75" customHeight="1">
      <c r="A431" s="11"/>
      <c r="B431" s="11"/>
      <c r="C431" s="11"/>
      <c r="D431" s="11"/>
      <c r="E431" s="11"/>
      <c r="F431" s="11"/>
      <c r="G431" s="11"/>
    </row>
    <row r="432" ht="15.75" customHeight="1">
      <c r="A432" s="11"/>
      <c r="B432" s="11"/>
      <c r="C432" s="11"/>
      <c r="D432" s="11"/>
      <c r="E432" s="11"/>
      <c r="F432" s="11"/>
      <c r="G432" s="11"/>
    </row>
    <row r="433" ht="15.75" customHeight="1">
      <c r="A433" s="11"/>
      <c r="B433" s="11"/>
      <c r="C433" s="11"/>
      <c r="D433" s="11"/>
      <c r="E433" s="11"/>
      <c r="F433" s="11"/>
      <c r="G433" s="11"/>
    </row>
    <row r="434" ht="15.75" customHeight="1">
      <c r="A434" s="11"/>
      <c r="B434" s="11"/>
      <c r="C434" s="11"/>
      <c r="D434" s="11"/>
      <c r="E434" s="11"/>
      <c r="F434" s="11"/>
      <c r="G434" s="11"/>
    </row>
    <row r="435" ht="15.75" customHeight="1">
      <c r="A435" s="11"/>
      <c r="B435" s="11"/>
      <c r="C435" s="11"/>
      <c r="D435" s="11"/>
      <c r="E435" s="11"/>
      <c r="F435" s="11"/>
      <c r="G435" s="11"/>
    </row>
    <row r="436" ht="15.75" customHeight="1">
      <c r="A436" s="11"/>
      <c r="B436" s="11"/>
      <c r="C436" s="11"/>
      <c r="D436" s="11"/>
      <c r="E436" s="11"/>
      <c r="F436" s="11"/>
      <c r="G436" s="11"/>
    </row>
    <row r="437" ht="15.75" customHeight="1">
      <c r="A437" s="11"/>
      <c r="B437" s="11"/>
      <c r="C437" s="11"/>
      <c r="D437" s="11"/>
      <c r="E437" s="11"/>
      <c r="F437" s="11"/>
      <c r="G437" s="11"/>
    </row>
    <row r="438" ht="15.75" customHeight="1">
      <c r="A438" s="11"/>
      <c r="B438" s="11"/>
      <c r="C438" s="11"/>
      <c r="D438" s="11"/>
      <c r="E438" s="11"/>
      <c r="F438" s="11"/>
      <c r="G438" s="11"/>
    </row>
    <row r="439" ht="15.75" customHeight="1">
      <c r="A439" s="11"/>
      <c r="B439" s="11"/>
      <c r="C439" s="11"/>
      <c r="D439" s="11"/>
      <c r="E439" s="11"/>
      <c r="F439" s="11"/>
      <c r="G439" s="11"/>
    </row>
    <row r="440" ht="15.75" customHeight="1">
      <c r="A440" s="11"/>
      <c r="B440" s="11"/>
      <c r="C440" s="11"/>
      <c r="D440" s="11"/>
      <c r="E440" s="11"/>
      <c r="F440" s="11"/>
      <c r="G440" s="11"/>
    </row>
    <row r="441" ht="15.75" customHeight="1">
      <c r="A441" s="11"/>
      <c r="B441" s="11"/>
      <c r="C441" s="11"/>
      <c r="D441" s="11"/>
      <c r="E441" s="11"/>
      <c r="F441" s="11"/>
      <c r="G441" s="11"/>
    </row>
    <row r="442" ht="15.75" customHeight="1">
      <c r="A442" s="11"/>
      <c r="B442" s="11"/>
      <c r="C442" s="11"/>
      <c r="D442" s="11"/>
      <c r="E442" s="11"/>
      <c r="F442" s="11"/>
      <c r="G442" s="11"/>
    </row>
    <row r="443" ht="15.75" customHeight="1">
      <c r="A443" s="11"/>
      <c r="B443" s="11"/>
      <c r="C443" s="11"/>
      <c r="D443" s="11"/>
      <c r="E443" s="11"/>
      <c r="F443" s="11"/>
      <c r="G443" s="11"/>
    </row>
    <row r="444" ht="15.75" customHeight="1">
      <c r="A444" s="11"/>
      <c r="B444" s="11"/>
      <c r="C444" s="11"/>
      <c r="D444" s="11"/>
      <c r="E444" s="11"/>
      <c r="F444" s="11"/>
      <c r="G444" s="11"/>
    </row>
    <row r="445" ht="15.75" customHeight="1">
      <c r="A445" s="11"/>
      <c r="B445" s="11"/>
      <c r="C445" s="11"/>
      <c r="D445" s="11"/>
      <c r="E445" s="11"/>
      <c r="F445" s="11"/>
      <c r="G445" s="11"/>
    </row>
    <row r="446" ht="15.75" customHeight="1">
      <c r="A446" s="11"/>
      <c r="B446" s="11"/>
      <c r="C446" s="11"/>
      <c r="D446" s="11"/>
      <c r="E446" s="11"/>
      <c r="F446" s="11"/>
      <c r="G446" s="11"/>
    </row>
    <row r="447" ht="15.75" customHeight="1">
      <c r="A447" s="11"/>
      <c r="B447" s="11"/>
      <c r="C447" s="11"/>
      <c r="D447" s="11"/>
      <c r="E447" s="11"/>
      <c r="F447" s="11"/>
      <c r="G447" s="11"/>
    </row>
    <row r="448" ht="15.75" customHeight="1">
      <c r="A448" s="11"/>
      <c r="B448" s="11"/>
      <c r="C448" s="11"/>
      <c r="D448" s="11"/>
      <c r="E448" s="11"/>
      <c r="F448" s="11"/>
      <c r="G448" s="11"/>
    </row>
    <row r="449" ht="15.75" customHeight="1">
      <c r="A449" s="11"/>
      <c r="B449" s="11"/>
      <c r="C449" s="11"/>
      <c r="D449" s="11"/>
      <c r="E449" s="11"/>
      <c r="F449" s="11"/>
      <c r="G449" s="11"/>
    </row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4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A54:G54"/>
    <mergeCell ref="F96:G96"/>
    <mergeCell ref="F97:G97"/>
    <mergeCell ref="F98:G98"/>
    <mergeCell ref="F99:G99"/>
    <mergeCell ref="F100:G100"/>
    <mergeCell ref="F101:G101"/>
    <mergeCell ref="F102:G102"/>
    <mergeCell ref="F112:G112"/>
    <mergeCell ref="F113:G113"/>
    <mergeCell ref="F114:G114"/>
    <mergeCell ref="F115:G115"/>
    <mergeCell ref="F105:G105"/>
    <mergeCell ref="F106:G106"/>
    <mergeCell ref="F107:G107"/>
    <mergeCell ref="F108:G108"/>
    <mergeCell ref="F109:G109"/>
    <mergeCell ref="F110:G110"/>
    <mergeCell ref="F111:G111"/>
    <mergeCell ref="F53:G53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A66:G66"/>
    <mergeCell ref="A67:G67"/>
    <mergeCell ref="A68:G68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A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A92:G92"/>
    <mergeCell ref="F93:G93"/>
    <mergeCell ref="F94:G94"/>
    <mergeCell ref="F95:G95"/>
    <mergeCell ref="F103:G103"/>
    <mergeCell ref="A104:G104"/>
    <mergeCell ref="A116:G132"/>
    <mergeCell ref="A133:G133"/>
    <mergeCell ref="A134:G134"/>
    <mergeCell ref="A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A147:G147"/>
    <mergeCell ref="F148:G148"/>
    <mergeCell ref="F149:G149"/>
    <mergeCell ref="F150:G150"/>
    <mergeCell ref="F158:G158"/>
    <mergeCell ref="A159:G159"/>
    <mergeCell ref="F151:G151"/>
    <mergeCell ref="F152:G152"/>
    <mergeCell ref="F153:G153"/>
    <mergeCell ref="F154:G154"/>
    <mergeCell ref="F155:G155"/>
    <mergeCell ref="F156:G156"/>
    <mergeCell ref="F157:G157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A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248:G248"/>
    <mergeCell ref="F249:G249"/>
    <mergeCell ref="A250:G266"/>
    <mergeCell ref="F241:G241"/>
    <mergeCell ref="F242:G242"/>
    <mergeCell ref="F243:G243"/>
    <mergeCell ref="F244:G244"/>
    <mergeCell ref="F245:G245"/>
    <mergeCell ref="F246:G246"/>
    <mergeCell ref="F247:G247"/>
    <mergeCell ref="F181:G181"/>
    <mergeCell ref="F182:G182"/>
    <mergeCell ref="A183:G199"/>
    <mergeCell ref="A200:G200"/>
    <mergeCell ref="A201:G201"/>
    <mergeCell ref="A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A214:G214"/>
    <mergeCell ref="F215:G215"/>
    <mergeCell ref="F216:G216"/>
    <mergeCell ref="F217:G217"/>
    <mergeCell ref="F225:G225"/>
    <mergeCell ref="A226:G226"/>
    <mergeCell ref="F218:G218"/>
    <mergeCell ref="F219:G219"/>
    <mergeCell ref="F220:G220"/>
    <mergeCell ref="F221:G221"/>
    <mergeCell ref="F222:G222"/>
    <mergeCell ref="F223:G223"/>
    <mergeCell ref="F224:G224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A238:G238"/>
    <mergeCell ref="F239:G239"/>
    <mergeCell ref="F240:G240"/>
  </mergeCells>
  <conditionalFormatting sqref="A1:A3">
    <cfRule type="notContainsBlanks" dxfId="0" priority="1">
      <formula>LEN(TRIM(A1))&gt;0</formula>
    </cfRule>
  </conditionalFormatting>
  <printOptions horizontalCentered="1"/>
  <pageMargins bottom="0.75" footer="0.0" header="0.0" left="0.25" right="0.25" top="0.75"/>
  <pageSetup paperSize="9" orientation="portrait" pageOrder="overThenDown"/>
  <rowBreaks count="4" manualBreakCount="4">
    <brk id="65" man="1"/>
    <brk id="132" man="1"/>
    <brk id="199" man="1"/>
    <brk id="266" man="1"/>
  </rowBreaks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0</v>
      </c>
      <c r="B1" s="2"/>
      <c r="C1" s="3"/>
      <c r="D1" s="4"/>
      <c r="E1" s="5"/>
      <c r="F1" s="5"/>
      <c r="G1" s="6"/>
      <c r="H1" s="7"/>
      <c r="I1" s="2"/>
      <c r="J1" s="5"/>
      <c r="K1" s="5"/>
      <c r="L1" s="5"/>
      <c r="M1" s="1"/>
      <c r="N1" s="6"/>
      <c r="O1" s="1"/>
      <c r="P1" s="2"/>
      <c r="Q1" s="5"/>
      <c r="R1" s="5"/>
      <c r="S1" s="5"/>
      <c r="T1" s="5"/>
      <c r="U1" s="6"/>
      <c r="V1" s="1"/>
      <c r="W1" s="2"/>
      <c r="X1" s="5"/>
      <c r="Y1" s="5"/>
      <c r="Z1" s="5"/>
      <c r="AA1" s="5"/>
      <c r="AB1" s="5"/>
      <c r="AC1" s="5"/>
    </row>
    <row r="2" ht="15.75" customHeight="1">
      <c r="A2" s="12"/>
      <c r="B2" s="12"/>
      <c r="C2" s="12"/>
      <c r="D2" s="12"/>
      <c r="H2" s="12"/>
      <c r="I2" s="12"/>
      <c r="J2" s="12"/>
      <c r="K2" s="12"/>
      <c r="O2" s="12"/>
      <c r="P2" s="12"/>
      <c r="Q2" s="12"/>
      <c r="R2" s="12"/>
      <c r="V2" s="12"/>
      <c r="W2" s="12"/>
      <c r="X2" s="12"/>
      <c r="Y2" s="12"/>
      <c r="AC2" s="12"/>
    </row>
    <row r="3" ht="15.75" customHeight="1">
      <c r="A3" s="2" t="s">
        <v>5</v>
      </c>
      <c r="B3" s="20"/>
      <c r="C3" s="27">
        <f>macro!B6</f>
        <v>46296</v>
      </c>
      <c r="H3" s="29"/>
      <c r="I3" s="20"/>
      <c r="J3" s="4">
        <f>C3+7</f>
        <v>46303</v>
      </c>
      <c r="O3" s="29"/>
      <c r="P3" s="20"/>
      <c r="Q3" s="27">
        <f>J3+7</f>
        <v>46310</v>
      </c>
      <c r="V3" s="29"/>
      <c r="W3" s="20"/>
      <c r="X3" s="27">
        <f>Q3+7</f>
        <v>46317</v>
      </c>
      <c r="AC3" s="12"/>
    </row>
    <row r="4" ht="15.75" customHeight="1">
      <c r="A4" s="2"/>
      <c r="B4" s="2"/>
      <c r="C4" s="5" t="s">
        <v>13</v>
      </c>
      <c r="D4" s="5" t="s">
        <v>16</v>
      </c>
      <c r="E4" s="5" t="s">
        <v>15</v>
      </c>
      <c r="F4" s="5" t="s">
        <v>17</v>
      </c>
      <c r="G4" s="5" t="s">
        <v>11</v>
      </c>
      <c r="H4" s="29"/>
      <c r="I4" s="2"/>
      <c r="J4" s="5" t="s">
        <v>13</v>
      </c>
      <c r="K4" s="5" t="s">
        <v>16</v>
      </c>
      <c r="L4" s="5" t="s">
        <v>15</v>
      </c>
      <c r="M4" s="5" t="s">
        <v>17</v>
      </c>
      <c r="N4" s="5" t="s">
        <v>11</v>
      </c>
      <c r="O4" s="29"/>
      <c r="P4" s="2"/>
      <c r="Q4" s="5" t="s">
        <v>13</v>
      </c>
      <c r="R4" s="5" t="s">
        <v>16</v>
      </c>
      <c r="S4" s="5" t="s">
        <v>15</v>
      </c>
      <c r="T4" s="5" t="s">
        <v>17</v>
      </c>
      <c r="U4" s="5" t="s">
        <v>11</v>
      </c>
      <c r="V4" s="29"/>
      <c r="W4" s="2"/>
      <c r="X4" s="5" t="s">
        <v>13</v>
      </c>
      <c r="Y4" s="5" t="s">
        <v>16</v>
      </c>
      <c r="Z4" s="5" t="s">
        <v>15</v>
      </c>
      <c r="AA4" s="5" t="s">
        <v>17</v>
      </c>
      <c r="AB4" s="5" t="s">
        <v>11</v>
      </c>
      <c r="AC4" s="29"/>
    </row>
    <row r="5" ht="15.75" customHeight="1">
      <c r="A5" s="2"/>
      <c r="B5" s="2" t="s">
        <v>18</v>
      </c>
      <c r="C5" s="38"/>
      <c r="D5" s="5"/>
      <c r="E5" s="5"/>
      <c r="F5" s="5" t="s">
        <v>19</v>
      </c>
      <c r="G5" s="5"/>
      <c r="H5" s="29"/>
      <c r="I5" s="2" t="s">
        <v>18</v>
      </c>
      <c r="J5" s="38"/>
      <c r="K5" s="5"/>
      <c r="L5" s="5"/>
      <c r="M5" s="5" t="s">
        <v>19</v>
      </c>
      <c r="N5" s="5"/>
      <c r="O5" s="29"/>
      <c r="P5" s="2" t="s">
        <v>18</v>
      </c>
      <c r="Q5" s="38"/>
      <c r="R5" s="5"/>
      <c r="S5" s="5"/>
      <c r="T5" s="5" t="s">
        <v>19</v>
      </c>
      <c r="U5" s="5"/>
      <c r="V5" s="29"/>
      <c r="W5" s="2" t="s">
        <v>18</v>
      </c>
      <c r="X5" s="38"/>
      <c r="Y5" s="5"/>
      <c r="Z5" s="5"/>
      <c r="AA5" s="5" t="s">
        <v>19</v>
      </c>
      <c r="AB5" s="5"/>
      <c r="AC5" s="29"/>
    </row>
    <row r="6" ht="15.75" customHeight="1">
      <c r="A6" s="41"/>
      <c r="B6" s="42"/>
      <c r="C6" s="43"/>
      <c r="D6" s="43"/>
      <c r="E6" s="44"/>
      <c r="F6" s="46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prs!$A$6:$D$12,
4,
FALSE
)
,"""")"),"")</f>
        <v/>
      </c>
      <c r="G6" s="46"/>
      <c r="H6" s="29"/>
      <c r="I6" s="42"/>
      <c r="J6" s="43"/>
      <c r="K6" s="43"/>
      <c r="L6" s="44"/>
      <c r="M6" s="46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prs!$A$6:$D$12,
4,
FALSE
)
,"""")"),"")</f>
        <v/>
      </c>
      <c r="N6" s="46"/>
      <c r="O6" s="41"/>
      <c r="P6" s="42"/>
      <c r="Q6" s="43"/>
      <c r="R6" s="43"/>
      <c r="S6" s="44"/>
      <c r="T6" s="46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prs!$A$6:$D$12,
4,
FALSE
)
,"""")"),"")</f>
        <v/>
      </c>
      <c r="U6" s="46"/>
      <c r="V6" s="41"/>
      <c r="W6" s="42"/>
      <c r="X6" s="43"/>
      <c r="Y6" s="43"/>
      <c r="Z6" s="44"/>
      <c r="AA6" s="46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prs!$A$6:$D$12,
4,
FALSE
)
,"""")"),"")</f>
        <v/>
      </c>
      <c r="AB6" s="46"/>
      <c r="AC6" s="41"/>
    </row>
    <row r="7" ht="15.75" customHeight="1">
      <c r="A7" s="41"/>
      <c r="B7" s="42"/>
      <c r="C7" s="43"/>
      <c r="D7" s="43"/>
      <c r="E7" s="44"/>
      <c r="F7" s="46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prs!$A$6:$D$12,
4,
FALSE
)
,"""")"),"")</f>
        <v/>
      </c>
      <c r="G7" s="46"/>
      <c r="H7" s="29"/>
      <c r="I7" s="42"/>
      <c r="J7" s="43"/>
      <c r="K7" s="43"/>
      <c r="L7" s="44"/>
      <c r="M7" s="46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prs!$A$6:$D$12,
4,
FALSE
)
,"""")"),"")</f>
        <v/>
      </c>
      <c r="N7" s="46"/>
      <c r="O7" s="41"/>
      <c r="P7" s="42"/>
      <c r="Q7" s="43"/>
      <c r="R7" s="43"/>
      <c r="S7" s="44"/>
      <c r="T7" s="46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prs!$A$6:$D$12,
4,
FALSE
)
,"""")"),"")</f>
        <v/>
      </c>
      <c r="U7" s="46"/>
      <c r="V7" s="41"/>
      <c r="W7" s="42"/>
      <c r="X7" s="43"/>
      <c r="Y7" s="43"/>
      <c r="Z7" s="44"/>
      <c r="AA7" s="46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prs!$A$6:$D$12,
4,
FALSE
)
,"""")"),"")</f>
        <v/>
      </c>
      <c r="AB7" s="46"/>
      <c r="AC7" s="41"/>
    </row>
    <row r="8" ht="15.75" customHeight="1">
      <c r="A8" s="41"/>
      <c r="B8" s="42"/>
      <c r="C8" s="43"/>
      <c r="D8" s="43"/>
      <c r="E8" s="44"/>
      <c r="F8" s="46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prs!$A$6:$D$12,
4,
FALSE
)
,"""")"),"")</f>
        <v/>
      </c>
      <c r="G8" s="46"/>
      <c r="H8" s="29"/>
      <c r="I8" s="42"/>
      <c r="J8" s="43"/>
      <c r="K8" s="43"/>
      <c r="L8" s="44"/>
      <c r="M8" s="46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prs!$A$6:$D$12,
4,
FALSE
)
,"""")"),"")</f>
        <v/>
      </c>
      <c r="N8" s="46"/>
      <c r="O8" s="41"/>
      <c r="P8" s="42"/>
      <c r="Q8" s="43"/>
      <c r="R8" s="43"/>
      <c r="S8" s="44"/>
      <c r="T8" s="46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prs!$A$6:$D$12,
4,
FALSE
)
,"""")"),"")</f>
        <v/>
      </c>
      <c r="U8" s="46"/>
      <c r="V8" s="41"/>
      <c r="W8" s="42"/>
      <c r="X8" s="43"/>
      <c r="Y8" s="43"/>
      <c r="Z8" s="44"/>
      <c r="AA8" s="46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prs!$A$6:$D$12,
4,
FALSE
)
,"""")"),"")</f>
        <v/>
      </c>
      <c r="AB8" s="46"/>
      <c r="AC8" s="41"/>
    </row>
    <row r="9" ht="15.75" customHeight="1">
      <c r="A9" s="41"/>
      <c r="B9" s="42"/>
      <c r="C9" s="50"/>
      <c r="D9" s="50"/>
      <c r="E9" s="51"/>
      <c r="F9" s="46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prs!$A$6:$D$12,
4,
FALSE
)
,"""")"),"")</f>
        <v/>
      </c>
      <c r="G9" s="46"/>
      <c r="H9" s="29"/>
      <c r="I9" s="42"/>
      <c r="J9" s="50"/>
      <c r="K9" s="50"/>
      <c r="L9" s="51"/>
      <c r="M9" s="46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prs!$A$6:$D$12,
4,
FALSE
)
,"""")"),"")</f>
        <v/>
      </c>
      <c r="N9" s="46"/>
      <c r="O9" s="41"/>
      <c r="P9" s="42"/>
      <c r="Q9" s="50"/>
      <c r="R9" s="50"/>
      <c r="S9" s="51"/>
      <c r="T9" s="46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prs!$A$6:$D$12,
4,
FALSE
)
,"""")"),"")</f>
        <v/>
      </c>
      <c r="U9" s="46"/>
      <c r="V9" s="41"/>
      <c r="W9" s="42"/>
      <c r="X9" s="50"/>
      <c r="Y9" s="50"/>
      <c r="Z9" s="51"/>
      <c r="AA9" s="46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prs!$A$6:$D$12,
4,
FALSE
)
,"""")"),"")</f>
        <v/>
      </c>
      <c r="AB9" s="46"/>
      <c r="AC9" s="41"/>
    </row>
    <row r="10" ht="15.75" customHeight="1">
      <c r="A10" s="41"/>
      <c r="B10" s="42"/>
      <c r="C10" s="50"/>
      <c r="D10" s="50"/>
      <c r="E10" s="51"/>
      <c r="F10" s="46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prs!$A$6:$D$12,
4,
FALSE
)
,"""")"),"")</f>
        <v/>
      </c>
      <c r="G10" s="46"/>
      <c r="H10" s="29"/>
      <c r="I10" s="42"/>
      <c r="J10" s="50"/>
      <c r="K10" s="50"/>
      <c r="L10" s="51"/>
      <c r="M10" s="46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prs!$A$6:$D$12,
4,
FALSE
)
,"""")"),"")</f>
        <v/>
      </c>
      <c r="N10" s="46"/>
      <c r="O10" s="41"/>
      <c r="P10" s="42"/>
      <c r="Q10" s="50"/>
      <c r="R10" s="50"/>
      <c r="S10" s="51"/>
      <c r="T10" s="46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prs!$A$6:$D$12,
4,
FALSE
)
,"""")"),"")</f>
        <v/>
      </c>
      <c r="U10" s="46"/>
      <c r="V10" s="41"/>
      <c r="W10" s="42"/>
      <c r="X10" s="50"/>
      <c r="Y10" s="50"/>
      <c r="Z10" s="51"/>
      <c r="AA10" s="46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prs!$A$6:$D$12,
4,
FALSE
)
,"""")"),"")</f>
        <v/>
      </c>
      <c r="AB10" s="46"/>
      <c r="AC10" s="41"/>
    </row>
    <row r="11" ht="15.75" customHeight="1">
      <c r="A11" s="41"/>
      <c r="B11" s="42"/>
      <c r="C11" s="50"/>
      <c r="D11" s="50"/>
      <c r="E11" s="51"/>
      <c r="F11" s="46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prs!$A$6:$D$12,
4,
FALSE
)
,"""")"),"")</f>
        <v/>
      </c>
      <c r="G11" s="46"/>
      <c r="H11" s="29"/>
      <c r="I11" s="42"/>
      <c r="J11" s="50"/>
      <c r="K11" s="50"/>
      <c r="L11" s="51"/>
      <c r="M11" s="46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prs!$A$6:$D$12,
4,
FALSE
)
,"""")"),"")</f>
        <v/>
      </c>
      <c r="N11" s="46"/>
      <c r="O11" s="41"/>
      <c r="P11" s="42"/>
      <c r="Q11" s="50"/>
      <c r="R11" s="50"/>
      <c r="S11" s="51"/>
      <c r="T11" s="46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prs!$A$6:$D$12,
4,
FALSE
)
,"""")"),"")</f>
        <v/>
      </c>
      <c r="U11" s="46"/>
      <c r="V11" s="41"/>
      <c r="W11" s="42"/>
      <c r="X11" s="50"/>
      <c r="Y11" s="50"/>
      <c r="Z11" s="51"/>
      <c r="AA11" s="46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prs!$A$6:$D$12,
4,
FALSE
)
,"""")"),"")</f>
        <v/>
      </c>
      <c r="AB11" s="46"/>
      <c r="AC11" s="41"/>
    </row>
    <row r="12" ht="15.75" customHeight="1">
      <c r="A12" s="41"/>
      <c r="B12" s="42"/>
      <c r="C12" s="50"/>
      <c r="D12" s="50"/>
      <c r="E12" s="51"/>
      <c r="F12" s="46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prs!$A$6:$D$12,
4,
FALSE
)
,"""")"),"")</f>
        <v/>
      </c>
      <c r="G12" s="46"/>
      <c r="H12" s="29"/>
      <c r="I12" s="42"/>
      <c r="J12" s="50"/>
      <c r="K12" s="50"/>
      <c r="L12" s="51"/>
      <c r="M12" s="46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prs!$A$6:$D$12,
4,
FALSE
)
,"""")"),"")</f>
        <v/>
      </c>
      <c r="N12" s="46"/>
      <c r="O12" s="41"/>
      <c r="P12" s="42"/>
      <c r="Q12" s="50"/>
      <c r="R12" s="50"/>
      <c r="S12" s="51"/>
      <c r="T12" s="46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prs!$A$6:$D$12,
4,
FALSE
)
,"""")"),"")</f>
        <v/>
      </c>
      <c r="U12" s="46"/>
      <c r="V12" s="41"/>
      <c r="W12" s="42"/>
      <c r="X12" s="50"/>
      <c r="Y12" s="50"/>
      <c r="Z12" s="51"/>
      <c r="AA12" s="46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prs!$A$6:$D$12,
4,
FALSE
)
,"""")"),"")</f>
        <v/>
      </c>
      <c r="AB12" s="46"/>
      <c r="AC12" s="41"/>
    </row>
    <row r="13" ht="15.75" customHeight="1">
      <c r="A13" s="41"/>
      <c r="B13" s="42"/>
      <c r="C13" s="50"/>
      <c r="D13" s="50"/>
      <c r="E13" s="51"/>
      <c r="F13" s="46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prs!$A$6:$D$12,
4,
FALSE
)
,"""")"),"")</f>
        <v/>
      </c>
      <c r="G13" s="46"/>
      <c r="H13" s="29"/>
      <c r="I13" s="42"/>
      <c r="J13" s="50"/>
      <c r="K13" s="50"/>
      <c r="L13" s="51"/>
      <c r="M13" s="46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prs!$A$6:$D$12,
4,
FALSE
)
,"""")"),"")</f>
        <v/>
      </c>
      <c r="N13" s="46"/>
      <c r="O13" s="41"/>
      <c r="P13" s="42"/>
      <c r="Q13" s="50"/>
      <c r="R13" s="50"/>
      <c r="S13" s="51"/>
      <c r="T13" s="46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prs!$A$6:$D$12,
4,
FALSE
)
,"""")"),"")</f>
        <v/>
      </c>
      <c r="U13" s="46"/>
      <c r="V13" s="41"/>
      <c r="W13" s="42"/>
      <c r="X13" s="50"/>
      <c r="Y13" s="50"/>
      <c r="Z13" s="51"/>
      <c r="AA13" s="46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prs!$A$6:$D$12,
4,
FALSE
)
,"""")"),"")</f>
        <v/>
      </c>
      <c r="AB13" s="46"/>
      <c r="AC13" s="41"/>
    </row>
    <row r="14" ht="15.75" customHeight="1">
      <c r="A14" s="41"/>
      <c r="B14" s="42"/>
      <c r="C14" s="50"/>
      <c r="D14" s="50"/>
      <c r="E14" s="51"/>
      <c r="F14" s="46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prs!$A$6:$D$12,
4,
FALSE
)
,"""")"),"")</f>
        <v/>
      </c>
      <c r="G14" s="46"/>
      <c r="H14" s="29"/>
      <c r="I14" s="42"/>
      <c r="J14" s="50"/>
      <c r="K14" s="50"/>
      <c r="L14" s="51"/>
      <c r="M14" s="46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prs!$A$6:$D$12,
4,
FALSE
)
,"""")"),"")</f>
        <v/>
      </c>
      <c r="N14" s="46"/>
      <c r="O14" s="41"/>
      <c r="P14" s="42"/>
      <c r="Q14" s="50"/>
      <c r="R14" s="50"/>
      <c r="S14" s="51"/>
      <c r="T14" s="46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prs!$A$6:$D$12,
4,
FALSE
)
,"""")"),"")</f>
        <v/>
      </c>
      <c r="U14" s="46"/>
      <c r="V14" s="41"/>
      <c r="W14" s="42"/>
      <c r="X14" s="50"/>
      <c r="Y14" s="50"/>
      <c r="Z14" s="51"/>
      <c r="AA14" s="46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prs!$A$6:$D$12,
4,
FALSE
)
,"""")"),"")</f>
        <v/>
      </c>
      <c r="AB14" s="46"/>
      <c r="AC14" s="41"/>
    </row>
    <row r="15" ht="15.75" customHeight="1">
      <c r="A15" s="41"/>
      <c r="B15" s="42"/>
      <c r="C15" s="50"/>
      <c r="D15" s="50"/>
      <c r="E15" s="51"/>
      <c r="F15" s="46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prs!$A$6:$D$12,
4,
FALSE
)
,"""")"),"")</f>
        <v/>
      </c>
      <c r="G15" s="46"/>
      <c r="H15" s="29"/>
      <c r="I15" s="42"/>
      <c r="J15" s="50"/>
      <c r="K15" s="50"/>
      <c r="L15" s="51"/>
      <c r="M15" s="46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prs!$A$6:$D$12,
4,
FALSE
)
,"""")"),"")</f>
        <v/>
      </c>
      <c r="N15" s="46"/>
      <c r="O15" s="41"/>
      <c r="P15" s="42"/>
      <c r="Q15" s="50"/>
      <c r="R15" s="50"/>
      <c r="S15" s="51"/>
      <c r="T15" s="46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prs!$A$6:$D$12,
4,
FALSE
)
,"""")"),"")</f>
        <v/>
      </c>
      <c r="U15" s="46"/>
      <c r="V15" s="41"/>
      <c r="W15" s="42"/>
      <c r="X15" s="50"/>
      <c r="Y15" s="50"/>
      <c r="Z15" s="51"/>
      <c r="AA15" s="46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prs!$A$6:$D$12,
4,
FALSE
)
,"""")"),"")</f>
        <v/>
      </c>
      <c r="AB15" s="46"/>
      <c r="AC15" s="41"/>
    </row>
    <row r="16" ht="15.75" customHeight="1">
      <c r="A16" s="31"/>
      <c r="B16" s="52"/>
      <c r="C16" s="32" t="s">
        <v>20</v>
      </c>
      <c r="H16" s="29"/>
      <c r="I16" s="52"/>
      <c r="J16" s="32" t="s">
        <v>23</v>
      </c>
      <c r="O16" s="29"/>
      <c r="P16" s="52"/>
      <c r="Q16" s="32" t="s">
        <v>24</v>
      </c>
      <c r="V16" s="29"/>
      <c r="W16" s="52"/>
      <c r="X16" s="32" t="s">
        <v>25</v>
      </c>
      <c r="AC16" s="29"/>
    </row>
    <row r="17" ht="15.75" customHeight="1">
      <c r="A17" s="47"/>
      <c r="B17" s="47"/>
      <c r="C17" s="47"/>
      <c r="D17" s="47"/>
      <c r="H17" s="47"/>
      <c r="I17" s="47"/>
      <c r="J17" s="47"/>
      <c r="K17" s="47"/>
      <c r="O17" s="47"/>
      <c r="P17" s="47"/>
      <c r="Q17" s="47"/>
      <c r="R17" s="47"/>
      <c r="V17" s="47"/>
      <c r="W17" s="47"/>
      <c r="X17" s="47"/>
      <c r="Y17" s="47"/>
      <c r="AC17" s="47"/>
    </row>
    <row r="18" ht="15.75" customHeight="1">
      <c r="A18" s="31" t="s">
        <v>22</v>
      </c>
      <c r="B18" s="20"/>
      <c r="C18" s="27"/>
      <c r="H18" s="29"/>
      <c r="I18" s="20"/>
      <c r="J18" s="4"/>
      <c r="O18" s="29"/>
      <c r="P18" s="20"/>
      <c r="Q18" s="27"/>
      <c r="V18" s="29"/>
      <c r="W18" s="20"/>
      <c r="X18" s="27"/>
      <c r="AC18" s="47"/>
    </row>
    <row r="19" ht="15.75" customHeight="1">
      <c r="A19" s="31"/>
      <c r="B19" s="52"/>
      <c r="C19" s="5" t="s">
        <v>13</v>
      </c>
      <c r="D19" s="5" t="s">
        <v>16</v>
      </c>
      <c r="E19" s="5" t="s">
        <v>15</v>
      </c>
      <c r="F19" s="5" t="s">
        <v>17</v>
      </c>
      <c r="G19" s="5" t="s">
        <v>11</v>
      </c>
      <c r="H19" s="29"/>
      <c r="I19" s="52"/>
      <c r="J19" s="5" t="s">
        <v>13</v>
      </c>
      <c r="K19" s="5" t="s">
        <v>16</v>
      </c>
      <c r="L19" s="5" t="s">
        <v>15</v>
      </c>
      <c r="M19" s="5" t="s">
        <v>17</v>
      </c>
      <c r="N19" s="5" t="s">
        <v>11</v>
      </c>
      <c r="O19" s="29"/>
      <c r="P19" s="52"/>
      <c r="Q19" s="5" t="s">
        <v>13</v>
      </c>
      <c r="R19" s="5" t="s">
        <v>16</v>
      </c>
      <c r="S19" s="5" t="s">
        <v>15</v>
      </c>
      <c r="T19" s="5" t="s">
        <v>17</v>
      </c>
      <c r="U19" s="5" t="s">
        <v>11</v>
      </c>
      <c r="V19" s="29"/>
      <c r="W19" s="52"/>
      <c r="X19" s="5" t="s">
        <v>13</v>
      </c>
      <c r="Y19" s="5" t="s">
        <v>16</v>
      </c>
      <c r="Z19" s="5" t="s">
        <v>15</v>
      </c>
      <c r="AA19" s="5" t="s">
        <v>17</v>
      </c>
      <c r="AB19" s="5" t="s">
        <v>11</v>
      </c>
      <c r="AC19" s="47"/>
    </row>
    <row r="20" ht="15.75" customHeight="1">
      <c r="A20" s="2"/>
      <c r="B20" s="2" t="s">
        <v>18</v>
      </c>
      <c r="C20" s="38"/>
      <c r="D20" s="5"/>
      <c r="E20" s="5"/>
      <c r="F20" s="5" t="s">
        <v>19</v>
      </c>
      <c r="G20" s="5"/>
      <c r="H20" s="29"/>
      <c r="I20" s="2" t="s">
        <v>18</v>
      </c>
      <c r="J20" s="38"/>
      <c r="K20" s="5"/>
      <c r="L20" s="5"/>
      <c r="M20" s="5" t="s">
        <v>19</v>
      </c>
      <c r="N20" s="5"/>
      <c r="O20" s="29"/>
      <c r="P20" s="2" t="s">
        <v>18</v>
      </c>
      <c r="Q20" s="38"/>
      <c r="R20" s="5"/>
      <c r="S20" s="5"/>
      <c r="T20" s="5" t="s">
        <v>19</v>
      </c>
      <c r="U20" s="5"/>
      <c r="V20" s="29"/>
      <c r="W20" s="2" t="s">
        <v>18</v>
      </c>
      <c r="X20" s="38"/>
      <c r="Y20" s="5"/>
      <c r="Z20" s="5"/>
      <c r="AA20" s="5" t="s">
        <v>19</v>
      </c>
      <c r="AB20" s="5"/>
      <c r="AC20" s="47"/>
    </row>
    <row r="21" ht="15.75" customHeight="1">
      <c r="A21" s="49"/>
      <c r="B21" s="42"/>
      <c r="C21" s="43"/>
      <c r="D21" s="43"/>
      <c r="E21" s="44"/>
      <c r="F21" s="46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prs!$A$6:$D$12,
4,
FALSE
)
,"""")"),"")</f>
        <v/>
      </c>
      <c r="G21" s="46"/>
      <c r="H21" s="47"/>
      <c r="I21" s="42"/>
      <c r="J21" s="43"/>
      <c r="K21" s="43"/>
      <c r="L21" s="44"/>
      <c r="M21" s="46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prs!$A$6:$D$12,
4,
FALSE
)
,"""")"),"")</f>
        <v/>
      </c>
      <c r="N21" s="46"/>
      <c r="O21" s="49"/>
      <c r="P21" s="42"/>
      <c r="Q21" s="43"/>
      <c r="R21" s="43"/>
      <c r="S21" s="44"/>
      <c r="T21" s="46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prs!$A$6:$D$12,
4,
FALSE
)
,"""")"),"")</f>
        <v/>
      </c>
      <c r="U21" s="46"/>
      <c r="V21" s="49"/>
      <c r="W21" s="42"/>
      <c r="X21" s="43"/>
      <c r="Y21" s="43"/>
      <c r="Z21" s="44"/>
      <c r="AA21" s="46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prs!$A$6:$D$12,
4,
FALSE
)
,"""")"),"")</f>
        <v/>
      </c>
      <c r="AB21" s="46"/>
      <c r="AC21" s="49"/>
    </row>
    <row r="22" ht="15.75" customHeight="1">
      <c r="A22" s="49"/>
      <c r="B22" s="53"/>
      <c r="C22" s="43"/>
      <c r="D22" s="43"/>
      <c r="E22" s="44"/>
      <c r="F22" s="46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prs!$A$6:$D$12,
4,
FALSE
)
,"""")"),"")</f>
        <v/>
      </c>
      <c r="G22" s="46"/>
      <c r="H22" s="47"/>
      <c r="I22" s="53"/>
      <c r="J22" s="43"/>
      <c r="K22" s="43"/>
      <c r="L22" s="44"/>
      <c r="M22" s="46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prs!$A$6:$D$12,
4,
FALSE
)
,"""")"),"")</f>
        <v/>
      </c>
      <c r="N22" s="46"/>
      <c r="O22" s="49"/>
      <c r="P22" s="53"/>
      <c r="Q22" s="43"/>
      <c r="R22" s="43"/>
      <c r="S22" s="44"/>
      <c r="T22" s="46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prs!$A$6:$D$12,
4,
FALSE
)
,"""")"),"")</f>
        <v/>
      </c>
      <c r="U22" s="46"/>
      <c r="V22" s="49"/>
      <c r="W22" s="53"/>
      <c r="X22" s="43"/>
      <c r="Y22" s="43"/>
      <c r="Z22" s="44"/>
      <c r="AA22" s="46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prs!$A$6:$D$12,
4,
FALSE
)
,"""")"),"")</f>
        <v/>
      </c>
      <c r="AB22" s="46"/>
      <c r="AC22" s="49"/>
    </row>
    <row r="23" ht="15.75" customHeight="1">
      <c r="A23" s="49"/>
      <c r="B23" s="53"/>
      <c r="C23" s="43"/>
      <c r="D23" s="43"/>
      <c r="E23" s="44"/>
      <c r="F23" s="46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prs!$A$6:$D$12,
4,
FALSE
)
,"""")"),"")</f>
        <v/>
      </c>
      <c r="G23" s="46"/>
      <c r="H23" s="47"/>
      <c r="I23" s="53"/>
      <c r="J23" s="43"/>
      <c r="K23" s="43"/>
      <c r="L23" s="44"/>
      <c r="M23" s="46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prs!$A$6:$D$12,
4,
FALSE
)
,"""")"),"")</f>
        <v/>
      </c>
      <c r="N23" s="46"/>
      <c r="O23" s="49"/>
      <c r="P23" s="53"/>
      <c r="Q23" s="43"/>
      <c r="R23" s="43"/>
      <c r="S23" s="44"/>
      <c r="T23" s="46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prs!$A$6:$D$12,
4,
FALSE
)
,"""")"),"")</f>
        <v/>
      </c>
      <c r="U23" s="46"/>
      <c r="V23" s="49"/>
      <c r="W23" s="53"/>
      <c r="X23" s="43"/>
      <c r="Y23" s="43"/>
      <c r="Z23" s="44"/>
      <c r="AA23" s="46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prs!$A$6:$D$12,
4,
FALSE
)
,"""")"),"")</f>
        <v/>
      </c>
      <c r="AB23" s="46"/>
      <c r="AC23" s="49"/>
    </row>
    <row r="24" ht="15.75" customHeight="1">
      <c r="A24" s="49"/>
      <c r="B24" s="53"/>
      <c r="C24" s="50"/>
      <c r="D24" s="50"/>
      <c r="E24" s="51"/>
      <c r="F24" s="46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prs!$A$6:$D$12,
4,
FALSE
)
,"""")"),"")</f>
        <v/>
      </c>
      <c r="G24" s="46"/>
      <c r="H24" s="47"/>
      <c r="I24" s="53"/>
      <c r="J24" s="50"/>
      <c r="K24" s="50"/>
      <c r="L24" s="51"/>
      <c r="M24" s="46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prs!$A$6:$D$12,
4,
FALSE
)
,"""")"),"")</f>
        <v/>
      </c>
      <c r="N24" s="46"/>
      <c r="O24" s="49"/>
      <c r="P24" s="53"/>
      <c r="Q24" s="50"/>
      <c r="R24" s="50"/>
      <c r="S24" s="51"/>
      <c r="T24" s="46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prs!$A$6:$D$12,
4,
FALSE
)
,"""")"),"")</f>
        <v/>
      </c>
      <c r="U24" s="46"/>
      <c r="V24" s="49"/>
      <c r="W24" s="53"/>
      <c r="X24" s="50"/>
      <c r="Y24" s="50"/>
      <c r="Z24" s="51"/>
      <c r="AA24" s="46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prs!$A$6:$D$12,
4,
FALSE
)
,"""")"),"")</f>
        <v/>
      </c>
      <c r="AB24" s="46"/>
      <c r="AC24" s="49"/>
    </row>
    <row r="25" ht="15.75" customHeight="1">
      <c r="A25" s="49"/>
      <c r="B25" s="53"/>
      <c r="C25" s="50"/>
      <c r="D25" s="50"/>
      <c r="E25" s="51"/>
      <c r="F25" s="46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prs!$A$6:$D$12,
4,
FALSE
)
,"""")"),"")</f>
        <v/>
      </c>
      <c r="G25" s="46"/>
      <c r="H25" s="47"/>
      <c r="I25" s="53"/>
      <c r="J25" s="50"/>
      <c r="K25" s="50"/>
      <c r="L25" s="51"/>
      <c r="M25" s="46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prs!$A$6:$D$12,
4,
FALSE
)
,"""")"),"")</f>
        <v/>
      </c>
      <c r="N25" s="46"/>
      <c r="O25" s="49"/>
      <c r="P25" s="53"/>
      <c r="Q25" s="50"/>
      <c r="R25" s="50"/>
      <c r="S25" s="51"/>
      <c r="T25" s="46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prs!$A$6:$D$12,
4,
FALSE
)
,"""")"),"")</f>
        <v/>
      </c>
      <c r="U25" s="46"/>
      <c r="V25" s="49"/>
      <c r="W25" s="53"/>
      <c r="X25" s="50"/>
      <c r="Y25" s="50"/>
      <c r="Z25" s="51"/>
      <c r="AA25" s="46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prs!$A$6:$D$12,
4,
FALSE
)
,"""")"),"")</f>
        <v/>
      </c>
      <c r="AB25" s="46"/>
      <c r="AC25" s="49"/>
    </row>
    <row r="26" ht="15.75" customHeight="1">
      <c r="A26" s="49"/>
      <c r="B26" s="53"/>
      <c r="C26" s="50"/>
      <c r="D26" s="50"/>
      <c r="E26" s="51"/>
      <c r="F26" s="46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prs!$A$6:$D$12,
4,
FALSE
)
,"""")"),"")</f>
        <v/>
      </c>
      <c r="G26" s="46"/>
      <c r="H26" s="47"/>
      <c r="I26" s="53"/>
      <c r="J26" s="50"/>
      <c r="K26" s="50"/>
      <c r="L26" s="51"/>
      <c r="M26" s="46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prs!$A$6:$D$12,
4,
FALSE
)
,"""")"),"")</f>
        <v/>
      </c>
      <c r="N26" s="46"/>
      <c r="O26" s="49"/>
      <c r="P26" s="53"/>
      <c r="Q26" s="50"/>
      <c r="R26" s="50"/>
      <c r="S26" s="51"/>
      <c r="T26" s="46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prs!$A$6:$D$12,
4,
FALSE
)
,"""")"),"")</f>
        <v/>
      </c>
      <c r="U26" s="46"/>
      <c r="V26" s="49"/>
      <c r="W26" s="53"/>
      <c r="X26" s="50"/>
      <c r="Y26" s="50"/>
      <c r="Z26" s="51"/>
      <c r="AA26" s="46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prs!$A$6:$D$12,
4,
FALSE
)
,"""")"),"")</f>
        <v/>
      </c>
      <c r="AB26" s="46"/>
      <c r="AC26" s="49"/>
    </row>
    <row r="27" ht="15.75" customHeight="1">
      <c r="A27" s="49"/>
      <c r="B27" s="53"/>
      <c r="C27" s="50"/>
      <c r="D27" s="50"/>
      <c r="E27" s="51"/>
      <c r="F27" s="46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prs!$A$6:$D$12,
4,
FALSE
)
,"""")"),"")</f>
        <v/>
      </c>
      <c r="G27" s="46"/>
      <c r="H27" s="47"/>
      <c r="I27" s="53"/>
      <c r="J27" s="50"/>
      <c r="K27" s="50"/>
      <c r="L27" s="51"/>
      <c r="M27" s="46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prs!$A$6:$D$12,
4,
FALSE
)
,"""")"),"")</f>
        <v/>
      </c>
      <c r="N27" s="46"/>
      <c r="O27" s="49"/>
      <c r="P27" s="53"/>
      <c r="Q27" s="50"/>
      <c r="R27" s="50"/>
      <c r="S27" s="51"/>
      <c r="T27" s="46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prs!$A$6:$D$12,
4,
FALSE
)
,"""")"),"")</f>
        <v/>
      </c>
      <c r="U27" s="46"/>
      <c r="V27" s="49"/>
      <c r="W27" s="53"/>
      <c r="X27" s="50"/>
      <c r="Y27" s="50"/>
      <c r="Z27" s="51"/>
      <c r="AA27" s="46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prs!$A$6:$D$12,
4,
FALSE
)
,"""")"),"")</f>
        <v/>
      </c>
      <c r="AB27" s="46"/>
      <c r="AC27" s="49"/>
    </row>
    <row r="28" ht="15.75" customHeight="1">
      <c r="A28" s="49"/>
      <c r="B28" s="53"/>
      <c r="C28" s="50"/>
      <c r="D28" s="50"/>
      <c r="E28" s="51"/>
      <c r="F28" s="46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prs!$A$6:$D$12,
4,
FALSE
)
,"""")"),"")</f>
        <v/>
      </c>
      <c r="G28" s="46"/>
      <c r="H28" s="47"/>
      <c r="I28" s="53"/>
      <c r="J28" s="50"/>
      <c r="K28" s="50"/>
      <c r="L28" s="51"/>
      <c r="M28" s="46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prs!$A$6:$D$12,
4,
FALSE
)
,"""")"),"")</f>
        <v/>
      </c>
      <c r="N28" s="46"/>
      <c r="O28" s="49"/>
      <c r="P28" s="53"/>
      <c r="Q28" s="50"/>
      <c r="R28" s="50"/>
      <c r="S28" s="51"/>
      <c r="T28" s="46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prs!$A$6:$D$12,
4,
FALSE
)
,"""")"),"")</f>
        <v/>
      </c>
      <c r="U28" s="46"/>
      <c r="V28" s="49"/>
      <c r="W28" s="53"/>
      <c r="X28" s="50"/>
      <c r="Y28" s="50"/>
      <c r="Z28" s="51"/>
      <c r="AA28" s="46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prs!$A$6:$D$12,
4,
FALSE
)
,"""")"),"")</f>
        <v/>
      </c>
      <c r="AB28" s="46"/>
      <c r="AC28" s="49"/>
    </row>
    <row r="29" ht="15.75" customHeight="1">
      <c r="A29" s="49"/>
      <c r="B29" s="53"/>
      <c r="C29" s="50"/>
      <c r="D29" s="50"/>
      <c r="E29" s="51"/>
      <c r="F29" s="46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prs!$A$6:$D$12,
4,
FALSE
)
,"""")"),"")</f>
        <v/>
      </c>
      <c r="G29" s="46"/>
      <c r="H29" s="47"/>
      <c r="I29" s="53"/>
      <c r="J29" s="50"/>
      <c r="K29" s="50"/>
      <c r="L29" s="51"/>
      <c r="M29" s="46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prs!$A$6:$D$12,
4,
FALSE
)
,"""")"),"")</f>
        <v/>
      </c>
      <c r="N29" s="46"/>
      <c r="O29" s="49"/>
      <c r="P29" s="53"/>
      <c r="Q29" s="50"/>
      <c r="R29" s="50"/>
      <c r="S29" s="51"/>
      <c r="T29" s="46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prs!$A$6:$D$12,
4,
FALSE
)
,"""")"),"")</f>
        <v/>
      </c>
      <c r="U29" s="46"/>
      <c r="V29" s="49"/>
      <c r="W29" s="53"/>
      <c r="X29" s="50"/>
      <c r="Y29" s="50"/>
      <c r="Z29" s="51"/>
      <c r="AA29" s="46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prs!$A$6:$D$12,
4,
FALSE
)
,"""")"),"")</f>
        <v/>
      </c>
      <c r="AB29" s="46"/>
      <c r="AC29" s="49"/>
    </row>
    <row r="30" ht="15.75" customHeight="1">
      <c r="A30" s="49"/>
      <c r="B30" s="53"/>
      <c r="C30" s="50"/>
      <c r="D30" s="50"/>
      <c r="E30" s="51"/>
      <c r="F30" s="46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prs!$A$6:$D$12,
4,
FALSE
)
,"""")"),"")</f>
        <v/>
      </c>
      <c r="G30" s="46"/>
      <c r="H30" s="47"/>
      <c r="I30" s="53"/>
      <c r="J30" s="50"/>
      <c r="K30" s="50"/>
      <c r="L30" s="51"/>
      <c r="M30" s="46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prs!$A$6:$D$12,
4,
FALSE
)
,"""")"),"")</f>
        <v/>
      </c>
      <c r="N30" s="46"/>
      <c r="O30" s="49"/>
      <c r="P30" s="53"/>
      <c r="Q30" s="50"/>
      <c r="R30" s="50"/>
      <c r="S30" s="51"/>
      <c r="T30" s="46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prs!$A$6:$D$12,
4,
FALSE
)
,"""")"),"")</f>
        <v/>
      </c>
      <c r="U30" s="46"/>
      <c r="V30" s="49"/>
      <c r="W30" s="53"/>
      <c r="X30" s="50"/>
      <c r="Y30" s="50"/>
      <c r="Z30" s="51"/>
      <c r="AA30" s="46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prs!$A$6:$D$12,
4,
FALSE
)
,"""")"),"")</f>
        <v/>
      </c>
      <c r="AB30" s="46"/>
      <c r="AC30" s="49"/>
    </row>
    <row r="31" ht="15.75" customHeight="1">
      <c r="A31" s="52"/>
      <c r="B31" s="52"/>
      <c r="C31" s="32" t="s">
        <v>20</v>
      </c>
      <c r="H31" s="29"/>
      <c r="I31" s="52"/>
      <c r="J31" s="32" t="s">
        <v>23</v>
      </c>
      <c r="O31" s="29"/>
      <c r="P31" s="52"/>
      <c r="Q31" s="32" t="s">
        <v>24</v>
      </c>
      <c r="V31" s="29"/>
      <c r="W31" s="52"/>
      <c r="X31" s="32" t="s">
        <v>25</v>
      </c>
      <c r="AC31" s="47"/>
    </row>
    <row r="32" ht="15.75" customHeight="1">
      <c r="A32" s="12"/>
      <c r="B32" s="54"/>
      <c r="C32" s="12"/>
      <c r="D32" s="12"/>
      <c r="H32" s="12"/>
      <c r="I32" s="54"/>
      <c r="J32" s="12"/>
      <c r="K32" s="12"/>
      <c r="O32" s="12"/>
      <c r="P32" s="54"/>
      <c r="Q32" s="12"/>
      <c r="R32" s="12"/>
      <c r="V32" s="12"/>
      <c r="W32" s="54"/>
      <c r="X32" s="12"/>
      <c r="Y32" s="12"/>
      <c r="AC32" s="12"/>
    </row>
    <row r="33" ht="15.75" customHeight="1">
      <c r="A33" s="2" t="s">
        <v>26</v>
      </c>
      <c r="B33" s="20"/>
      <c r="C33" s="32"/>
      <c r="H33" s="29"/>
      <c r="I33" s="20"/>
      <c r="J33" s="32"/>
      <c r="O33" s="29"/>
      <c r="P33" s="20"/>
      <c r="Q33" s="32"/>
      <c r="V33" s="29"/>
      <c r="W33" s="20"/>
      <c r="X33" s="32"/>
      <c r="AC33" s="12"/>
    </row>
    <row r="34" ht="15.75" customHeight="1">
      <c r="A34" s="2"/>
      <c r="B34" s="2"/>
      <c r="C34" s="5" t="s">
        <v>13</v>
      </c>
      <c r="D34" s="5" t="s">
        <v>16</v>
      </c>
      <c r="E34" s="5" t="s">
        <v>15</v>
      </c>
      <c r="F34" s="5" t="s">
        <v>17</v>
      </c>
      <c r="G34" s="5" t="s">
        <v>11</v>
      </c>
      <c r="H34" s="29"/>
      <c r="I34" s="2"/>
      <c r="J34" s="5" t="s">
        <v>13</v>
      </c>
      <c r="K34" s="5" t="s">
        <v>16</v>
      </c>
      <c r="L34" s="5" t="s">
        <v>15</v>
      </c>
      <c r="M34" s="5" t="s">
        <v>17</v>
      </c>
      <c r="N34" s="5" t="s">
        <v>11</v>
      </c>
      <c r="O34" s="29"/>
      <c r="P34" s="2"/>
      <c r="Q34" s="5" t="s">
        <v>13</v>
      </c>
      <c r="R34" s="5" t="s">
        <v>16</v>
      </c>
      <c r="S34" s="5" t="s">
        <v>15</v>
      </c>
      <c r="T34" s="5" t="s">
        <v>17</v>
      </c>
      <c r="U34" s="5" t="s">
        <v>11</v>
      </c>
      <c r="V34" s="29"/>
      <c r="W34" s="2"/>
      <c r="X34" s="5" t="s">
        <v>13</v>
      </c>
      <c r="Y34" s="5" t="s">
        <v>16</v>
      </c>
      <c r="Z34" s="5" t="s">
        <v>15</v>
      </c>
      <c r="AA34" s="5" t="s">
        <v>17</v>
      </c>
      <c r="AB34" s="5" t="s">
        <v>11</v>
      </c>
      <c r="AC34" s="29"/>
    </row>
    <row r="35" ht="15.75" customHeight="1">
      <c r="A35" s="2"/>
      <c r="B35" s="2" t="s">
        <v>18</v>
      </c>
      <c r="C35" s="38"/>
      <c r="D35" s="5"/>
      <c r="E35" s="5"/>
      <c r="F35" s="5" t="s">
        <v>19</v>
      </c>
      <c r="G35" s="5"/>
      <c r="H35" s="29"/>
      <c r="I35" s="2" t="s">
        <v>18</v>
      </c>
      <c r="J35" s="38"/>
      <c r="K35" s="5"/>
      <c r="L35" s="5"/>
      <c r="M35" s="5" t="s">
        <v>19</v>
      </c>
      <c r="N35" s="5"/>
      <c r="O35" s="29"/>
      <c r="P35" s="2" t="s">
        <v>18</v>
      </c>
      <c r="Q35" s="38"/>
      <c r="R35" s="5"/>
      <c r="S35" s="5"/>
      <c r="T35" s="5" t="s">
        <v>19</v>
      </c>
      <c r="U35" s="5"/>
      <c r="V35" s="29"/>
      <c r="W35" s="2" t="s">
        <v>18</v>
      </c>
      <c r="X35" s="38"/>
      <c r="Y35" s="5"/>
      <c r="Z35" s="5"/>
      <c r="AA35" s="5" t="s">
        <v>19</v>
      </c>
      <c r="AB35" s="5"/>
      <c r="AC35" s="29"/>
    </row>
    <row r="36" ht="15.75" customHeight="1">
      <c r="A36" s="41"/>
      <c r="B36" s="42"/>
      <c r="C36" s="43"/>
      <c r="D36" s="43"/>
      <c r="E36" s="44"/>
      <c r="F36" s="46" t="str">
        <f>IFERROR(__xludf.DUMMYFUNCTION("IFERROR(
$E36/
VLOOKUP(
IF(
 REGEXMATCH($B36,""(?i)agachamento""),""Agachamento"",
 IF(
  REGEXMATCH($B36,""(?i)supino""),""Supino"",
  IF(
   REGEXMATCH($B36,""(?i)terra""),""Terra"",
   IF(
    REGEXMATCH($B36,""(?i)desenvolvimento""),""Desenvolvimento"&amp;""",
    IF(
     REGEXMATCH($B36,""(?i)remada""),""Remada"",
     IF(REGEXMATCH($B36,""(?i)arranco""),""Arranco"",IF(REGEXMATCH($B36,""(?i)arremesso""),""Arremesso"",""""))
    )
   )
  )
 )
),
prs!$A$6:$D$12,
4,
FALSE
)
,"""")"),"")</f>
        <v/>
      </c>
      <c r="G36" s="46"/>
      <c r="H36" s="29"/>
      <c r="I36" s="42"/>
      <c r="J36" s="43"/>
      <c r="K36" s="43"/>
      <c r="L36" s="44"/>
      <c r="M36" s="46" t="str">
        <f>IFERROR(__xludf.DUMMYFUNCTION("IFERROR(
$L36/
VLOOKUP(
IF(
 REGEXMATCH($I36,""(?i)agachamento""),""Agachamento"",
 IF(
  REGEXMATCH($I36,""(?i)supino""),""Supino"",
  IF(
   REGEXMATCH($I36,""(?i)terra""),""Terra"",
   IF(
    REGEXMATCH($I36,""(?i)desenvolvimento""),""Desenvolvimento"&amp;""",
    IF(
     REGEXMATCH($I36,""(?i)remada""),""Remada"",
     IF(REGEXMATCH($I36,""(?i)arranco""),""Arranco"",IF(REGEXMATCH($I36,""(?i)arremesso""),""Arremesso"",""""))
    )
   )
  )
 )
),
prs!$A$6:$D$12,
4,
FALSE
)
,"""")"),"")</f>
        <v/>
      </c>
      <c r="N36" s="46"/>
      <c r="O36" s="41"/>
      <c r="P36" s="42"/>
      <c r="Q36" s="43"/>
      <c r="R36" s="43"/>
      <c r="S36" s="44"/>
      <c r="T36" s="46" t="str">
        <f>IFERROR(__xludf.DUMMYFUNCTION("IFERROR(
$S36/
VLOOKUP(
IF(
 REGEXMATCH($P36,""(?i)agachamento""),""Agachamento"",
 IF(
  REGEXMATCH($P36,""(?i)supino""),""Supino"",
  IF(
   REGEXMATCH($P36,""(?i)terra""),""Terra"",
   IF(
    REGEXMATCH($P36,""(?i)desenvolvimento""),""Desenvolvimento"&amp;""",
    IF(
     REGEXMATCH($P36,""(?i)remada""),""Remada"",
     IF(REGEXMATCH($P36,""(?i)arranco""),""Arranco"",IF(REGEXMATCH($P36,""(?i)arremesso""),""Arremesso"",""""))
    )
   )
  )
 )
),
prs!$A$6:$D$12,
4,
FALSE
)
,"""")"),"")</f>
        <v/>
      </c>
      <c r="U36" s="46"/>
      <c r="V36" s="41"/>
      <c r="W36" s="42"/>
      <c r="X36" s="43"/>
      <c r="Y36" s="43"/>
      <c r="Z36" s="44"/>
      <c r="AA36" s="46" t="str">
        <f>IFERROR(__xludf.DUMMYFUNCTION("IFERROR(
$Z36/
VLOOKUP(
IF(
 REGEXMATCH($W36,""(?i)agachamento""),""Agachamento"",
 IF(
  REGEXMATCH($W36,""(?i)supino""),""Supino"",
  IF(
   REGEXMATCH($W36,""(?i)terra""),""Terra"",
   IF(
    REGEXMATCH($W36,""(?i)desenvolvimento""),""Desenvolvimento"&amp;""",
    IF(
     REGEXMATCH($W36,""(?i)remada""),""Remada"",
     IF(REGEXMATCH($W36,""(?i)arranco""),""Arranco"",IF(REGEXMATCH($W36,""(?i)arremesso""),""Arremesso"",""""))
    )
   )
  )
 )
),
prs!$A$6:$D$12,
4,
FALSE
)
,"""")"),"")</f>
        <v/>
      </c>
      <c r="AB36" s="46"/>
      <c r="AC36" s="41"/>
    </row>
    <row r="37" ht="15.75" customHeight="1">
      <c r="A37" s="41"/>
      <c r="B37" s="42"/>
      <c r="C37" s="43"/>
      <c r="D37" s="43"/>
      <c r="E37" s="44"/>
      <c r="F37" s="46" t="str">
        <f>IFERROR(__xludf.DUMMYFUNCTION("IFERROR(
$E37/
VLOOKUP(
IF(
 REGEXMATCH($B37,""(?i)agachamento""),""Agachamento"",
 IF(
  REGEXMATCH($B37,""(?i)supino""),""Supino"",
  IF(
   REGEXMATCH($B37,""(?i)terra""),""Terra"",
   IF(
    REGEXMATCH($B37,""(?i)desenvolvimento""),""Desenvolvimento"&amp;""",
    IF(
     REGEXMATCH($B37,""(?i)remada""),""Remada"",
     IF(REGEXMATCH($B37,""(?i)arranco""),""Arranco"",IF(REGEXMATCH($B37,""(?i)arremesso""),""Arremesso"",""""))
    )
   )
  )
 )
),
prs!$A$6:$D$12,
4,
FALSE
)
,"""")"),"")</f>
        <v/>
      </c>
      <c r="G37" s="46"/>
      <c r="H37" s="29"/>
      <c r="I37" s="42"/>
      <c r="J37" s="43"/>
      <c r="K37" s="43"/>
      <c r="L37" s="44"/>
      <c r="M37" s="46" t="str">
        <f>IFERROR(__xludf.DUMMYFUNCTION("IFERROR(
$L37/
VLOOKUP(
IF(
 REGEXMATCH($I37,""(?i)agachamento""),""Agachamento"",
 IF(
  REGEXMATCH($I37,""(?i)supino""),""Supino"",
  IF(
   REGEXMATCH($I37,""(?i)terra""),""Terra"",
   IF(
    REGEXMATCH($I37,""(?i)desenvolvimento""),""Desenvolvimento"&amp;""",
    IF(
     REGEXMATCH($I37,""(?i)remada""),""Remada"",
     IF(REGEXMATCH($I37,""(?i)arranco""),""Arranco"",IF(REGEXMATCH($I37,""(?i)arremesso""),""Arremesso"",""""))
    )
   )
  )
 )
),
prs!$A$6:$D$12,
4,
FALSE
)
,"""")"),"")</f>
        <v/>
      </c>
      <c r="N37" s="46"/>
      <c r="O37" s="41"/>
      <c r="P37" s="42"/>
      <c r="Q37" s="43"/>
      <c r="R37" s="43"/>
      <c r="S37" s="44"/>
      <c r="T37" s="46" t="str">
        <f>IFERROR(__xludf.DUMMYFUNCTION("IFERROR(
$S37/
VLOOKUP(
IF(
 REGEXMATCH($P37,""(?i)agachamento""),""Agachamento"",
 IF(
  REGEXMATCH($P37,""(?i)supino""),""Supino"",
  IF(
   REGEXMATCH($P37,""(?i)terra""),""Terra"",
   IF(
    REGEXMATCH($P37,""(?i)desenvolvimento""),""Desenvolvimento"&amp;""",
    IF(
     REGEXMATCH($P37,""(?i)remada""),""Remada"",
     IF(REGEXMATCH($P37,""(?i)arranco""),""Arranco"",IF(REGEXMATCH($P37,""(?i)arremesso""),""Arremesso"",""""))
    )
   )
  )
 )
),
prs!$A$6:$D$12,
4,
FALSE
)
,"""")"),"")</f>
        <v/>
      </c>
      <c r="U37" s="46"/>
      <c r="V37" s="41"/>
      <c r="W37" s="42"/>
      <c r="X37" s="43"/>
      <c r="Y37" s="43"/>
      <c r="Z37" s="44"/>
      <c r="AA37" s="46" t="str">
        <f>IFERROR(__xludf.DUMMYFUNCTION("IFERROR(
$Z37/
VLOOKUP(
IF(
 REGEXMATCH($W37,""(?i)agachamento""),""Agachamento"",
 IF(
  REGEXMATCH($W37,""(?i)supino""),""Supino"",
  IF(
   REGEXMATCH($W37,""(?i)terra""),""Terra"",
   IF(
    REGEXMATCH($W37,""(?i)desenvolvimento""),""Desenvolvimento"&amp;""",
    IF(
     REGEXMATCH($W37,""(?i)remada""),""Remada"",
     IF(REGEXMATCH($W37,""(?i)arranco""),""Arranco"",IF(REGEXMATCH($W37,""(?i)arremesso""),""Arremesso"",""""))
    )
   )
  )
 )
),
prs!$A$6:$D$12,
4,
FALSE
)
,"""")"),"")</f>
        <v/>
      </c>
      <c r="AB37" s="46"/>
      <c r="AC37" s="41"/>
    </row>
    <row r="38" ht="15.75" customHeight="1">
      <c r="A38" s="41"/>
      <c r="B38" s="42"/>
      <c r="C38" s="43"/>
      <c r="D38" s="43"/>
      <c r="E38" s="44"/>
      <c r="F38" s="46" t="str">
        <f>IFERROR(__xludf.DUMMYFUNCTION("IFERROR(
$E38/
VLOOKUP(
IF(
 REGEXMATCH($B38,""(?i)agachamento""),""Agachamento"",
 IF(
  REGEXMATCH($B38,""(?i)supino""),""Supino"",
  IF(
   REGEXMATCH($B38,""(?i)terra""),""Terra"",
   IF(
    REGEXMATCH($B38,""(?i)desenvolvimento""),""Desenvolvimento"&amp;""",
    IF(
     REGEXMATCH($B38,""(?i)remada""),""Remada"",
     IF(REGEXMATCH($B38,""(?i)arranco""),""Arranco"",IF(REGEXMATCH($B38,""(?i)arremesso""),""Arremesso"",""""))
    )
   )
  )
 )
),
prs!$A$6:$D$12,
4,
FALSE
)
,"""")"),"")</f>
        <v/>
      </c>
      <c r="G38" s="46"/>
      <c r="H38" s="29"/>
      <c r="I38" s="42"/>
      <c r="J38" s="43"/>
      <c r="K38" s="43"/>
      <c r="L38" s="44"/>
      <c r="M38" s="46" t="str">
        <f>IFERROR(__xludf.DUMMYFUNCTION("IFERROR(
$L38/
VLOOKUP(
IF(
 REGEXMATCH($I38,""(?i)agachamento""),""Agachamento"",
 IF(
  REGEXMATCH($I38,""(?i)supino""),""Supino"",
  IF(
   REGEXMATCH($I38,""(?i)terra""),""Terra"",
   IF(
    REGEXMATCH($I38,""(?i)desenvolvimento""),""Desenvolvimento"&amp;""",
    IF(
     REGEXMATCH($I38,""(?i)remada""),""Remada"",
     IF(REGEXMATCH($I38,""(?i)arranco""),""Arranco"",IF(REGEXMATCH($I38,""(?i)arremesso""),""Arremesso"",""""))
    )
   )
  )
 )
),
prs!$A$6:$D$12,
4,
FALSE
)
,"""")"),"")</f>
        <v/>
      </c>
      <c r="N38" s="46"/>
      <c r="O38" s="41"/>
      <c r="P38" s="42"/>
      <c r="Q38" s="43"/>
      <c r="R38" s="43"/>
      <c r="S38" s="44"/>
      <c r="T38" s="46" t="str">
        <f>IFERROR(__xludf.DUMMYFUNCTION("IFERROR(
$S38/
VLOOKUP(
IF(
 REGEXMATCH($P38,""(?i)agachamento""),""Agachamento"",
 IF(
  REGEXMATCH($P38,""(?i)supino""),""Supino"",
  IF(
   REGEXMATCH($P38,""(?i)terra""),""Terra"",
   IF(
    REGEXMATCH($P38,""(?i)desenvolvimento""),""Desenvolvimento"&amp;""",
    IF(
     REGEXMATCH($P38,""(?i)remada""),""Remada"",
     IF(REGEXMATCH($P38,""(?i)arranco""),""Arranco"",IF(REGEXMATCH($P38,""(?i)arremesso""),""Arremesso"",""""))
    )
   )
  )
 )
),
prs!$A$6:$D$12,
4,
FALSE
)
,"""")"),"")</f>
        <v/>
      </c>
      <c r="U38" s="46"/>
      <c r="V38" s="41"/>
      <c r="W38" s="42"/>
      <c r="X38" s="43"/>
      <c r="Y38" s="43"/>
      <c r="Z38" s="44"/>
      <c r="AA38" s="46" t="str">
        <f>IFERROR(__xludf.DUMMYFUNCTION("IFERROR(
$Z38/
VLOOKUP(
IF(
 REGEXMATCH($W38,""(?i)agachamento""),""Agachamento"",
 IF(
  REGEXMATCH($W38,""(?i)supino""),""Supino"",
  IF(
   REGEXMATCH($W38,""(?i)terra""),""Terra"",
   IF(
    REGEXMATCH($W38,""(?i)desenvolvimento""),""Desenvolvimento"&amp;""",
    IF(
     REGEXMATCH($W38,""(?i)remada""),""Remada"",
     IF(REGEXMATCH($W38,""(?i)arranco""),""Arranco"",IF(REGEXMATCH($W38,""(?i)arremesso""),""Arremesso"",""""))
    )
   )
  )
 )
),
prs!$A$6:$D$12,
4,
FALSE
)
,"""")"),"")</f>
        <v/>
      </c>
      <c r="AB38" s="46"/>
      <c r="AC38" s="41"/>
    </row>
    <row r="39" ht="15.75" customHeight="1">
      <c r="A39" s="41"/>
      <c r="B39" s="42"/>
      <c r="C39" s="50"/>
      <c r="D39" s="50"/>
      <c r="E39" s="51"/>
      <c r="F39" s="46" t="str">
        <f>IFERROR(__xludf.DUMMYFUNCTION("IFERROR(
$E39/
VLOOKUP(
IF(
 REGEXMATCH($B39,""(?i)agachamento""),""Agachamento"",
 IF(
  REGEXMATCH($B39,""(?i)supino""),""Supino"",
  IF(
   REGEXMATCH($B39,""(?i)terra""),""Terra"",
   IF(
    REGEXMATCH($B39,""(?i)desenvolvimento""),""Desenvolvimento"&amp;""",
    IF(
     REGEXMATCH($B39,""(?i)remada""),""Remada"",
     IF(REGEXMATCH($B39,""(?i)arranco""),""Arranco"",IF(REGEXMATCH($B39,""(?i)arremesso""),""Arremesso"",""""))
    )
   )
  )
 )
),
prs!$A$6:$D$12,
4,
FALSE
)
,"""")"),"")</f>
        <v/>
      </c>
      <c r="G39" s="46"/>
      <c r="H39" s="29"/>
      <c r="I39" s="42"/>
      <c r="J39" s="50"/>
      <c r="K39" s="50"/>
      <c r="L39" s="51"/>
      <c r="M39" s="46" t="str">
        <f>IFERROR(__xludf.DUMMYFUNCTION("IFERROR(
$L39/
VLOOKUP(
IF(
 REGEXMATCH($I39,""(?i)agachamento""),""Agachamento"",
 IF(
  REGEXMATCH($I39,""(?i)supino""),""Supino"",
  IF(
   REGEXMATCH($I39,""(?i)terra""),""Terra"",
   IF(
    REGEXMATCH($I39,""(?i)desenvolvimento""),""Desenvolvimento"&amp;""",
    IF(
     REGEXMATCH($I39,""(?i)remada""),""Remada"",
     IF(REGEXMATCH($I39,""(?i)arranco""),""Arranco"",IF(REGEXMATCH($I39,""(?i)arremesso""),""Arremesso"",""""))
    )
   )
  )
 )
),
prs!$A$6:$D$12,
4,
FALSE
)
,"""")"),"")</f>
        <v/>
      </c>
      <c r="N39" s="46"/>
      <c r="O39" s="41"/>
      <c r="P39" s="42"/>
      <c r="Q39" s="50"/>
      <c r="R39" s="50"/>
      <c r="S39" s="51"/>
      <c r="T39" s="46" t="str">
        <f>IFERROR(__xludf.DUMMYFUNCTION("IFERROR(
$S39/
VLOOKUP(
IF(
 REGEXMATCH($P39,""(?i)agachamento""),""Agachamento"",
 IF(
  REGEXMATCH($P39,""(?i)supino""),""Supino"",
  IF(
   REGEXMATCH($P39,""(?i)terra""),""Terra"",
   IF(
    REGEXMATCH($P39,""(?i)desenvolvimento""),""Desenvolvimento"&amp;""",
    IF(
     REGEXMATCH($P39,""(?i)remada""),""Remada"",
     IF(REGEXMATCH($P39,""(?i)arranco""),""Arranco"",IF(REGEXMATCH($P39,""(?i)arremesso""),""Arremesso"",""""))
    )
   )
  )
 )
),
prs!$A$6:$D$12,
4,
FALSE
)
,"""")"),"")</f>
        <v/>
      </c>
      <c r="U39" s="46"/>
      <c r="V39" s="41"/>
      <c r="W39" s="42"/>
      <c r="X39" s="50"/>
      <c r="Y39" s="50"/>
      <c r="Z39" s="51"/>
      <c r="AA39" s="46" t="str">
        <f>IFERROR(__xludf.DUMMYFUNCTION("IFERROR(
$Z39/
VLOOKUP(
IF(
 REGEXMATCH($W39,""(?i)agachamento""),""Agachamento"",
 IF(
  REGEXMATCH($W39,""(?i)supino""),""Supino"",
  IF(
   REGEXMATCH($W39,""(?i)terra""),""Terra"",
   IF(
    REGEXMATCH($W39,""(?i)desenvolvimento""),""Desenvolvimento"&amp;""",
    IF(
     REGEXMATCH($W39,""(?i)remada""),""Remada"",
     IF(REGEXMATCH($W39,""(?i)arranco""),""Arranco"",IF(REGEXMATCH($W39,""(?i)arremesso""),""Arremesso"",""""))
    )
   )
  )
 )
),
prs!$A$6:$D$12,
4,
FALSE
)
,"""")"),"")</f>
        <v/>
      </c>
      <c r="AB39" s="46"/>
      <c r="AC39" s="41"/>
    </row>
    <row r="40" ht="15.75" customHeight="1">
      <c r="A40" s="41"/>
      <c r="B40" s="42"/>
      <c r="C40" s="50"/>
      <c r="D40" s="50"/>
      <c r="E40" s="51"/>
      <c r="F40" s="46" t="str">
        <f>IFERROR(__xludf.DUMMYFUNCTION("IFERROR(
$E40/
VLOOKUP(
IF(
 REGEXMATCH($B40,""(?i)agachamento""),""Agachamento"",
 IF(
  REGEXMATCH($B40,""(?i)supino""),""Supino"",
  IF(
   REGEXMATCH($B40,""(?i)terra""),""Terra"",
   IF(
    REGEXMATCH($B40,""(?i)desenvolvimento""),""Desenvolvimento"&amp;""",
    IF(
     REGEXMATCH($B40,""(?i)remada""),""Remada"",
     IF(REGEXMATCH($B40,""(?i)arranco""),""Arranco"",IF(REGEXMATCH($B40,""(?i)arremesso""),""Arremesso"",""""))
    )
   )
  )
 )
),
prs!$A$6:$D$12,
4,
FALSE
)
,"""")"),"")</f>
        <v/>
      </c>
      <c r="G40" s="46"/>
      <c r="H40" s="29"/>
      <c r="I40" s="42"/>
      <c r="J40" s="50"/>
      <c r="K40" s="50"/>
      <c r="L40" s="51"/>
      <c r="M40" s="46" t="str">
        <f>IFERROR(__xludf.DUMMYFUNCTION("IFERROR(
$L40/
VLOOKUP(
IF(
 REGEXMATCH($I40,""(?i)agachamento""),""Agachamento"",
 IF(
  REGEXMATCH($I40,""(?i)supino""),""Supino"",
  IF(
   REGEXMATCH($I40,""(?i)terra""),""Terra"",
   IF(
    REGEXMATCH($I40,""(?i)desenvolvimento""),""Desenvolvimento"&amp;""",
    IF(
     REGEXMATCH($I40,""(?i)remada""),""Remada"",
     IF(REGEXMATCH($I40,""(?i)arranco""),""Arranco"",IF(REGEXMATCH($I40,""(?i)arremesso""),""Arremesso"",""""))
    )
   )
  )
 )
),
prs!$A$6:$D$12,
4,
FALSE
)
,"""")"),"")</f>
        <v/>
      </c>
      <c r="N40" s="46"/>
      <c r="O40" s="41"/>
      <c r="P40" s="42"/>
      <c r="Q40" s="50"/>
      <c r="R40" s="50"/>
      <c r="S40" s="51"/>
      <c r="T40" s="46" t="str">
        <f>IFERROR(__xludf.DUMMYFUNCTION("IFERROR(
$S40/
VLOOKUP(
IF(
 REGEXMATCH($P40,""(?i)agachamento""),""Agachamento"",
 IF(
  REGEXMATCH($P40,""(?i)supino""),""Supino"",
  IF(
   REGEXMATCH($P40,""(?i)terra""),""Terra"",
   IF(
    REGEXMATCH($P40,""(?i)desenvolvimento""),""Desenvolvimento"&amp;""",
    IF(
     REGEXMATCH($P40,""(?i)remada""),""Remada"",
     IF(REGEXMATCH($P40,""(?i)arranco""),""Arranco"",IF(REGEXMATCH($P40,""(?i)arremesso""),""Arremesso"",""""))
    )
   )
  )
 )
),
prs!$A$6:$D$12,
4,
FALSE
)
,"""")"),"")</f>
        <v/>
      </c>
      <c r="U40" s="46"/>
      <c r="V40" s="41"/>
      <c r="W40" s="42"/>
      <c r="X40" s="50"/>
      <c r="Y40" s="50"/>
      <c r="Z40" s="51"/>
      <c r="AA40" s="46" t="str">
        <f>IFERROR(__xludf.DUMMYFUNCTION("IFERROR(
$Z40/
VLOOKUP(
IF(
 REGEXMATCH($W40,""(?i)agachamento""),""Agachamento"",
 IF(
  REGEXMATCH($W40,""(?i)supino""),""Supino"",
  IF(
   REGEXMATCH($W40,""(?i)terra""),""Terra"",
   IF(
    REGEXMATCH($W40,""(?i)desenvolvimento""),""Desenvolvimento"&amp;""",
    IF(
     REGEXMATCH($W40,""(?i)remada""),""Remada"",
     IF(REGEXMATCH($W40,""(?i)arranco""),""Arranco"",IF(REGEXMATCH($W40,""(?i)arremesso""),""Arremesso"",""""))
    )
   )
  )
 )
),
prs!$A$6:$D$12,
4,
FALSE
)
,"""")"),"")</f>
        <v/>
      </c>
      <c r="AB40" s="46"/>
      <c r="AC40" s="41"/>
    </row>
    <row r="41" ht="15.75" customHeight="1">
      <c r="A41" s="41"/>
      <c r="B41" s="42"/>
      <c r="C41" s="50"/>
      <c r="D41" s="50"/>
      <c r="E41" s="51"/>
      <c r="F41" s="46" t="str">
        <f>IFERROR(__xludf.DUMMYFUNCTION("IFERROR(
$E41/
VLOOKUP(
IF(
 REGEXMATCH($B41,""(?i)agachamento""),""Agachamento"",
 IF(
  REGEXMATCH($B41,""(?i)supino""),""Supino"",
  IF(
   REGEXMATCH($B41,""(?i)terra""),""Terra"",
   IF(
    REGEXMATCH($B41,""(?i)desenvolvimento""),""Desenvolvimento"&amp;""",
    IF(
     REGEXMATCH($B41,""(?i)remada""),""Remada"",
     IF(REGEXMATCH($B41,""(?i)arranco""),""Arranco"",IF(REGEXMATCH($B41,""(?i)arremesso""),""Arremesso"",""""))
    )
   )
  )
 )
),
prs!$A$6:$D$12,
4,
FALSE
)
,"""")"),"")</f>
        <v/>
      </c>
      <c r="G41" s="46"/>
      <c r="H41" s="29"/>
      <c r="I41" s="42"/>
      <c r="J41" s="50"/>
      <c r="K41" s="50"/>
      <c r="L41" s="51"/>
      <c r="M41" s="46" t="str">
        <f>IFERROR(__xludf.DUMMYFUNCTION("IFERROR(
$L41/
VLOOKUP(
IF(
 REGEXMATCH($I41,""(?i)agachamento""),""Agachamento"",
 IF(
  REGEXMATCH($I41,""(?i)supino""),""Supino"",
  IF(
   REGEXMATCH($I41,""(?i)terra""),""Terra"",
   IF(
    REGEXMATCH($I41,""(?i)desenvolvimento""),""Desenvolvimento"&amp;""",
    IF(
     REGEXMATCH($I41,""(?i)remada""),""Remada"",
     IF(REGEXMATCH($I41,""(?i)arranco""),""Arranco"",IF(REGEXMATCH($I41,""(?i)arremesso""),""Arremesso"",""""))
    )
   )
  )
 )
),
prs!$A$6:$D$12,
4,
FALSE
)
,"""")"),"")</f>
        <v/>
      </c>
      <c r="N41" s="46"/>
      <c r="O41" s="41"/>
      <c r="P41" s="42"/>
      <c r="Q41" s="50"/>
      <c r="R41" s="50"/>
      <c r="S41" s="51"/>
      <c r="T41" s="46" t="str">
        <f>IFERROR(__xludf.DUMMYFUNCTION("IFERROR(
$S41/
VLOOKUP(
IF(
 REGEXMATCH($P41,""(?i)agachamento""),""Agachamento"",
 IF(
  REGEXMATCH($P41,""(?i)supino""),""Supino"",
  IF(
   REGEXMATCH($P41,""(?i)terra""),""Terra"",
   IF(
    REGEXMATCH($P41,""(?i)desenvolvimento""),""Desenvolvimento"&amp;""",
    IF(
     REGEXMATCH($P41,""(?i)remada""),""Remada"",
     IF(REGEXMATCH($P41,""(?i)arranco""),""Arranco"",IF(REGEXMATCH($P41,""(?i)arremesso""),""Arremesso"",""""))
    )
   )
  )
 )
),
prs!$A$6:$D$12,
4,
FALSE
)
,"""")"),"")</f>
        <v/>
      </c>
      <c r="U41" s="46"/>
      <c r="V41" s="41"/>
      <c r="W41" s="42"/>
      <c r="X41" s="50"/>
      <c r="Y41" s="50"/>
      <c r="Z41" s="51"/>
      <c r="AA41" s="46" t="str">
        <f>IFERROR(__xludf.DUMMYFUNCTION("IFERROR(
$Z41/
VLOOKUP(
IF(
 REGEXMATCH($W41,""(?i)agachamento""),""Agachamento"",
 IF(
  REGEXMATCH($W41,""(?i)supino""),""Supino"",
  IF(
   REGEXMATCH($W41,""(?i)terra""),""Terra"",
   IF(
    REGEXMATCH($W41,""(?i)desenvolvimento""),""Desenvolvimento"&amp;""",
    IF(
     REGEXMATCH($W41,""(?i)remada""),""Remada"",
     IF(REGEXMATCH($W41,""(?i)arranco""),""Arranco"",IF(REGEXMATCH($W41,""(?i)arremesso""),""Arremesso"",""""))
    )
   )
  )
 )
),
prs!$A$6:$D$12,
4,
FALSE
)
,"""")"),"")</f>
        <v/>
      </c>
      <c r="AB41" s="46"/>
      <c r="AC41" s="41"/>
    </row>
    <row r="42" ht="15.75" customHeight="1">
      <c r="A42" s="41"/>
      <c r="B42" s="42"/>
      <c r="C42" s="50"/>
      <c r="D42" s="50"/>
      <c r="E42" s="51"/>
      <c r="F42" s="46" t="str">
        <f>IFERROR(__xludf.DUMMYFUNCTION("IFERROR(
$E42/
VLOOKUP(
IF(
 REGEXMATCH($B42,""(?i)agachamento""),""Agachamento"",
 IF(
  REGEXMATCH($B42,""(?i)supino""),""Supino"",
  IF(
   REGEXMATCH($B42,""(?i)terra""),""Terra"",
   IF(
    REGEXMATCH($B42,""(?i)desenvolvimento""),""Desenvolvimento"&amp;""",
    IF(
     REGEXMATCH($B42,""(?i)remada""),""Remada"",
     IF(REGEXMATCH($B42,""(?i)arranco""),""Arranco"",IF(REGEXMATCH($B42,""(?i)arremesso""),""Arremesso"",""""))
    )
   )
  )
 )
),
prs!$A$6:$D$12,
4,
FALSE
)
,"""")"),"")</f>
        <v/>
      </c>
      <c r="G42" s="46"/>
      <c r="H42" s="29"/>
      <c r="I42" s="42"/>
      <c r="J42" s="50"/>
      <c r="K42" s="50"/>
      <c r="L42" s="51"/>
      <c r="M42" s="46" t="str">
        <f>IFERROR(__xludf.DUMMYFUNCTION("IFERROR(
$L42/
VLOOKUP(
IF(
 REGEXMATCH($I42,""(?i)agachamento""),""Agachamento"",
 IF(
  REGEXMATCH($I42,""(?i)supino""),""Supino"",
  IF(
   REGEXMATCH($I42,""(?i)terra""),""Terra"",
   IF(
    REGEXMATCH($I42,""(?i)desenvolvimento""),""Desenvolvimento"&amp;""",
    IF(
     REGEXMATCH($I42,""(?i)remada""),""Remada"",
     IF(REGEXMATCH($I42,""(?i)arranco""),""Arranco"",IF(REGEXMATCH($I42,""(?i)arremesso""),""Arremesso"",""""))
    )
   )
  )
 )
),
prs!$A$6:$D$12,
4,
FALSE
)
,"""")"),"")</f>
        <v/>
      </c>
      <c r="N42" s="46"/>
      <c r="O42" s="41"/>
      <c r="P42" s="42"/>
      <c r="Q42" s="50"/>
      <c r="R42" s="50"/>
      <c r="S42" s="51"/>
      <c r="T42" s="46" t="str">
        <f>IFERROR(__xludf.DUMMYFUNCTION("IFERROR(
$S42/
VLOOKUP(
IF(
 REGEXMATCH($P42,""(?i)agachamento""),""Agachamento"",
 IF(
  REGEXMATCH($P42,""(?i)supino""),""Supino"",
  IF(
   REGEXMATCH($P42,""(?i)terra""),""Terra"",
   IF(
    REGEXMATCH($P42,""(?i)desenvolvimento""),""Desenvolvimento"&amp;""",
    IF(
     REGEXMATCH($P42,""(?i)remada""),""Remada"",
     IF(REGEXMATCH($P42,""(?i)arranco""),""Arranco"",IF(REGEXMATCH($P42,""(?i)arremesso""),""Arremesso"",""""))
    )
   )
  )
 )
),
prs!$A$6:$D$12,
4,
FALSE
)
,"""")"),"")</f>
        <v/>
      </c>
      <c r="U42" s="46"/>
      <c r="V42" s="41"/>
      <c r="W42" s="42"/>
      <c r="X42" s="50"/>
      <c r="Y42" s="50"/>
      <c r="Z42" s="51"/>
      <c r="AA42" s="46" t="str">
        <f>IFERROR(__xludf.DUMMYFUNCTION("IFERROR(
$Z42/
VLOOKUP(
IF(
 REGEXMATCH($W42,""(?i)agachamento""),""Agachamento"",
 IF(
  REGEXMATCH($W42,""(?i)supino""),""Supino"",
  IF(
   REGEXMATCH($W42,""(?i)terra""),""Terra"",
   IF(
    REGEXMATCH($W42,""(?i)desenvolvimento""),""Desenvolvimento"&amp;""",
    IF(
     REGEXMATCH($W42,""(?i)remada""),""Remada"",
     IF(REGEXMATCH($W42,""(?i)arranco""),""Arranco"",IF(REGEXMATCH($W42,""(?i)arremesso""),""Arremesso"",""""))
    )
   )
  )
 )
),
prs!$A$6:$D$12,
4,
FALSE
)
,"""")"),"")</f>
        <v/>
      </c>
      <c r="AB42" s="46"/>
      <c r="AC42" s="41"/>
    </row>
    <row r="43" ht="15.75" customHeight="1">
      <c r="A43" s="41"/>
      <c r="B43" s="42"/>
      <c r="C43" s="50"/>
      <c r="D43" s="50"/>
      <c r="E43" s="51"/>
      <c r="F43" s="46" t="str">
        <f>IFERROR(__xludf.DUMMYFUNCTION("IFERROR(
$E43/
VLOOKUP(
IF(
 REGEXMATCH($B43,""(?i)agachamento""),""Agachamento"",
 IF(
  REGEXMATCH($B43,""(?i)supino""),""Supino"",
  IF(
   REGEXMATCH($B43,""(?i)terra""),""Terra"",
   IF(
    REGEXMATCH($B43,""(?i)desenvolvimento""),""Desenvolvimento"&amp;""",
    IF(
     REGEXMATCH($B43,""(?i)remada""),""Remada"",
     IF(REGEXMATCH($B43,""(?i)arranco""),""Arranco"",IF(REGEXMATCH($B43,""(?i)arremesso""),""Arremesso"",""""))
    )
   )
  )
 )
),
prs!$A$6:$D$12,
4,
FALSE
)
,"""")"),"")</f>
        <v/>
      </c>
      <c r="G43" s="46"/>
      <c r="H43" s="29"/>
      <c r="I43" s="42"/>
      <c r="J43" s="50"/>
      <c r="K43" s="50"/>
      <c r="L43" s="51"/>
      <c r="M43" s="46" t="str">
        <f>IFERROR(__xludf.DUMMYFUNCTION("IFERROR(
$L43/
VLOOKUP(
IF(
 REGEXMATCH($I43,""(?i)agachamento""),""Agachamento"",
 IF(
  REGEXMATCH($I43,""(?i)supino""),""Supino"",
  IF(
   REGEXMATCH($I43,""(?i)terra""),""Terra"",
   IF(
    REGEXMATCH($I43,""(?i)desenvolvimento""),""Desenvolvimento"&amp;""",
    IF(
     REGEXMATCH($I43,""(?i)remada""),""Remada"",
     IF(REGEXMATCH($I43,""(?i)arranco""),""Arranco"",IF(REGEXMATCH($I43,""(?i)arremesso""),""Arremesso"",""""))
    )
   )
  )
 )
),
prs!$A$6:$D$12,
4,
FALSE
)
,"""")"),"")</f>
        <v/>
      </c>
      <c r="N43" s="46"/>
      <c r="O43" s="41"/>
      <c r="P43" s="42"/>
      <c r="Q43" s="50"/>
      <c r="R43" s="50"/>
      <c r="S43" s="51"/>
      <c r="T43" s="46" t="str">
        <f>IFERROR(__xludf.DUMMYFUNCTION("IFERROR(
$S43/
VLOOKUP(
IF(
 REGEXMATCH($P43,""(?i)agachamento""),""Agachamento"",
 IF(
  REGEXMATCH($P43,""(?i)supino""),""Supino"",
  IF(
   REGEXMATCH($P43,""(?i)terra""),""Terra"",
   IF(
    REGEXMATCH($P43,""(?i)desenvolvimento""),""Desenvolvimento"&amp;""",
    IF(
     REGEXMATCH($P43,""(?i)remada""),""Remada"",
     IF(REGEXMATCH($P43,""(?i)arranco""),""Arranco"",IF(REGEXMATCH($P43,""(?i)arremesso""),""Arremesso"",""""))
    )
   )
  )
 )
),
prs!$A$6:$D$12,
4,
FALSE
)
,"""")"),"")</f>
        <v/>
      </c>
      <c r="U43" s="46"/>
      <c r="V43" s="41"/>
      <c r="W43" s="42"/>
      <c r="X43" s="50"/>
      <c r="Y43" s="50"/>
      <c r="Z43" s="51"/>
      <c r="AA43" s="46" t="str">
        <f>IFERROR(__xludf.DUMMYFUNCTION("IFERROR(
$Z43/
VLOOKUP(
IF(
 REGEXMATCH($W43,""(?i)agachamento""),""Agachamento"",
 IF(
  REGEXMATCH($W43,""(?i)supino""),""Supino"",
  IF(
   REGEXMATCH($W43,""(?i)terra""),""Terra"",
   IF(
    REGEXMATCH($W43,""(?i)desenvolvimento""),""Desenvolvimento"&amp;""",
    IF(
     REGEXMATCH($W43,""(?i)remada""),""Remada"",
     IF(REGEXMATCH($W43,""(?i)arranco""),""Arranco"",IF(REGEXMATCH($W43,""(?i)arremesso""),""Arremesso"",""""))
    )
   )
  )
 )
),
prs!$A$6:$D$12,
4,
FALSE
)
,"""")"),"")</f>
        <v/>
      </c>
      <c r="AB43" s="46"/>
      <c r="AC43" s="41"/>
    </row>
    <row r="44" ht="15.75" customHeight="1">
      <c r="A44" s="41"/>
      <c r="B44" s="42"/>
      <c r="C44" s="50"/>
      <c r="D44" s="50"/>
      <c r="E44" s="51"/>
      <c r="F44" s="46" t="str">
        <f>IFERROR(__xludf.DUMMYFUNCTION("IFERROR(
$E44/
VLOOKUP(
IF(
 REGEXMATCH($B44,""(?i)agachamento""),""Agachamento"",
 IF(
  REGEXMATCH($B44,""(?i)supino""),""Supino"",
  IF(
   REGEXMATCH($B44,""(?i)terra""),""Terra"",
   IF(
    REGEXMATCH($B44,""(?i)desenvolvimento""),""Desenvolvimento"&amp;""",
    IF(
     REGEXMATCH($B44,""(?i)remada""),""Remada"",
     IF(REGEXMATCH($B44,""(?i)arranco""),""Arranco"",IF(REGEXMATCH($B44,""(?i)arremesso""),""Arremesso"",""""))
    )
   )
  )
 )
),
prs!$A$6:$D$12,
4,
FALSE
)
,"""")"),"")</f>
        <v/>
      </c>
      <c r="G44" s="46"/>
      <c r="H44" s="29"/>
      <c r="I44" s="42"/>
      <c r="J44" s="50"/>
      <c r="K44" s="50"/>
      <c r="L44" s="51"/>
      <c r="M44" s="46" t="str">
        <f>IFERROR(__xludf.DUMMYFUNCTION("IFERROR(
$L44/
VLOOKUP(
IF(
 REGEXMATCH($I44,""(?i)agachamento""),""Agachamento"",
 IF(
  REGEXMATCH($I44,""(?i)supino""),""Supino"",
  IF(
   REGEXMATCH($I44,""(?i)terra""),""Terra"",
   IF(
    REGEXMATCH($I44,""(?i)desenvolvimento""),""Desenvolvimento"&amp;""",
    IF(
     REGEXMATCH($I44,""(?i)remada""),""Remada"",
     IF(REGEXMATCH($I44,""(?i)arranco""),""Arranco"",IF(REGEXMATCH($I44,""(?i)arremesso""),""Arremesso"",""""))
    )
   )
  )
 )
),
prs!$A$6:$D$12,
4,
FALSE
)
,"""")"),"")</f>
        <v/>
      </c>
      <c r="N44" s="46"/>
      <c r="O44" s="41"/>
      <c r="P44" s="42"/>
      <c r="Q44" s="50"/>
      <c r="R44" s="50"/>
      <c r="S44" s="51"/>
      <c r="T44" s="46" t="str">
        <f>IFERROR(__xludf.DUMMYFUNCTION("IFERROR(
$S44/
VLOOKUP(
IF(
 REGEXMATCH($P44,""(?i)agachamento""),""Agachamento"",
 IF(
  REGEXMATCH($P44,""(?i)supino""),""Supino"",
  IF(
   REGEXMATCH($P44,""(?i)terra""),""Terra"",
   IF(
    REGEXMATCH($P44,""(?i)desenvolvimento""),""Desenvolvimento"&amp;""",
    IF(
     REGEXMATCH($P44,""(?i)remada""),""Remada"",
     IF(REGEXMATCH($P44,""(?i)arranco""),""Arranco"",IF(REGEXMATCH($P44,""(?i)arremesso""),""Arremesso"",""""))
    )
   )
  )
 )
),
prs!$A$6:$D$12,
4,
FALSE
)
,"""")"),"")</f>
        <v/>
      </c>
      <c r="U44" s="46"/>
      <c r="V44" s="41"/>
      <c r="W44" s="42"/>
      <c r="X44" s="50"/>
      <c r="Y44" s="50"/>
      <c r="Z44" s="51"/>
      <c r="AA44" s="46" t="str">
        <f>IFERROR(__xludf.DUMMYFUNCTION("IFERROR(
$Z44/
VLOOKUP(
IF(
 REGEXMATCH($W44,""(?i)agachamento""),""Agachamento"",
 IF(
  REGEXMATCH($W44,""(?i)supino""),""Supino"",
  IF(
   REGEXMATCH($W44,""(?i)terra""),""Terra"",
   IF(
    REGEXMATCH($W44,""(?i)desenvolvimento""),""Desenvolvimento"&amp;""",
    IF(
     REGEXMATCH($W44,""(?i)remada""),""Remada"",
     IF(REGEXMATCH($W44,""(?i)arranco""),""Arranco"",IF(REGEXMATCH($W44,""(?i)arremesso""),""Arremesso"",""""))
    )
   )
  )
 )
),
prs!$A$6:$D$12,
4,
FALSE
)
,"""")"),"")</f>
        <v/>
      </c>
      <c r="AB44" s="46"/>
      <c r="AC44" s="41"/>
    </row>
    <row r="45" ht="15.75" customHeight="1">
      <c r="A45" s="41"/>
      <c r="B45" s="42"/>
      <c r="C45" s="50"/>
      <c r="D45" s="50"/>
      <c r="E45" s="51"/>
      <c r="F45" s="46" t="str">
        <f>IFERROR(__xludf.DUMMYFUNCTION("IFERROR(
$E45/
VLOOKUP(
IF(
 REGEXMATCH($B45,""(?i)agachamento""),""Agachamento"",
 IF(
  REGEXMATCH($B45,""(?i)supino""),""Supino"",
  IF(
   REGEXMATCH($B45,""(?i)terra""),""Terra"",
   IF(
    REGEXMATCH($B45,""(?i)desenvolvimento""),""Desenvolvimento"&amp;""",
    IF(
     REGEXMATCH($B45,""(?i)remada""),""Remada"",
     IF(REGEXMATCH($B45,""(?i)arranco""),""Arranco"",IF(REGEXMATCH($B45,""(?i)arremesso""),""Arremesso"",""""))
    )
   )
  )
 )
),
prs!$A$6:$D$12,
4,
FALSE
)
,"""")"),"")</f>
        <v/>
      </c>
      <c r="G45" s="46"/>
      <c r="H45" s="29"/>
      <c r="I45" s="42"/>
      <c r="J45" s="50"/>
      <c r="K45" s="50"/>
      <c r="L45" s="51"/>
      <c r="M45" s="46" t="str">
        <f>IFERROR(__xludf.DUMMYFUNCTION("IFERROR(
$L45/
VLOOKUP(
IF(
 REGEXMATCH($I45,""(?i)agachamento""),""Agachamento"",
 IF(
  REGEXMATCH($I45,""(?i)supino""),""Supino"",
  IF(
   REGEXMATCH($I45,""(?i)terra""),""Terra"",
   IF(
    REGEXMATCH($I45,""(?i)desenvolvimento""),""Desenvolvimento"&amp;""",
    IF(
     REGEXMATCH($I45,""(?i)remada""),""Remada"",
     IF(REGEXMATCH($I45,""(?i)arranco""),""Arranco"",IF(REGEXMATCH($I45,""(?i)arremesso""),""Arremesso"",""""))
    )
   )
  )
 )
),
prs!$A$6:$D$12,
4,
FALSE
)
,"""")"),"")</f>
        <v/>
      </c>
      <c r="N45" s="46"/>
      <c r="O45" s="41"/>
      <c r="P45" s="42"/>
      <c r="Q45" s="50"/>
      <c r="R45" s="50"/>
      <c r="S45" s="51"/>
      <c r="T45" s="46" t="str">
        <f>IFERROR(__xludf.DUMMYFUNCTION("IFERROR(
$S45/
VLOOKUP(
IF(
 REGEXMATCH($P45,""(?i)agachamento""),""Agachamento"",
 IF(
  REGEXMATCH($P45,""(?i)supino""),""Supino"",
  IF(
   REGEXMATCH($P45,""(?i)terra""),""Terra"",
   IF(
    REGEXMATCH($P45,""(?i)desenvolvimento""),""Desenvolvimento"&amp;""",
    IF(
     REGEXMATCH($P45,""(?i)remada""),""Remada"",
     IF(REGEXMATCH($P45,""(?i)arranco""),""Arranco"",IF(REGEXMATCH($P45,""(?i)arremesso""),""Arremesso"",""""))
    )
   )
  )
 )
),
prs!$A$6:$D$12,
4,
FALSE
)
,"""")"),"")</f>
        <v/>
      </c>
      <c r="U45" s="46"/>
      <c r="V45" s="41"/>
      <c r="W45" s="42"/>
      <c r="X45" s="50"/>
      <c r="Y45" s="50"/>
      <c r="Z45" s="51"/>
      <c r="AA45" s="46" t="str">
        <f>IFERROR(__xludf.DUMMYFUNCTION("IFERROR(
$Z45/
VLOOKUP(
IF(
 REGEXMATCH($W45,""(?i)agachamento""),""Agachamento"",
 IF(
  REGEXMATCH($W45,""(?i)supino""),""Supino"",
  IF(
   REGEXMATCH($W45,""(?i)terra""),""Terra"",
   IF(
    REGEXMATCH($W45,""(?i)desenvolvimento""),""Desenvolvimento"&amp;""",
    IF(
     REGEXMATCH($W45,""(?i)remada""),""Remada"",
     IF(REGEXMATCH($W45,""(?i)arranco""),""Arranco"",IF(REGEXMATCH($W45,""(?i)arremesso""),""Arremesso"",""""))
    )
   )
  )
 )
),
prs!$A$6:$D$12,
4,
FALSE
)
,"""")"),"")</f>
        <v/>
      </c>
      <c r="AB45" s="46"/>
      <c r="AC45" s="41"/>
    </row>
    <row r="46" ht="15.75" customHeight="1">
      <c r="A46" s="31"/>
      <c r="B46" s="52"/>
      <c r="C46" s="32" t="s">
        <v>20</v>
      </c>
      <c r="H46" s="29"/>
      <c r="I46" s="52"/>
      <c r="J46" s="32" t="s">
        <v>23</v>
      </c>
      <c r="O46" s="29"/>
      <c r="P46" s="52"/>
      <c r="Q46" s="32" t="s">
        <v>24</v>
      </c>
      <c r="V46" s="29"/>
      <c r="W46" s="52"/>
      <c r="X46" s="32" t="s">
        <v>25</v>
      </c>
      <c r="AC46" s="29"/>
    </row>
    <row r="47" ht="15.75" customHeight="1">
      <c r="A47" s="47"/>
      <c r="B47" s="47"/>
      <c r="C47" s="47"/>
      <c r="D47" s="47"/>
      <c r="H47" s="47"/>
      <c r="I47" s="47"/>
      <c r="J47" s="47"/>
      <c r="K47" s="47"/>
      <c r="O47" s="47"/>
      <c r="P47" s="47"/>
      <c r="Q47" s="47"/>
      <c r="R47" s="47"/>
      <c r="V47" s="47"/>
      <c r="W47" s="47"/>
      <c r="X47" s="47"/>
      <c r="Y47" s="47"/>
      <c r="AC47" s="47"/>
    </row>
    <row r="48" ht="15.75" customHeight="1">
      <c r="A48" s="2" t="s">
        <v>27</v>
      </c>
      <c r="B48" s="20"/>
      <c r="C48" s="32"/>
      <c r="H48" s="29"/>
      <c r="I48" s="20"/>
      <c r="J48" s="32"/>
      <c r="O48" s="29"/>
      <c r="P48" s="20"/>
      <c r="Q48" s="32"/>
      <c r="V48" s="29"/>
      <c r="W48" s="20"/>
      <c r="X48" s="32"/>
      <c r="AC48" s="47"/>
    </row>
    <row r="49" ht="15.75" customHeight="1">
      <c r="A49" s="2"/>
      <c r="B49" s="52"/>
      <c r="C49" s="5" t="s">
        <v>13</v>
      </c>
      <c r="D49" s="5" t="s">
        <v>16</v>
      </c>
      <c r="E49" s="5" t="s">
        <v>15</v>
      </c>
      <c r="F49" s="5" t="s">
        <v>17</v>
      </c>
      <c r="G49" s="5" t="s">
        <v>11</v>
      </c>
      <c r="H49" s="29"/>
      <c r="I49" s="52"/>
      <c r="J49" s="5" t="s">
        <v>13</v>
      </c>
      <c r="K49" s="5" t="s">
        <v>16</v>
      </c>
      <c r="L49" s="5" t="s">
        <v>15</v>
      </c>
      <c r="M49" s="5" t="s">
        <v>17</v>
      </c>
      <c r="N49" s="5" t="s">
        <v>11</v>
      </c>
      <c r="O49" s="29"/>
      <c r="P49" s="52"/>
      <c r="Q49" s="5" t="s">
        <v>13</v>
      </c>
      <c r="R49" s="5" t="s">
        <v>16</v>
      </c>
      <c r="S49" s="5" t="s">
        <v>15</v>
      </c>
      <c r="T49" s="5" t="s">
        <v>17</v>
      </c>
      <c r="U49" s="5" t="s">
        <v>11</v>
      </c>
      <c r="V49" s="29"/>
      <c r="W49" s="52"/>
      <c r="X49" s="5" t="s">
        <v>13</v>
      </c>
      <c r="Y49" s="5" t="s">
        <v>16</v>
      </c>
      <c r="Z49" s="5" t="s">
        <v>15</v>
      </c>
      <c r="AA49" s="5" t="s">
        <v>17</v>
      </c>
      <c r="AB49" s="5" t="s">
        <v>11</v>
      </c>
      <c r="AC49" s="47"/>
    </row>
    <row r="50" ht="15.75" customHeight="1">
      <c r="A50" s="2"/>
      <c r="B50" s="2" t="s">
        <v>18</v>
      </c>
      <c r="C50" s="38"/>
      <c r="D50" s="5"/>
      <c r="E50" s="5"/>
      <c r="F50" s="5" t="s">
        <v>19</v>
      </c>
      <c r="G50" s="5"/>
      <c r="H50" s="29"/>
      <c r="I50" s="2" t="s">
        <v>18</v>
      </c>
      <c r="J50" s="38"/>
      <c r="K50" s="5"/>
      <c r="L50" s="5"/>
      <c r="M50" s="5" t="s">
        <v>19</v>
      </c>
      <c r="N50" s="5"/>
      <c r="O50" s="29"/>
      <c r="P50" s="2" t="s">
        <v>18</v>
      </c>
      <c r="Q50" s="38"/>
      <c r="R50" s="5"/>
      <c r="S50" s="5"/>
      <c r="T50" s="5" t="s">
        <v>19</v>
      </c>
      <c r="U50" s="5"/>
      <c r="V50" s="29"/>
      <c r="W50" s="2" t="s">
        <v>18</v>
      </c>
      <c r="X50" s="38"/>
      <c r="Y50" s="5"/>
      <c r="Z50" s="5"/>
      <c r="AA50" s="5" t="s">
        <v>19</v>
      </c>
      <c r="AB50" s="5"/>
      <c r="AC50" s="47"/>
    </row>
    <row r="51" ht="15.75" customHeight="1">
      <c r="A51" s="49"/>
      <c r="B51" s="53"/>
      <c r="C51" s="43"/>
      <c r="D51" s="43"/>
      <c r="E51" s="44"/>
      <c r="F51" s="46" t="str">
        <f>IFERROR(__xludf.DUMMYFUNCTION("IFERROR(
$E51/
VLOOKUP(
IF(
 REGEXMATCH($B51,""(?i)agachamento""),""Agachamento"",
 IF(
  REGEXMATCH($B51,""(?i)supino""),""Supino"",
  IF(
   REGEXMATCH($B51,""(?i)terra""),""Terra"",
   IF(
    REGEXMATCH($B51,""(?i)desenvolvimento""),""Desenvolvimento"&amp;""",
    IF(
     REGEXMATCH($B51,""(?i)remada""),""Remada"",
     IF(REGEXMATCH($B51,""(?i)arranco""),""Arranco"",IF(REGEXMATCH($B51,""(?i)arremesso""),""Arremesso"",""""))
    )
   )
  )
 )
),
prs!$A$6:$D$12,
4,
FALSE
)
,"""")"),"")</f>
        <v/>
      </c>
      <c r="G51" s="46"/>
      <c r="H51" s="47"/>
      <c r="I51" s="53"/>
      <c r="J51" s="43"/>
      <c r="K51" s="43"/>
      <c r="L51" s="44"/>
      <c r="M51" s="46" t="str">
        <f>IFERROR(__xludf.DUMMYFUNCTION("IFERROR(
$L51/
VLOOKUP(
IF(
 REGEXMATCH($I51,""(?i)agachamento""),""Agachamento"",
 IF(
  REGEXMATCH($I51,""(?i)supino""),""Supino"",
  IF(
   REGEXMATCH($I51,""(?i)terra""),""Terra"",
   IF(
    REGEXMATCH($I51,""(?i)desenvolvimento""),""Desenvolvimento"&amp;""",
    IF(
     REGEXMATCH($I51,""(?i)remada""),""Remada"",
     IF(REGEXMATCH($I51,""(?i)arranco""),""Arranco"",IF(REGEXMATCH($I51,""(?i)arremesso""),""Arremesso"",""""))
    )
   )
  )
 )
),
prs!$A$6:$D$12,
4,
FALSE
)
,"""")"),"")</f>
        <v/>
      </c>
      <c r="N51" s="46"/>
      <c r="O51" s="49"/>
      <c r="P51" s="53"/>
      <c r="Q51" s="43"/>
      <c r="R51" s="43"/>
      <c r="S51" s="44"/>
      <c r="T51" s="46" t="str">
        <f>IFERROR(__xludf.DUMMYFUNCTION("IFERROR(
$S51/
VLOOKUP(
IF(
 REGEXMATCH($P51,""(?i)agachamento""),""Agachamento"",
 IF(
  REGEXMATCH($P51,""(?i)supino""),""Supino"",
  IF(
   REGEXMATCH($P51,""(?i)terra""),""Terra"",
   IF(
    REGEXMATCH($P51,""(?i)desenvolvimento""),""Desenvolvimento"&amp;""",
    IF(
     REGEXMATCH($P51,""(?i)remada""),""Remada"",
     IF(REGEXMATCH($P51,""(?i)arranco""),""Arranco"",IF(REGEXMATCH($P51,""(?i)arremesso""),""Arremesso"",""""))
    )
   )
  )
 )
),
prs!$A$6:$D$12,
4,
FALSE
)
,"""")"),"")</f>
        <v/>
      </c>
      <c r="U51" s="46"/>
      <c r="V51" s="49"/>
      <c r="W51" s="53"/>
      <c r="X51" s="43"/>
      <c r="Y51" s="43"/>
      <c r="Z51" s="44"/>
      <c r="AA51" s="46" t="str">
        <f>IFERROR(__xludf.DUMMYFUNCTION("IFERROR(
$Z51/
VLOOKUP(
IF(
 REGEXMATCH($W51,""(?i)agachamento""),""Agachamento"",
 IF(
  REGEXMATCH($W51,""(?i)supino""),""Supino"",
  IF(
   REGEXMATCH($W51,""(?i)terra""),""Terra"",
   IF(
    REGEXMATCH($W51,""(?i)desenvolvimento""),""Desenvolvimento"&amp;""",
    IF(
     REGEXMATCH($W51,""(?i)remada""),""Remada"",
     IF(REGEXMATCH($W51,""(?i)arranco""),""Arranco"",IF(REGEXMATCH($W51,""(?i)arremesso""),""Arremesso"",""""))
    )
   )
  )
 )
),
prs!$A$6:$D$12,
4,
FALSE
)
,"""")"),"")</f>
        <v/>
      </c>
      <c r="AB51" s="46"/>
      <c r="AC51" s="49"/>
    </row>
    <row r="52" ht="15.75" customHeight="1">
      <c r="A52" s="49"/>
      <c r="B52" s="53"/>
      <c r="C52" s="43"/>
      <c r="D52" s="43"/>
      <c r="E52" s="44"/>
      <c r="F52" s="46" t="str">
        <f>IFERROR(__xludf.DUMMYFUNCTION("IFERROR(
$E52/
VLOOKUP(
IF(
 REGEXMATCH($B52,""(?i)agachamento""),""Agachamento"",
 IF(
  REGEXMATCH($B52,""(?i)supino""),""Supino"",
  IF(
   REGEXMATCH($B52,""(?i)terra""),""Terra"",
   IF(
    REGEXMATCH($B52,""(?i)desenvolvimento""),""Desenvolvimento"&amp;""",
    IF(
     REGEXMATCH($B52,""(?i)remada""),""Remada"",
     IF(REGEXMATCH($B52,""(?i)arranco""),""Arranco"",IF(REGEXMATCH($B52,""(?i)arremesso""),""Arremesso"",""""))
    )
   )
  )
 )
),
prs!$A$6:$D$12,
4,
FALSE
)
,"""")"),"")</f>
        <v/>
      </c>
      <c r="G52" s="46"/>
      <c r="H52" s="47"/>
      <c r="I52" s="53"/>
      <c r="J52" s="43"/>
      <c r="K52" s="43"/>
      <c r="L52" s="44"/>
      <c r="M52" s="46" t="str">
        <f>IFERROR(__xludf.DUMMYFUNCTION("IFERROR(
$L52/
VLOOKUP(
IF(
 REGEXMATCH($I52,""(?i)agachamento""),""Agachamento"",
 IF(
  REGEXMATCH($I52,""(?i)supino""),""Supino"",
  IF(
   REGEXMATCH($I52,""(?i)terra""),""Terra"",
   IF(
    REGEXMATCH($I52,""(?i)desenvolvimento""),""Desenvolvimento"&amp;""",
    IF(
     REGEXMATCH($I52,""(?i)remada""),""Remada"",
     IF(REGEXMATCH($I52,""(?i)arranco""),""Arranco"",IF(REGEXMATCH($I52,""(?i)arremesso""),""Arremesso"",""""))
    )
   )
  )
 )
),
prs!$A$6:$D$12,
4,
FALSE
)
,"""")"),"")</f>
        <v/>
      </c>
      <c r="N52" s="46"/>
      <c r="O52" s="49"/>
      <c r="P52" s="53"/>
      <c r="Q52" s="43"/>
      <c r="R52" s="43"/>
      <c r="S52" s="44"/>
      <c r="T52" s="46" t="str">
        <f>IFERROR(__xludf.DUMMYFUNCTION("IFERROR(
$S52/
VLOOKUP(
IF(
 REGEXMATCH($P52,""(?i)agachamento""),""Agachamento"",
 IF(
  REGEXMATCH($P52,""(?i)supino""),""Supino"",
  IF(
   REGEXMATCH($P52,""(?i)terra""),""Terra"",
   IF(
    REGEXMATCH($P52,""(?i)desenvolvimento""),""Desenvolvimento"&amp;""",
    IF(
     REGEXMATCH($P52,""(?i)remada""),""Remada"",
     IF(REGEXMATCH($P52,""(?i)arranco""),""Arranco"",IF(REGEXMATCH($P52,""(?i)arremesso""),""Arremesso"",""""))
    )
   )
  )
 )
),
prs!$A$6:$D$12,
4,
FALSE
)
,"""")"),"")</f>
        <v/>
      </c>
      <c r="U52" s="46"/>
      <c r="V52" s="49"/>
      <c r="W52" s="53"/>
      <c r="X52" s="43"/>
      <c r="Y52" s="43"/>
      <c r="Z52" s="44"/>
      <c r="AA52" s="46" t="str">
        <f>IFERROR(__xludf.DUMMYFUNCTION("IFERROR(
$Z52/
VLOOKUP(
IF(
 REGEXMATCH($W52,""(?i)agachamento""),""Agachamento"",
 IF(
  REGEXMATCH($W52,""(?i)supino""),""Supino"",
  IF(
   REGEXMATCH($W52,""(?i)terra""),""Terra"",
   IF(
    REGEXMATCH($W52,""(?i)desenvolvimento""),""Desenvolvimento"&amp;""",
    IF(
     REGEXMATCH($W52,""(?i)remada""),""Remada"",
     IF(REGEXMATCH($W52,""(?i)arranco""),""Arranco"",IF(REGEXMATCH($W52,""(?i)arremesso""),""Arremesso"",""""))
    )
   )
  )
 )
),
prs!$A$6:$D$12,
4,
FALSE
)
,"""")"),"")</f>
        <v/>
      </c>
      <c r="AB52" s="46"/>
      <c r="AC52" s="49"/>
    </row>
    <row r="53" ht="15.75" customHeight="1">
      <c r="A53" s="49"/>
      <c r="B53" s="53"/>
      <c r="C53" s="43"/>
      <c r="D53" s="43"/>
      <c r="E53" s="44"/>
      <c r="F53" s="46" t="str">
        <f>IFERROR(__xludf.DUMMYFUNCTION("IFERROR(
$E53/
VLOOKUP(
IF(
 REGEXMATCH($B53,""(?i)agachamento""),""Agachamento"",
 IF(
  REGEXMATCH($B53,""(?i)supino""),""Supino"",
  IF(
   REGEXMATCH($B53,""(?i)terra""),""Terra"",
   IF(
    REGEXMATCH($B53,""(?i)desenvolvimento""),""Desenvolvimento"&amp;""",
    IF(
     REGEXMATCH($B53,""(?i)remada""),""Remada"",
     IF(REGEXMATCH($B53,""(?i)arranco""),""Arranco"",IF(REGEXMATCH($B53,""(?i)arremesso""),""Arremesso"",""""))
    )
   )
  )
 )
),
prs!$A$6:$D$12,
4,
FALSE
)
,"""")"),"")</f>
        <v/>
      </c>
      <c r="G53" s="46"/>
      <c r="H53" s="47"/>
      <c r="I53" s="53"/>
      <c r="J53" s="43"/>
      <c r="K53" s="43"/>
      <c r="L53" s="44"/>
      <c r="M53" s="46" t="str">
        <f>IFERROR(__xludf.DUMMYFUNCTION("IFERROR(
$L53/
VLOOKUP(
IF(
 REGEXMATCH($I53,""(?i)agachamento""),""Agachamento"",
 IF(
  REGEXMATCH($I53,""(?i)supino""),""Supino"",
  IF(
   REGEXMATCH($I53,""(?i)terra""),""Terra"",
   IF(
    REGEXMATCH($I53,""(?i)desenvolvimento""),""Desenvolvimento"&amp;""",
    IF(
     REGEXMATCH($I53,""(?i)remada""),""Remada"",
     IF(REGEXMATCH($I53,""(?i)arranco""),""Arranco"",IF(REGEXMATCH($I53,""(?i)arremesso""),""Arremesso"",""""))
    )
   )
  )
 )
),
prs!$A$6:$D$12,
4,
FALSE
)
,"""")"),"")</f>
        <v/>
      </c>
      <c r="N53" s="46"/>
      <c r="O53" s="49"/>
      <c r="P53" s="53"/>
      <c r="Q53" s="43"/>
      <c r="R53" s="43"/>
      <c r="S53" s="44"/>
      <c r="T53" s="46" t="str">
        <f>IFERROR(__xludf.DUMMYFUNCTION("IFERROR(
$S53/
VLOOKUP(
IF(
 REGEXMATCH($P53,""(?i)agachamento""),""Agachamento"",
 IF(
  REGEXMATCH($P53,""(?i)supino""),""Supino"",
  IF(
   REGEXMATCH($P53,""(?i)terra""),""Terra"",
   IF(
    REGEXMATCH($P53,""(?i)desenvolvimento""),""Desenvolvimento"&amp;""",
    IF(
     REGEXMATCH($P53,""(?i)remada""),""Remada"",
     IF(REGEXMATCH($P53,""(?i)arranco""),""Arranco"",IF(REGEXMATCH($P53,""(?i)arremesso""),""Arremesso"",""""))
    )
   )
  )
 )
),
prs!$A$6:$D$12,
4,
FALSE
)
,"""")"),"")</f>
        <v/>
      </c>
      <c r="U53" s="46"/>
      <c r="V53" s="49"/>
      <c r="W53" s="53"/>
      <c r="X53" s="43"/>
      <c r="Y53" s="43"/>
      <c r="Z53" s="44"/>
      <c r="AA53" s="46" t="str">
        <f>IFERROR(__xludf.DUMMYFUNCTION("IFERROR(
$Z53/
VLOOKUP(
IF(
 REGEXMATCH($W53,""(?i)agachamento""),""Agachamento"",
 IF(
  REGEXMATCH($W53,""(?i)supino""),""Supino"",
  IF(
   REGEXMATCH($W53,""(?i)terra""),""Terra"",
   IF(
    REGEXMATCH($W53,""(?i)desenvolvimento""),""Desenvolvimento"&amp;""",
    IF(
     REGEXMATCH($W53,""(?i)remada""),""Remada"",
     IF(REGEXMATCH($W53,""(?i)arranco""),""Arranco"",IF(REGEXMATCH($W53,""(?i)arremesso""),""Arremesso"",""""))
    )
   )
  )
 )
),
prs!$A$6:$D$12,
4,
FALSE
)
,"""")"),"")</f>
        <v/>
      </c>
      <c r="AB53" s="46"/>
      <c r="AC53" s="49"/>
    </row>
    <row r="54" ht="15.75" customHeight="1">
      <c r="A54" s="49"/>
      <c r="B54" s="53"/>
      <c r="C54" s="50"/>
      <c r="D54" s="50"/>
      <c r="E54" s="51"/>
      <c r="F54" s="46" t="str">
        <f>IFERROR(__xludf.DUMMYFUNCTION("IFERROR(
$E54/
VLOOKUP(
IF(
 REGEXMATCH($B54,""(?i)agachamento""),""Agachamento"",
 IF(
  REGEXMATCH($B54,""(?i)supino""),""Supino"",
  IF(
   REGEXMATCH($B54,""(?i)terra""),""Terra"",
   IF(
    REGEXMATCH($B54,""(?i)desenvolvimento""),""Desenvolvimento"&amp;""",
    IF(
     REGEXMATCH($B54,""(?i)remada""),""Remada"",
     IF(REGEXMATCH($B54,""(?i)arranco""),""Arranco"",IF(REGEXMATCH($B54,""(?i)arremesso""),""Arremesso"",""""))
    )
   )
  )
 )
),
prs!$A$6:$D$12,
4,
FALSE
)
,"""")"),"")</f>
        <v/>
      </c>
      <c r="G54" s="46"/>
      <c r="H54" s="47"/>
      <c r="I54" s="53"/>
      <c r="J54" s="50"/>
      <c r="K54" s="50"/>
      <c r="L54" s="51"/>
      <c r="M54" s="46" t="str">
        <f>IFERROR(__xludf.DUMMYFUNCTION("IFERROR(
$L54/
VLOOKUP(
IF(
 REGEXMATCH($I54,""(?i)agachamento""),""Agachamento"",
 IF(
  REGEXMATCH($I54,""(?i)supino""),""Supino"",
  IF(
   REGEXMATCH($I54,""(?i)terra""),""Terra"",
   IF(
    REGEXMATCH($I54,""(?i)desenvolvimento""),""Desenvolvimento"&amp;""",
    IF(
     REGEXMATCH($I54,""(?i)remada""),""Remada"",
     IF(REGEXMATCH($I54,""(?i)arranco""),""Arranco"",IF(REGEXMATCH($I54,""(?i)arremesso""),""Arremesso"",""""))
    )
   )
  )
 )
),
prs!$A$6:$D$12,
4,
FALSE
)
,"""")"),"")</f>
        <v/>
      </c>
      <c r="N54" s="46"/>
      <c r="O54" s="49"/>
      <c r="P54" s="53"/>
      <c r="Q54" s="50"/>
      <c r="R54" s="50"/>
      <c r="S54" s="51"/>
      <c r="T54" s="46" t="str">
        <f>IFERROR(__xludf.DUMMYFUNCTION("IFERROR(
$S54/
VLOOKUP(
IF(
 REGEXMATCH($P54,""(?i)agachamento""),""Agachamento"",
 IF(
  REGEXMATCH($P54,""(?i)supino""),""Supino"",
  IF(
   REGEXMATCH($P54,""(?i)terra""),""Terra"",
   IF(
    REGEXMATCH($P54,""(?i)desenvolvimento""),""Desenvolvimento"&amp;""",
    IF(
     REGEXMATCH($P54,""(?i)remada""),""Remada"",
     IF(REGEXMATCH($P54,""(?i)arranco""),""Arranco"",IF(REGEXMATCH($P54,""(?i)arremesso""),""Arremesso"",""""))
    )
   )
  )
 )
),
prs!$A$6:$D$12,
4,
FALSE
)
,"""")"),"")</f>
        <v/>
      </c>
      <c r="U54" s="46"/>
      <c r="V54" s="49"/>
      <c r="W54" s="53"/>
      <c r="X54" s="50"/>
      <c r="Y54" s="50"/>
      <c r="Z54" s="51"/>
      <c r="AA54" s="46" t="str">
        <f>IFERROR(__xludf.DUMMYFUNCTION("IFERROR(
$Z54/
VLOOKUP(
IF(
 REGEXMATCH($W54,""(?i)agachamento""),""Agachamento"",
 IF(
  REGEXMATCH($W54,""(?i)supino""),""Supino"",
  IF(
   REGEXMATCH($W54,""(?i)terra""),""Terra"",
   IF(
    REGEXMATCH($W54,""(?i)desenvolvimento""),""Desenvolvimento"&amp;""",
    IF(
     REGEXMATCH($W54,""(?i)remada""),""Remada"",
     IF(REGEXMATCH($W54,""(?i)arranco""),""Arranco"",IF(REGEXMATCH($W54,""(?i)arremesso""),""Arremesso"",""""))
    )
   )
  )
 )
),
prs!$A$6:$D$12,
4,
FALSE
)
,"""")"),"")</f>
        <v/>
      </c>
      <c r="AB54" s="46"/>
      <c r="AC54" s="49"/>
    </row>
    <row r="55" ht="15.75" customHeight="1">
      <c r="A55" s="49"/>
      <c r="B55" s="53"/>
      <c r="C55" s="50"/>
      <c r="D55" s="50"/>
      <c r="E55" s="51"/>
      <c r="F55" s="46" t="str">
        <f>IFERROR(__xludf.DUMMYFUNCTION("IFERROR(
$E55/
VLOOKUP(
IF(
 REGEXMATCH($B55,""(?i)agachamento""),""Agachamento"",
 IF(
  REGEXMATCH($B55,""(?i)supino""),""Supino"",
  IF(
   REGEXMATCH($B55,""(?i)terra""),""Terra"",
   IF(
    REGEXMATCH($B55,""(?i)desenvolvimento""),""Desenvolvimento"&amp;""",
    IF(
     REGEXMATCH($B55,""(?i)remada""),""Remada"",
     IF(REGEXMATCH($B55,""(?i)arranco""),""Arranco"",IF(REGEXMATCH($B55,""(?i)arremesso""),""Arremesso"",""""))
    )
   )
  )
 )
),
prs!$A$6:$D$12,
4,
FALSE
)
,"""")"),"")</f>
        <v/>
      </c>
      <c r="G55" s="46"/>
      <c r="H55" s="47"/>
      <c r="I55" s="53"/>
      <c r="J55" s="50"/>
      <c r="K55" s="50"/>
      <c r="L55" s="51"/>
      <c r="M55" s="46" t="str">
        <f>IFERROR(__xludf.DUMMYFUNCTION("IFERROR(
$L55/
VLOOKUP(
IF(
 REGEXMATCH($I55,""(?i)agachamento""),""Agachamento"",
 IF(
  REGEXMATCH($I55,""(?i)supino""),""Supino"",
  IF(
   REGEXMATCH($I55,""(?i)terra""),""Terra"",
   IF(
    REGEXMATCH($I55,""(?i)desenvolvimento""),""Desenvolvimento"&amp;""",
    IF(
     REGEXMATCH($I55,""(?i)remada""),""Remada"",
     IF(REGEXMATCH($I55,""(?i)arranco""),""Arranco"",IF(REGEXMATCH($I55,""(?i)arremesso""),""Arremesso"",""""))
    )
   )
  )
 )
),
prs!$A$6:$D$12,
4,
FALSE
)
,"""")"),"")</f>
        <v/>
      </c>
      <c r="N55" s="46"/>
      <c r="O55" s="49"/>
      <c r="P55" s="53"/>
      <c r="Q55" s="50"/>
      <c r="R55" s="50"/>
      <c r="S55" s="51"/>
      <c r="T55" s="46" t="str">
        <f>IFERROR(__xludf.DUMMYFUNCTION("IFERROR(
$S55/
VLOOKUP(
IF(
 REGEXMATCH($P55,""(?i)agachamento""),""Agachamento"",
 IF(
  REGEXMATCH($P55,""(?i)supino""),""Supino"",
  IF(
   REGEXMATCH($P55,""(?i)terra""),""Terra"",
   IF(
    REGEXMATCH($P55,""(?i)desenvolvimento""),""Desenvolvimento"&amp;""",
    IF(
     REGEXMATCH($P55,""(?i)remada""),""Remada"",
     IF(REGEXMATCH($P55,""(?i)arranco""),""Arranco"",IF(REGEXMATCH($P55,""(?i)arremesso""),""Arremesso"",""""))
    )
   )
  )
 )
),
prs!$A$6:$D$12,
4,
FALSE
)
,"""")"),"")</f>
        <v/>
      </c>
      <c r="U55" s="46"/>
      <c r="V55" s="49"/>
      <c r="W55" s="53"/>
      <c r="X55" s="50"/>
      <c r="Y55" s="50"/>
      <c r="Z55" s="51"/>
      <c r="AA55" s="46" t="str">
        <f>IFERROR(__xludf.DUMMYFUNCTION("IFERROR(
$Z55/
VLOOKUP(
IF(
 REGEXMATCH($W55,""(?i)agachamento""),""Agachamento"",
 IF(
  REGEXMATCH($W55,""(?i)supino""),""Supino"",
  IF(
   REGEXMATCH($W55,""(?i)terra""),""Terra"",
   IF(
    REGEXMATCH($W55,""(?i)desenvolvimento""),""Desenvolvimento"&amp;""",
    IF(
     REGEXMATCH($W55,""(?i)remada""),""Remada"",
     IF(REGEXMATCH($W55,""(?i)arranco""),""Arranco"",IF(REGEXMATCH($W55,""(?i)arremesso""),""Arremesso"",""""))
    )
   )
  )
 )
),
prs!$A$6:$D$12,
4,
FALSE
)
,"""")"),"")</f>
        <v/>
      </c>
      <c r="AB55" s="46"/>
      <c r="AC55" s="49"/>
    </row>
    <row r="56" ht="15.75" customHeight="1">
      <c r="A56" s="49"/>
      <c r="B56" s="53"/>
      <c r="C56" s="50"/>
      <c r="D56" s="50"/>
      <c r="E56" s="51"/>
      <c r="F56" s="46" t="str">
        <f>IFERROR(__xludf.DUMMYFUNCTION("IFERROR(
$E56/
VLOOKUP(
IF(
 REGEXMATCH($B56,""(?i)agachamento""),""Agachamento"",
 IF(
  REGEXMATCH($B56,""(?i)supino""),""Supino"",
  IF(
   REGEXMATCH($B56,""(?i)terra""),""Terra"",
   IF(
    REGEXMATCH($B56,""(?i)desenvolvimento""),""Desenvolvimento"&amp;""",
    IF(
     REGEXMATCH($B56,""(?i)remada""),""Remada"",
     IF(REGEXMATCH($B56,""(?i)arranco""),""Arranco"",IF(REGEXMATCH($B56,""(?i)arremesso""),""Arremesso"",""""))
    )
   )
  )
 )
),
prs!$A$6:$D$12,
4,
FALSE
)
,"""")"),"")</f>
        <v/>
      </c>
      <c r="G56" s="46"/>
      <c r="H56" s="47"/>
      <c r="I56" s="53"/>
      <c r="J56" s="50"/>
      <c r="K56" s="50"/>
      <c r="L56" s="51"/>
      <c r="M56" s="46" t="str">
        <f>IFERROR(__xludf.DUMMYFUNCTION("IFERROR(
$L56/
VLOOKUP(
IF(
 REGEXMATCH($I56,""(?i)agachamento""),""Agachamento"",
 IF(
  REGEXMATCH($I56,""(?i)supino""),""Supino"",
  IF(
   REGEXMATCH($I56,""(?i)terra""),""Terra"",
   IF(
    REGEXMATCH($I56,""(?i)desenvolvimento""),""Desenvolvimento"&amp;""",
    IF(
     REGEXMATCH($I56,""(?i)remada""),""Remada"",
     IF(REGEXMATCH($I56,""(?i)arranco""),""Arranco"",IF(REGEXMATCH($I56,""(?i)arremesso""),""Arremesso"",""""))
    )
   )
  )
 )
),
prs!$A$6:$D$12,
4,
FALSE
)
,"""")"),"")</f>
        <v/>
      </c>
      <c r="N56" s="46"/>
      <c r="O56" s="49"/>
      <c r="P56" s="53"/>
      <c r="Q56" s="50"/>
      <c r="R56" s="50"/>
      <c r="S56" s="51"/>
      <c r="T56" s="46" t="str">
        <f>IFERROR(__xludf.DUMMYFUNCTION("IFERROR(
$S56/
VLOOKUP(
IF(
 REGEXMATCH($P56,""(?i)agachamento""),""Agachamento"",
 IF(
  REGEXMATCH($P56,""(?i)supino""),""Supino"",
  IF(
   REGEXMATCH($P56,""(?i)terra""),""Terra"",
   IF(
    REGEXMATCH($P56,""(?i)desenvolvimento""),""Desenvolvimento"&amp;""",
    IF(
     REGEXMATCH($P56,""(?i)remada""),""Remada"",
     IF(REGEXMATCH($P56,""(?i)arranco""),""Arranco"",IF(REGEXMATCH($P56,""(?i)arremesso""),""Arremesso"",""""))
    )
   )
  )
 )
),
prs!$A$6:$D$12,
4,
FALSE
)
,"""")"),"")</f>
        <v/>
      </c>
      <c r="U56" s="46"/>
      <c r="V56" s="49"/>
      <c r="W56" s="53"/>
      <c r="X56" s="50"/>
      <c r="Y56" s="50"/>
      <c r="Z56" s="51"/>
      <c r="AA56" s="46" t="str">
        <f>IFERROR(__xludf.DUMMYFUNCTION("IFERROR(
$Z56/
VLOOKUP(
IF(
 REGEXMATCH($W56,""(?i)agachamento""),""Agachamento"",
 IF(
  REGEXMATCH($W56,""(?i)supino""),""Supino"",
  IF(
   REGEXMATCH($W56,""(?i)terra""),""Terra"",
   IF(
    REGEXMATCH($W56,""(?i)desenvolvimento""),""Desenvolvimento"&amp;""",
    IF(
     REGEXMATCH($W56,""(?i)remada""),""Remada"",
     IF(REGEXMATCH($W56,""(?i)arranco""),""Arranco"",IF(REGEXMATCH($W56,""(?i)arremesso""),""Arremesso"",""""))
    )
   )
  )
 )
),
prs!$A$6:$D$12,
4,
FALSE
)
,"""")"),"")</f>
        <v/>
      </c>
      <c r="AB56" s="46"/>
      <c r="AC56" s="49"/>
    </row>
    <row r="57" ht="15.75" customHeight="1">
      <c r="A57" s="49"/>
      <c r="B57" s="53"/>
      <c r="C57" s="50"/>
      <c r="D57" s="50"/>
      <c r="E57" s="51"/>
      <c r="F57" s="46" t="str">
        <f>IFERROR(__xludf.DUMMYFUNCTION("IFERROR(
$E57/
VLOOKUP(
IF(
 REGEXMATCH($B57,""(?i)agachamento""),""Agachamento"",
 IF(
  REGEXMATCH($B57,""(?i)supino""),""Supino"",
  IF(
   REGEXMATCH($B57,""(?i)terra""),""Terra"",
   IF(
    REGEXMATCH($B57,""(?i)desenvolvimento""),""Desenvolvimento"&amp;""",
    IF(
     REGEXMATCH($B57,""(?i)remada""),""Remada"",
     IF(REGEXMATCH($B57,""(?i)arranco""),""Arranco"",IF(REGEXMATCH($B57,""(?i)arremesso""),""Arremesso"",""""))
    )
   )
  )
 )
),
prs!$A$6:$D$12,
4,
FALSE
)
,"""")"),"")</f>
        <v/>
      </c>
      <c r="G57" s="46"/>
      <c r="H57" s="47"/>
      <c r="I57" s="53"/>
      <c r="J57" s="50"/>
      <c r="K57" s="50"/>
      <c r="L57" s="51"/>
      <c r="M57" s="46" t="str">
        <f>IFERROR(__xludf.DUMMYFUNCTION("IFERROR(
$L57/
VLOOKUP(
IF(
 REGEXMATCH($I57,""(?i)agachamento""),""Agachamento"",
 IF(
  REGEXMATCH($I57,""(?i)supino""),""Supino"",
  IF(
   REGEXMATCH($I57,""(?i)terra""),""Terra"",
   IF(
    REGEXMATCH($I57,""(?i)desenvolvimento""),""Desenvolvimento"&amp;""",
    IF(
     REGEXMATCH($I57,""(?i)remada""),""Remada"",
     IF(REGEXMATCH($I57,""(?i)arranco""),""Arranco"",IF(REGEXMATCH($I57,""(?i)arremesso""),""Arremesso"",""""))
    )
   )
  )
 )
),
prs!$A$6:$D$12,
4,
FALSE
)
,"""")"),"")</f>
        <v/>
      </c>
      <c r="N57" s="46"/>
      <c r="O57" s="49"/>
      <c r="P57" s="53"/>
      <c r="Q57" s="50"/>
      <c r="R57" s="50"/>
      <c r="S57" s="51"/>
      <c r="T57" s="46" t="str">
        <f>IFERROR(__xludf.DUMMYFUNCTION("IFERROR(
$S57/
VLOOKUP(
IF(
 REGEXMATCH($P57,""(?i)agachamento""),""Agachamento"",
 IF(
  REGEXMATCH($P57,""(?i)supino""),""Supino"",
  IF(
   REGEXMATCH($P57,""(?i)terra""),""Terra"",
   IF(
    REGEXMATCH($P57,""(?i)desenvolvimento""),""Desenvolvimento"&amp;""",
    IF(
     REGEXMATCH($P57,""(?i)remada""),""Remada"",
     IF(REGEXMATCH($P57,""(?i)arranco""),""Arranco"",IF(REGEXMATCH($P57,""(?i)arremesso""),""Arremesso"",""""))
    )
   )
  )
 )
),
prs!$A$6:$D$12,
4,
FALSE
)
,"""")"),"")</f>
        <v/>
      </c>
      <c r="U57" s="46"/>
      <c r="V57" s="49"/>
      <c r="W57" s="53"/>
      <c r="X57" s="50"/>
      <c r="Y57" s="50"/>
      <c r="Z57" s="51"/>
      <c r="AA57" s="46" t="str">
        <f>IFERROR(__xludf.DUMMYFUNCTION("IFERROR(
$Z57/
VLOOKUP(
IF(
 REGEXMATCH($W57,""(?i)agachamento""),""Agachamento"",
 IF(
  REGEXMATCH($W57,""(?i)supino""),""Supino"",
  IF(
   REGEXMATCH($W57,""(?i)terra""),""Terra"",
   IF(
    REGEXMATCH($W57,""(?i)desenvolvimento""),""Desenvolvimento"&amp;""",
    IF(
     REGEXMATCH($W57,""(?i)remada""),""Remada"",
     IF(REGEXMATCH($W57,""(?i)arranco""),""Arranco"",IF(REGEXMATCH($W57,""(?i)arremesso""),""Arremesso"",""""))
    )
   )
  )
 )
),
prs!$A$6:$D$12,
4,
FALSE
)
,"""")"),"")</f>
        <v/>
      </c>
      <c r="AB57" s="46"/>
      <c r="AC57" s="49"/>
    </row>
    <row r="58" ht="15.75" customHeight="1">
      <c r="A58" s="49"/>
      <c r="B58" s="53"/>
      <c r="C58" s="50"/>
      <c r="D58" s="50"/>
      <c r="E58" s="51"/>
      <c r="F58" s="46" t="str">
        <f>IFERROR(__xludf.DUMMYFUNCTION("IFERROR(
$E58/
VLOOKUP(
IF(
 REGEXMATCH($B58,""(?i)agachamento""),""Agachamento"",
 IF(
  REGEXMATCH($B58,""(?i)supino""),""Supino"",
  IF(
   REGEXMATCH($B58,""(?i)terra""),""Terra"",
   IF(
    REGEXMATCH($B58,""(?i)desenvolvimento""),""Desenvolvimento"&amp;""",
    IF(
     REGEXMATCH($B58,""(?i)remada""),""Remada"",
     IF(REGEXMATCH($B58,""(?i)arranco""),""Arranco"",IF(REGEXMATCH($B58,""(?i)arremesso""),""Arremesso"",""""))
    )
   )
  )
 )
),
prs!$A$6:$D$12,
4,
FALSE
)
,"""")"),"")</f>
        <v/>
      </c>
      <c r="G58" s="46"/>
      <c r="H58" s="47"/>
      <c r="I58" s="53"/>
      <c r="J58" s="50"/>
      <c r="K58" s="50"/>
      <c r="L58" s="51"/>
      <c r="M58" s="46" t="str">
        <f>IFERROR(__xludf.DUMMYFUNCTION("IFERROR(
$L58/
VLOOKUP(
IF(
 REGEXMATCH($I58,""(?i)agachamento""),""Agachamento"",
 IF(
  REGEXMATCH($I58,""(?i)supino""),""Supino"",
  IF(
   REGEXMATCH($I58,""(?i)terra""),""Terra"",
   IF(
    REGEXMATCH($I58,""(?i)desenvolvimento""),""Desenvolvimento"&amp;""",
    IF(
     REGEXMATCH($I58,""(?i)remada""),""Remada"",
     IF(REGEXMATCH($I58,""(?i)arranco""),""Arranco"",IF(REGEXMATCH($I58,""(?i)arremesso""),""Arremesso"",""""))
    )
   )
  )
 )
),
prs!$A$6:$D$12,
4,
FALSE
)
,"""")"),"")</f>
        <v/>
      </c>
      <c r="N58" s="46"/>
      <c r="O58" s="49"/>
      <c r="P58" s="53"/>
      <c r="Q58" s="50"/>
      <c r="R58" s="50"/>
      <c r="S58" s="51"/>
      <c r="T58" s="46" t="str">
        <f>IFERROR(__xludf.DUMMYFUNCTION("IFERROR(
$S58/
VLOOKUP(
IF(
 REGEXMATCH($P58,""(?i)agachamento""),""Agachamento"",
 IF(
  REGEXMATCH($P58,""(?i)supino""),""Supino"",
  IF(
   REGEXMATCH($P58,""(?i)terra""),""Terra"",
   IF(
    REGEXMATCH($P58,""(?i)desenvolvimento""),""Desenvolvimento"&amp;""",
    IF(
     REGEXMATCH($P58,""(?i)remada""),""Remada"",
     IF(REGEXMATCH($P58,""(?i)arranco""),""Arranco"",IF(REGEXMATCH($P58,""(?i)arremesso""),""Arremesso"",""""))
    )
   )
  )
 )
),
prs!$A$6:$D$12,
4,
FALSE
)
,"""")"),"")</f>
        <v/>
      </c>
      <c r="U58" s="46"/>
      <c r="V58" s="49"/>
      <c r="W58" s="53"/>
      <c r="X58" s="50"/>
      <c r="Y58" s="50"/>
      <c r="Z58" s="51"/>
      <c r="AA58" s="46" t="str">
        <f>IFERROR(__xludf.DUMMYFUNCTION("IFERROR(
$Z58/
VLOOKUP(
IF(
 REGEXMATCH($W58,""(?i)agachamento""),""Agachamento"",
 IF(
  REGEXMATCH($W58,""(?i)supino""),""Supino"",
  IF(
   REGEXMATCH($W58,""(?i)terra""),""Terra"",
   IF(
    REGEXMATCH($W58,""(?i)desenvolvimento""),""Desenvolvimento"&amp;""",
    IF(
     REGEXMATCH($W58,""(?i)remada""),""Remada"",
     IF(REGEXMATCH($W58,""(?i)arranco""),""Arranco"",IF(REGEXMATCH($W58,""(?i)arremesso""),""Arremesso"",""""))
    )
   )
  )
 )
),
prs!$A$6:$D$12,
4,
FALSE
)
,"""")"),"")</f>
        <v/>
      </c>
      <c r="AB58" s="46"/>
      <c r="AC58" s="49"/>
    </row>
    <row r="59" ht="15.75" customHeight="1">
      <c r="A59" s="49"/>
      <c r="B59" s="53"/>
      <c r="C59" s="50"/>
      <c r="D59" s="50"/>
      <c r="E59" s="51"/>
      <c r="F59" s="46" t="str">
        <f>IFERROR(__xludf.DUMMYFUNCTION("IFERROR(
$E59/
VLOOKUP(
IF(
 REGEXMATCH($B59,""(?i)agachamento""),""Agachamento"",
 IF(
  REGEXMATCH($B59,""(?i)supino""),""Supino"",
  IF(
   REGEXMATCH($B59,""(?i)terra""),""Terra"",
   IF(
    REGEXMATCH($B59,""(?i)desenvolvimento""),""Desenvolvimento"&amp;""",
    IF(
     REGEXMATCH($B59,""(?i)remada""),""Remada"",
     IF(REGEXMATCH($B59,""(?i)arranco""),""Arranco"",IF(REGEXMATCH($B59,""(?i)arremesso""),""Arremesso"",""""))
    )
   )
  )
 )
),
prs!$A$6:$D$12,
4,
FALSE
)
,"""")"),"")</f>
        <v/>
      </c>
      <c r="G59" s="46"/>
      <c r="H59" s="47"/>
      <c r="I59" s="53"/>
      <c r="J59" s="50"/>
      <c r="K59" s="50"/>
      <c r="L59" s="51"/>
      <c r="M59" s="46" t="str">
        <f>IFERROR(__xludf.DUMMYFUNCTION("IFERROR(
$L59/
VLOOKUP(
IF(
 REGEXMATCH($I59,""(?i)agachamento""),""Agachamento"",
 IF(
  REGEXMATCH($I59,""(?i)supino""),""Supino"",
  IF(
   REGEXMATCH($I59,""(?i)terra""),""Terra"",
   IF(
    REGEXMATCH($I59,""(?i)desenvolvimento""),""Desenvolvimento"&amp;""",
    IF(
     REGEXMATCH($I59,""(?i)remada""),""Remada"",
     IF(REGEXMATCH($I59,""(?i)arranco""),""Arranco"",IF(REGEXMATCH($I59,""(?i)arremesso""),""Arremesso"",""""))
    )
   )
  )
 )
),
prs!$A$6:$D$12,
4,
FALSE
)
,"""")"),"")</f>
        <v/>
      </c>
      <c r="N59" s="46"/>
      <c r="O59" s="49"/>
      <c r="P59" s="53"/>
      <c r="Q59" s="50"/>
      <c r="R59" s="50"/>
      <c r="S59" s="51"/>
      <c r="T59" s="46" t="str">
        <f>IFERROR(__xludf.DUMMYFUNCTION("IFERROR(
$S59/
VLOOKUP(
IF(
 REGEXMATCH($P59,""(?i)agachamento""),""Agachamento"",
 IF(
  REGEXMATCH($P59,""(?i)supino""),""Supino"",
  IF(
   REGEXMATCH($P59,""(?i)terra""),""Terra"",
   IF(
    REGEXMATCH($P59,""(?i)desenvolvimento""),""Desenvolvimento"&amp;""",
    IF(
     REGEXMATCH($P59,""(?i)remada""),""Remada"",
     IF(REGEXMATCH($P59,""(?i)arranco""),""Arranco"",IF(REGEXMATCH($P59,""(?i)arremesso""),""Arremesso"",""""))
    )
   )
  )
 )
),
prs!$A$6:$D$12,
4,
FALSE
)
,"""")"),"")</f>
        <v/>
      </c>
      <c r="U59" s="46"/>
      <c r="V59" s="49"/>
      <c r="W59" s="53"/>
      <c r="X59" s="50"/>
      <c r="Y59" s="50"/>
      <c r="Z59" s="51"/>
      <c r="AA59" s="46" t="str">
        <f>IFERROR(__xludf.DUMMYFUNCTION("IFERROR(
$Z59/
VLOOKUP(
IF(
 REGEXMATCH($W59,""(?i)agachamento""),""Agachamento"",
 IF(
  REGEXMATCH($W59,""(?i)supino""),""Supino"",
  IF(
   REGEXMATCH($W59,""(?i)terra""),""Terra"",
   IF(
    REGEXMATCH($W59,""(?i)desenvolvimento""),""Desenvolvimento"&amp;""",
    IF(
     REGEXMATCH($W59,""(?i)remada""),""Remada"",
     IF(REGEXMATCH($W59,""(?i)arranco""),""Arranco"",IF(REGEXMATCH($W59,""(?i)arremesso""),""Arremesso"",""""))
    )
   )
  )
 )
),
prs!$A$6:$D$12,
4,
FALSE
)
,"""")"),"")</f>
        <v/>
      </c>
      <c r="AB59" s="46"/>
      <c r="AC59" s="49"/>
    </row>
    <row r="60" ht="15.75" customHeight="1">
      <c r="A60" s="49"/>
      <c r="B60" s="53"/>
      <c r="C60" s="50"/>
      <c r="D60" s="50"/>
      <c r="E60" s="51"/>
      <c r="F60" s="46" t="str">
        <f>IFERROR(__xludf.DUMMYFUNCTION("IFERROR(
$E60/
VLOOKUP(
IF(
 REGEXMATCH($B60,""(?i)agachamento""),""Agachamento"",
 IF(
  REGEXMATCH($B60,""(?i)supino""),""Supino"",
  IF(
   REGEXMATCH($B60,""(?i)terra""),""Terra"",
   IF(
    REGEXMATCH($B60,""(?i)desenvolvimento""),""Desenvolvimento"&amp;""",
    IF(
     REGEXMATCH($B60,""(?i)remada""),""Remada"",
     IF(REGEXMATCH($B60,""(?i)arranco""),""Arranco"",IF(REGEXMATCH($B60,""(?i)arremesso""),""Arremesso"",""""))
    )
   )
  )
 )
),
prs!$A$6:$D$12,
4,
FALSE
)
,"""")"),"")</f>
        <v/>
      </c>
      <c r="G60" s="46"/>
      <c r="H60" s="47"/>
      <c r="I60" s="53"/>
      <c r="J60" s="50"/>
      <c r="K60" s="50"/>
      <c r="L60" s="51"/>
      <c r="M60" s="46" t="str">
        <f>IFERROR(__xludf.DUMMYFUNCTION("IFERROR(
$L60/
VLOOKUP(
IF(
 REGEXMATCH($I60,""(?i)agachamento""),""Agachamento"",
 IF(
  REGEXMATCH($I60,""(?i)supino""),""Supino"",
  IF(
   REGEXMATCH($I60,""(?i)terra""),""Terra"",
   IF(
    REGEXMATCH($I60,""(?i)desenvolvimento""),""Desenvolvimento"&amp;""",
    IF(
     REGEXMATCH($I60,""(?i)remada""),""Remada"",
     IF(REGEXMATCH($I60,""(?i)arranco""),""Arranco"",IF(REGEXMATCH($I60,""(?i)arremesso""),""Arremesso"",""""))
    )
   )
  )
 )
),
prs!$A$6:$D$12,
4,
FALSE
)
,"""")"),"")</f>
        <v/>
      </c>
      <c r="N60" s="46"/>
      <c r="O60" s="49"/>
      <c r="P60" s="53"/>
      <c r="Q60" s="50"/>
      <c r="R60" s="50"/>
      <c r="S60" s="51"/>
      <c r="T60" s="46" t="str">
        <f>IFERROR(__xludf.DUMMYFUNCTION("IFERROR(
$S60/
VLOOKUP(
IF(
 REGEXMATCH($P60,""(?i)agachamento""),""Agachamento"",
 IF(
  REGEXMATCH($P60,""(?i)supino""),""Supino"",
  IF(
   REGEXMATCH($P60,""(?i)terra""),""Terra"",
   IF(
    REGEXMATCH($P60,""(?i)desenvolvimento""),""Desenvolvimento"&amp;""",
    IF(
     REGEXMATCH($P60,""(?i)remada""),""Remada"",
     IF(REGEXMATCH($P60,""(?i)arranco""),""Arranco"",IF(REGEXMATCH($P60,""(?i)arremesso""),""Arremesso"",""""))
    )
   )
  )
 )
),
prs!$A$6:$D$12,
4,
FALSE
)
,"""")"),"")</f>
        <v/>
      </c>
      <c r="U60" s="46"/>
      <c r="V60" s="49"/>
      <c r="W60" s="53"/>
      <c r="X60" s="50"/>
      <c r="Y60" s="50"/>
      <c r="Z60" s="51"/>
      <c r="AA60" s="46" t="str">
        <f>IFERROR(__xludf.DUMMYFUNCTION("IFERROR(
$Z60/
VLOOKUP(
IF(
 REGEXMATCH($W60,""(?i)agachamento""),""Agachamento"",
 IF(
  REGEXMATCH($W60,""(?i)supino""),""Supino"",
  IF(
   REGEXMATCH($W60,""(?i)terra""),""Terra"",
   IF(
    REGEXMATCH($W60,""(?i)desenvolvimento""),""Desenvolvimento"&amp;""",
    IF(
     REGEXMATCH($W60,""(?i)remada""),""Remada"",
     IF(REGEXMATCH($W60,""(?i)arranco""),""Arranco"",IF(REGEXMATCH($W60,""(?i)arremesso""),""Arremesso"",""""))
    )
   )
  )
 )
),
prs!$A$6:$D$12,
4,
FALSE
)
,"""")"),"")</f>
        <v/>
      </c>
      <c r="AB60" s="46"/>
      <c r="AC60" s="49"/>
    </row>
    <row r="61" ht="15.75" customHeight="1">
      <c r="A61" s="31"/>
      <c r="B61" s="52"/>
      <c r="C61" s="32" t="s">
        <v>20</v>
      </c>
      <c r="H61" s="29"/>
      <c r="I61" s="52"/>
      <c r="J61" s="32" t="s">
        <v>23</v>
      </c>
      <c r="O61" s="29"/>
      <c r="P61" s="52"/>
      <c r="Q61" s="32" t="s">
        <v>24</v>
      </c>
      <c r="V61" s="29"/>
      <c r="W61" s="52"/>
      <c r="X61" s="32" t="s">
        <v>25</v>
      </c>
      <c r="AC61" s="47"/>
    </row>
    <row r="62" ht="15.75" customHeight="1">
      <c r="A62" s="47"/>
      <c r="B62" s="47"/>
      <c r="C62" s="47"/>
      <c r="D62" s="47"/>
      <c r="H62" s="47"/>
      <c r="I62" s="47"/>
      <c r="J62" s="47"/>
      <c r="K62" s="47"/>
      <c r="O62" s="47"/>
      <c r="P62" s="47"/>
      <c r="Q62" s="47"/>
      <c r="R62" s="47"/>
      <c r="V62" s="47"/>
      <c r="W62" s="47"/>
      <c r="X62" s="47"/>
      <c r="Y62" s="47"/>
      <c r="AC62" s="47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2">
    <mergeCell ref="D2:G2"/>
    <mergeCell ref="K2:N2"/>
    <mergeCell ref="R2:U2"/>
    <mergeCell ref="Y2:AB2"/>
    <mergeCell ref="J3:N3"/>
    <mergeCell ref="Q3:U3"/>
    <mergeCell ref="X3:AB3"/>
    <mergeCell ref="C3:G3"/>
    <mergeCell ref="C16:G16"/>
    <mergeCell ref="J16:N16"/>
    <mergeCell ref="Q16:U16"/>
    <mergeCell ref="D17:G17"/>
    <mergeCell ref="R17:U17"/>
    <mergeCell ref="C18:G18"/>
    <mergeCell ref="Q18:U18"/>
    <mergeCell ref="K17:N17"/>
    <mergeCell ref="J18:N18"/>
    <mergeCell ref="C31:G31"/>
    <mergeCell ref="J31:N31"/>
    <mergeCell ref="Q31:U31"/>
    <mergeCell ref="K32:N32"/>
    <mergeCell ref="R32:U32"/>
    <mergeCell ref="J46:N46"/>
    <mergeCell ref="K47:N47"/>
    <mergeCell ref="J48:N48"/>
    <mergeCell ref="J61:N61"/>
    <mergeCell ref="Q61:U61"/>
    <mergeCell ref="K62:N62"/>
    <mergeCell ref="R62:U62"/>
    <mergeCell ref="D47:G47"/>
    <mergeCell ref="C48:G48"/>
    <mergeCell ref="C61:G61"/>
    <mergeCell ref="D62:G62"/>
    <mergeCell ref="D32:G32"/>
    <mergeCell ref="C33:G33"/>
    <mergeCell ref="J33:N33"/>
    <mergeCell ref="Q33:U33"/>
    <mergeCell ref="C46:G46"/>
    <mergeCell ref="Q46:U46"/>
    <mergeCell ref="R47:U47"/>
    <mergeCell ref="Q48:U48"/>
    <mergeCell ref="Y47:AB47"/>
    <mergeCell ref="X48:AB48"/>
    <mergeCell ref="X61:AB61"/>
    <mergeCell ref="Y62:AB62"/>
    <mergeCell ref="X16:AB16"/>
    <mergeCell ref="Y17:AB17"/>
    <mergeCell ref="X18:AB18"/>
    <mergeCell ref="X31:AB31"/>
    <mergeCell ref="Y32:AB32"/>
    <mergeCell ref="X33:AB33"/>
    <mergeCell ref="X46:AB46"/>
  </mergeCells>
  <conditionalFormatting sqref="B6:B15 B21 B36:B4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21 I36:I4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21 P36:P4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21 W36:W45">
    <cfRule type="colorScale" priority="4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8"/>
      <c r="B1" s="9" t="s">
        <v>2</v>
      </c>
    </row>
    <row r="2" ht="15.75" customHeight="1">
      <c r="B2" s="10" t="s">
        <v>3</v>
      </c>
      <c r="C2" s="18" t="str">
        <f>'aluno 01'!C2</f>
        <v/>
      </c>
    </row>
    <row r="3" ht="15.75" customHeight="1">
      <c r="B3" s="10" t="s">
        <v>4</v>
      </c>
      <c r="C3" s="18" t="str">
        <f>'aluno 01'!C3</f>
        <v/>
      </c>
    </row>
    <row r="4" ht="15.75" customHeight="1">
      <c r="A4" s="14"/>
      <c r="B4" s="15"/>
      <c r="C4" s="16"/>
      <c r="D4" s="17"/>
      <c r="E4" s="19"/>
      <c r="F4" s="21"/>
      <c r="G4" s="21"/>
    </row>
    <row r="5" ht="15.75" customHeight="1">
      <c r="A5" s="22"/>
      <c r="B5" s="23" t="s">
        <v>6</v>
      </c>
      <c r="C5" s="23" t="s">
        <v>7</v>
      </c>
      <c r="D5" s="23" t="s">
        <v>8</v>
      </c>
      <c r="E5" s="23" t="s">
        <v>9</v>
      </c>
      <c r="F5" s="23" t="s">
        <v>10</v>
      </c>
      <c r="G5" s="5"/>
    </row>
    <row r="6" ht="15.75" customHeight="1">
      <c r="A6" s="24"/>
      <c r="B6" s="25" t="str">
        <f>'aluno 01'!B6</f>
        <v/>
      </c>
      <c r="C6" s="25" t="str">
        <f>'aluno 01'!C6</f>
        <v/>
      </c>
      <c r="D6" s="25" t="str">
        <f>'aluno 01'!D6</f>
        <v/>
      </c>
      <c r="E6" s="25" t="str">
        <f>'aluno 01'!E6</f>
        <v/>
      </c>
      <c r="F6" s="25" t="str">
        <f>'aluno 01'!F6</f>
        <v/>
      </c>
      <c r="G6" s="5"/>
    </row>
    <row r="7" ht="15.75" customHeight="1">
      <c r="A7" s="24"/>
      <c r="B7" s="26"/>
      <c r="C7" s="26"/>
      <c r="D7" s="26"/>
      <c r="E7" s="26"/>
      <c r="F7" s="26"/>
      <c r="G7" s="26"/>
    </row>
    <row r="8" ht="15.75" customHeight="1">
      <c r="A8" s="28" t="s">
        <v>11</v>
      </c>
    </row>
    <row r="9" ht="15.75" customHeight="1">
      <c r="A9" s="35" t="str">
        <f>'aluno 01'!A9</f>
        <v/>
      </c>
    </row>
    <row r="10" ht="15.75" customHeight="1"/>
    <row r="11" ht="15.75" customHeight="1">
      <c r="A11" s="28" t="s">
        <v>12</v>
      </c>
    </row>
    <row r="12" ht="15.75" customHeight="1">
      <c r="A12" s="2"/>
      <c r="B12" s="31" t="s">
        <v>13</v>
      </c>
      <c r="C12" s="31" t="s">
        <v>14</v>
      </c>
      <c r="D12" s="32" t="s">
        <v>15</v>
      </c>
      <c r="E12" s="32" t="s">
        <v>11</v>
      </c>
    </row>
    <row r="13" ht="15.75" customHeight="1">
      <c r="A13" s="33"/>
      <c r="B13" s="34"/>
      <c r="C13" s="34"/>
      <c r="D13" s="34"/>
      <c r="E13" s="35"/>
    </row>
    <row r="14" ht="15.75" customHeight="1">
      <c r="A14" s="36"/>
      <c r="B14" s="37"/>
      <c r="C14" s="37"/>
      <c r="D14" s="34"/>
      <c r="E14" s="35"/>
    </row>
    <row r="15" ht="15.75" customHeight="1">
      <c r="A15" s="33"/>
      <c r="B15" s="34"/>
      <c r="C15" s="34"/>
      <c r="D15" s="34"/>
      <c r="E15" s="35"/>
    </row>
    <row r="16" ht="15.75" customHeight="1">
      <c r="A16" s="39">
        <f>'bloco 02'!C3</f>
        <v>46324</v>
      </c>
    </row>
    <row r="17" ht="15.75" customHeight="1">
      <c r="A17" s="40" t="s">
        <v>20</v>
      </c>
    </row>
    <row r="18" ht="15.75" customHeight="1">
      <c r="A18" s="28" t="s">
        <v>5</v>
      </c>
    </row>
    <row r="19" ht="15.75" customHeight="1">
      <c r="A19" s="31"/>
      <c r="B19" s="31" t="s">
        <v>13</v>
      </c>
      <c r="C19" s="32" t="s">
        <v>16</v>
      </c>
      <c r="D19" s="32" t="s">
        <v>15</v>
      </c>
      <c r="E19" s="32" t="s">
        <v>21</v>
      </c>
      <c r="F19" s="32" t="s">
        <v>11</v>
      </c>
    </row>
    <row r="20" ht="15.75" customHeight="1">
      <c r="A20" s="13" t="str">
        <f>'bloco 02'!$B6</f>
        <v/>
      </c>
      <c r="B20" s="45" t="str">
        <f>'bloco 02'!C6</f>
        <v/>
      </c>
      <c r="C20" s="45" t="str">
        <f>'bloco 02'!D6</f>
        <v/>
      </c>
      <c r="D20" s="45" t="str">
        <f>'bloco 02'!E6</f>
        <v/>
      </c>
      <c r="E20" s="46" t="str">
        <f>IFERROR(('bloco 02'!F6),"")</f>
        <v/>
      </c>
      <c r="F20" s="48" t="str">
        <f>'bloco 02'!G6</f>
        <v/>
      </c>
    </row>
    <row r="21" ht="15.75" customHeight="1">
      <c r="A21" s="13" t="str">
        <f>'bloco 02'!$B7</f>
        <v/>
      </c>
      <c r="B21" s="45" t="str">
        <f>'bloco 02'!C7</f>
        <v/>
      </c>
      <c r="C21" s="45" t="str">
        <f>'bloco 02'!D7</f>
        <v/>
      </c>
      <c r="D21" s="45" t="str">
        <f>'bloco 02'!E7</f>
        <v/>
      </c>
      <c r="E21" s="46" t="str">
        <f>IFERROR(('bloco 02'!F7),"")</f>
        <v/>
      </c>
      <c r="F21" s="48" t="str">
        <f>'bloco 02'!G7</f>
        <v/>
      </c>
    </row>
    <row r="22" ht="15.75" customHeight="1">
      <c r="A22" s="13" t="str">
        <f>'bloco 02'!$B8</f>
        <v/>
      </c>
      <c r="B22" s="45" t="str">
        <f>'bloco 02'!C8</f>
        <v/>
      </c>
      <c r="C22" s="45" t="str">
        <f>'bloco 02'!D8</f>
        <v/>
      </c>
      <c r="D22" s="45" t="str">
        <f>'bloco 02'!E8</f>
        <v/>
      </c>
      <c r="E22" s="46" t="str">
        <f>IFERROR(('bloco 02'!F8),"")</f>
        <v/>
      </c>
      <c r="F22" s="48" t="str">
        <f>'bloco 02'!G8</f>
        <v/>
      </c>
    </row>
    <row r="23" ht="15.75" customHeight="1">
      <c r="A23" s="13" t="str">
        <f>'bloco 02'!$B9</f>
        <v/>
      </c>
      <c r="B23" s="45" t="str">
        <f>'bloco 02'!C9</f>
        <v/>
      </c>
      <c r="C23" s="45" t="str">
        <f>'bloco 02'!D9</f>
        <v/>
      </c>
      <c r="D23" s="45" t="str">
        <f>'bloco 02'!E9</f>
        <v/>
      </c>
      <c r="E23" s="46" t="str">
        <f>IFERROR(('bloco 02'!F9),"")</f>
        <v/>
      </c>
      <c r="F23" s="48" t="str">
        <f>'bloco 02'!G9</f>
        <v/>
      </c>
    </row>
    <row r="24" ht="15.75" customHeight="1">
      <c r="A24" s="13" t="str">
        <f>'bloco 02'!$B10</f>
        <v/>
      </c>
      <c r="B24" s="45" t="str">
        <f>'bloco 02'!C10</f>
        <v/>
      </c>
      <c r="C24" s="45" t="str">
        <f>'bloco 02'!D10</f>
        <v/>
      </c>
      <c r="D24" s="45" t="str">
        <f>'bloco 02'!E10</f>
        <v/>
      </c>
      <c r="E24" s="46" t="str">
        <f>IFERROR(('bloco 02'!F10),"")</f>
        <v/>
      </c>
      <c r="F24" s="48" t="str">
        <f>'bloco 02'!G10</f>
        <v/>
      </c>
    </row>
    <row r="25" ht="15.75" customHeight="1">
      <c r="A25" s="13" t="str">
        <f>'bloco 02'!$B11</f>
        <v/>
      </c>
      <c r="B25" s="45" t="str">
        <f>'bloco 02'!C11</f>
        <v/>
      </c>
      <c r="C25" s="45" t="str">
        <f>'bloco 02'!D11</f>
        <v/>
      </c>
      <c r="D25" s="45" t="str">
        <f>'bloco 02'!E11</f>
        <v/>
      </c>
      <c r="E25" s="46" t="str">
        <f>IFERROR(('bloco 02'!F11),"")</f>
        <v/>
      </c>
      <c r="F25" s="48" t="str">
        <f>'bloco 02'!G11</f>
        <v/>
      </c>
    </row>
    <row r="26" ht="15.75" customHeight="1">
      <c r="A26" s="13" t="str">
        <f>'bloco 02'!$B12</f>
        <v/>
      </c>
      <c r="B26" s="45" t="str">
        <f>'bloco 02'!C12</f>
        <v/>
      </c>
      <c r="C26" s="45" t="str">
        <f>'bloco 02'!D12</f>
        <v/>
      </c>
      <c r="D26" s="45" t="str">
        <f>'bloco 02'!E12</f>
        <v/>
      </c>
      <c r="E26" s="46" t="str">
        <f>IFERROR(('bloco 02'!F12),"")</f>
        <v/>
      </c>
      <c r="F26" s="48" t="str">
        <f>'bloco 02'!G12</f>
        <v/>
      </c>
    </row>
    <row r="27" ht="15.75" customHeight="1">
      <c r="A27" s="13" t="str">
        <f>'bloco 02'!$B13</f>
        <v/>
      </c>
      <c r="B27" s="45" t="str">
        <f>'bloco 02'!C13</f>
        <v/>
      </c>
      <c r="C27" s="45" t="str">
        <f>'bloco 02'!D13</f>
        <v/>
      </c>
      <c r="D27" s="45" t="str">
        <f>'bloco 02'!E13</f>
        <v/>
      </c>
      <c r="E27" s="46" t="str">
        <f>IFERROR(('bloco 02'!F13),"")</f>
        <v/>
      </c>
      <c r="F27" s="48" t="str">
        <f>'bloco 02'!G13</f>
        <v/>
      </c>
    </row>
    <row r="28" ht="15.75" customHeight="1">
      <c r="A28" s="13" t="str">
        <f>'bloco 02'!$B14</f>
        <v/>
      </c>
      <c r="B28" s="45" t="str">
        <f>'bloco 02'!C14</f>
        <v/>
      </c>
      <c r="C28" s="45" t="str">
        <f>'bloco 02'!D14</f>
        <v/>
      </c>
      <c r="D28" s="45" t="str">
        <f>'bloco 02'!E14</f>
        <v/>
      </c>
      <c r="E28" s="46" t="str">
        <f>IFERROR(('bloco 02'!F14),"")</f>
        <v/>
      </c>
      <c r="F28" s="48" t="str">
        <f>'bloco 02'!G14</f>
        <v/>
      </c>
    </row>
    <row r="29" ht="15.75" customHeight="1">
      <c r="A29" s="13" t="str">
        <f>'bloco 02'!$B15</f>
        <v/>
      </c>
      <c r="B29" s="45" t="str">
        <f>'bloco 02'!C15</f>
        <v/>
      </c>
      <c r="C29" s="45" t="str">
        <f>'bloco 02'!D15</f>
        <v/>
      </c>
      <c r="D29" s="45" t="str">
        <f>'bloco 02'!E15</f>
        <v/>
      </c>
      <c r="E29" s="46" t="str">
        <f>IFERROR(('bloco 02'!F15),"")</f>
        <v/>
      </c>
      <c r="F29" s="48" t="str">
        <f>'bloco 02'!G15</f>
        <v/>
      </c>
    </row>
    <row r="30" ht="15.75" customHeight="1">
      <c r="A30" s="28" t="s">
        <v>22</v>
      </c>
    </row>
    <row r="31" ht="15.75" customHeight="1">
      <c r="A31" s="31"/>
      <c r="B31" s="31" t="s">
        <v>13</v>
      </c>
      <c r="C31" s="32" t="s">
        <v>16</v>
      </c>
      <c r="D31" s="32" t="s">
        <v>15</v>
      </c>
      <c r="E31" s="32" t="s">
        <v>21</v>
      </c>
      <c r="F31" s="32" t="s">
        <v>11</v>
      </c>
    </row>
    <row r="32" ht="15.75" customHeight="1">
      <c r="A32" s="13" t="str">
        <f>'bloco 02'!$B21</f>
        <v/>
      </c>
      <c r="B32" s="45" t="str">
        <f>'bloco 02'!C21</f>
        <v/>
      </c>
      <c r="C32" s="45" t="str">
        <f>'bloco 02'!D21</f>
        <v/>
      </c>
      <c r="D32" s="45" t="str">
        <f>'bloco 02'!E21</f>
        <v/>
      </c>
      <c r="E32" s="46" t="str">
        <f>IFERROR(('bloco 02'!F21),"")</f>
        <v/>
      </c>
      <c r="F32" s="48" t="str">
        <f>'bloco 02'!G21</f>
        <v/>
      </c>
    </row>
    <row r="33" ht="15.75" customHeight="1">
      <c r="A33" s="13" t="str">
        <f>'bloco 02'!$B22</f>
        <v/>
      </c>
      <c r="B33" s="45" t="str">
        <f>'bloco 02'!C22</f>
        <v/>
      </c>
      <c r="C33" s="45" t="str">
        <f>'bloco 02'!D22</f>
        <v/>
      </c>
      <c r="D33" s="45" t="str">
        <f>'bloco 02'!E22</f>
        <v/>
      </c>
      <c r="E33" s="46" t="str">
        <f>IFERROR(('bloco 02'!F22),"")</f>
        <v/>
      </c>
      <c r="F33" s="48" t="str">
        <f>'bloco 02'!G22</f>
        <v/>
      </c>
    </row>
    <row r="34" ht="15.75" customHeight="1">
      <c r="A34" s="13" t="str">
        <f>'bloco 02'!$B23</f>
        <v/>
      </c>
      <c r="B34" s="45" t="str">
        <f>'bloco 02'!C23</f>
        <v/>
      </c>
      <c r="C34" s="45" t="str">
        <f>'bloco 02'!D23</f>
        <v/>
      </c>
      <c r="D34" s="45" t="str">
        <f>'bloco 02'!E23</f>
        <v/>
      </c>
      <c r="E34" s="46" t="str">
        <f>IFERROR(('bloco 02'!F23),"")</f>
        <v/>
      </c>
      <c r="F34" s="48" t="str">
        <f>'bloco 02'!G23</f>
        <v/>
      </c>
    </row>
    <row r="35" ht="15.75" customHeight="1">
      <c r="A35" s="13" t="str">
        <f>'bloco 02'!$B24</f>
        <v/>
      </c>
      <c r="B35" s="45" t="str">
        <f>'bloco 02'!C24</f>
        <v/>
      </c>
      <c r="C35" s="45" t="str">
        <f>'bloco 02'!D24</f>
        <v/>
      </c>
      <c r="D35" s="45" t="str">
        <f>'bloco 02'!E24</f>
        <v/>
      </c>
      <c r="E35" s="46" t="str">
        <f>IFERROR(('bloco 02'!F24),"")</f>
        <v/>
      </c>
      <c r="F35" s="48" t="str">
        <f>'bloco 02'!G24</f>
        <v/>
      </c>
    </row>
    <row r="36" ht="15.75" customHeight="1">
      <c r="A36" s="13" t="str">
        <f>'bloco 02'!$B25</f>
        <v/>
      </c>
      <c r="B36" s="45" t="str">
        <f>'bloco 02'!C25</f>
        <v/>
      </c>
      <c r="C36" s="45" t="str">
        <f>'bloco 02'!D25</f>
        <v/>
      </c>
      <c r="D36" s="45" t="str">
        <f>'bloco 02'!E25</f>
        <v/>
      </c>
      <c r="E36" s="46" t="str">
        <f>IFERROR(('bloco 02'!F25),"")</f>
        <v/>
      </c>
      <c r="F36" s="48" t="str">
        <f>'bloco 02'!G25</f>
        <v/>
      </c>
    </row>
    <row r="37" ht="15.75" customHeight="1">
      <c r="A37" s="13" t="str">
        <f>'bloco 02'!$B26</f>
        <v/>
      </c>
      <c r="B37" s="45" t="str">
        <f>'bloco 02'!C26</f>
        <v/>
      </c>
      <c r="C37" s="45" t="str">
        <f>'bloco 02'!D26</f>
        <v/>
      </c>
      <c r="D37" s="45" t="str">
        <f>'bloco 02'!E26</f>
        <v/>
      </c>
      <c r="E37" s="46" t="str">
        <f>IFERROR(('bloco 02'!F26),"")</f>
        <v/>
      </c>
      <c r="F37" s="48" t="str">
        <f>'bloco 02'!G26</f>
        <v/>
      </c>
    </row>
    <row r="38" ht="15.75" customHeight="1">
      <c r="A38" s="13" t="str">
        <f>'bloco 02'!$B27</f>
        <v/>
      </c>
      <c r="B38" s="45" t="str">
        <f>'bloco 02'!C27</f>
        <v/>
      </c>
      <c r="C38" s="45" t="str">
        <f>'bloco 02'!D27</f>
        <v/>
      </c>
      <c r="D38" s="45" t="str">
        <f>'bloco 02'!E27</f>
        <v/>
      </c>
      <c r="E38" s="46" t="str">
        <f>IFERROR(('bloco 02'!F27),"")</f>
        <v/>
      </c>
      <c r="F38" s="48" t="str">
        <f>'bloco 02'!G27</f>
        <v/>
      </c>
    </row>
    <row r="39" ht="15.75" customHeight="1">
      <c r="A39" s="13" t="str">
        <f>'bloco 02'!$B28</f>
        <v/>
      </c>
      <c r="B39" s="45" t="str">
        <f>'bloco 02'!C28</f>
        <v/>
      </c>
      <c r="C39" s="45" t="str">
        <f>'bloco 02'!D28</f>
        <v/>
      </c>
      <c r="D39" s="45" t="str">
        <f>'bloco 02'!E28</f>
        <v/>
      </c>
      <c r="E39" s="46" t="str">
        <f>IFERROR(('bloco 02'!F28),"")</f>
        <v/>
      </c>
      <c r="F39" s="48" t="str">
        <f>'bloco 02'!G28</f>
        <v/>
      </c>
    </row>
    <row r="40" ht="15.75" customHeight="1">
      <c r="A40" s="13" t="str">
        <f>'bloco 02'!$B29</f>
        <v/>
      </c>
      <c r="B40" s="45" t="str">
        <f>'bloco 02'!C29</f>
        <v/>
      </c>
      <c r="C40" s="45" t="str">
        <f>'bloco 02'!D29</f>
        <v/>
      </c>
      <c r="D40" s="45" t="str">
        <f>'bloco 02'!E29</f>
        <v/>
      </c>
      <c r="E40" s="46" t="str">
        <f>IFERROR(('bloco 02'!F29),"")</f>
        <v/>
      </c>
      <c r="F40" s="48" t="str">
        <f>'bloco 02'!G29</f>
        <v/>
      </c>
    </row>
    <row r="41" ht="15.75" customHeight="1">
      <c r="A41" s="13" t="str">
        <f>'bloco 02'!$B30</f>
        <v/>
      </c>
      <c r="B41" s="45" t="str">
        <f>'bloco 02'!C30</f>
        <v/>
      </c>
      <c r="C41" s="45" t="str">
        <f>'bloco 02'!D30</f>
        <v/>
      </c>
      <c r="D41" s="45" t="str">
        <f>'bloco 02'!E30</f>
        <v/>
      </c>
      <c r="E41" s="46" t="str">
        <f>IFERROR(('bloco 02'!F30),"")</f>
        <v/>
      </c>
      <c r="F41" s="48" t="str">
        <f>'bloco 02'!G30</f>
        <v/>
      </c>
    </row>
    <row r="42" ht="15.75" customHeight="1">
      <c r="A42" s="28" t="s">
        <v>26</v>
      </c>
    </row>
    <row r="43" ht="15.75" customHeight="1">
      <c r="A43" s="31"/>
      <c r="B43" s="31" t="s">
        <v>13</v>
      </c>
      <c r="C43" s="32" t="s">
        <v>16</v>
      </c>
      <c r="D43" s="32" t="s">
        <v>15</v>
      </c>
      <c r="E43" s="32" t="s">
        <v>21</v>
      </c>
      <c r="F43" s="32" t="s">
        <v>11</v>
      </c>
    </row>
    <row r="44" ht="15.75" customHeight="1">
      <c r="A44" s="13" t="str">
        <f>'bloco 02'!$B36</f>
        <v/>
      </c>
      <c r="B44" s="45" t="str">
        <f>'bloco 02'!C36</f>
        <v/>
      </c>
      <c r="C44" s="45" t="str">
        <f>'bloco 02'!D36</f>
        <v/>
      </c>
      <c r="D44" s="45" t="str">
        <f>'bloco 02'!E36</f>
        <v/>
      </c>
      <c r="E44" s="46" t="str">
        <f>IFERROR(('bloco 02'!F36),"")</f>
        <v/>
      </c>
      <c r="F44" s="48" t="str">
        <f>'bloco 02'!G36</f>
        <v/>
      </c>
    </row>
    <row r="45" ht="15.75" customHeight="1">
      <c r="A45" s="13" t="str">
        <f>'bloco 02'!$B37</f>
        <v/>
      </c>
      <c r="B45" s="45" t="str">
        <f>'bloco 02'!C37</f>
        <v/>
      </c>
      <c r="C45" s="45" t="str">
        <f>'bloco 02'!D37</f>
        <v/>
      </c>
      <c r="D45" s="45" t="str">
        <f>'bloco 02'!E37</f>
        <v/>
      </c>
      <c r="E45" s="46" t="str">
        <f>IFERROR(('bloco 02'!F37),"")</f>
        <v/>
      </c>
      <c r="F45" s="48" t="str">
        <f>'bloco 02'!G37</f>
        <v/>
      </c>
    </row>
    <row r="46" ht="15.75" customHeight="1">
      <c r="A46" s="13" t="str">
        <f>'bloco 02'!$B38</f>
        <v/>
      </c>
      <c r="B46" s="45" t="str">
        <f>'bloco 02'!C38</f>
        <v/>
      </c>
      <c r="C46" s="45" t="str">
        <f>'bloco 02'!D38</f>
        <v/>
      </c>
      <c r="D46" s="45" t="str">
        <f>'bloco 02'!E38</f>
        <v/>
      </c>
      <c r="E46" s="46" t="str">
        <f>IFERROR(('bloco 02'!F38),"")</f>
        <v/>
      </c>
      <c r="F46" s="48" t="str">
        <f>'bloco 02'!G38</f>
        <v/>
      </c>
    </row>
    <row r="47" ht="15.75" customHeight="1">
      <c r="A47" s="13" t="str">
        <f>'bloco 02'!$B39</f>
        <v/>
      </c>
      <c r="B47" s="45" t="str">
        <f>'bloco 02'!C39</f>
        <v/>
      </c>
      <c r="C47" s="45" t="str">
        <f>'bloco 02'!D39</f>
        <v/>
      </c>
      <c r="D47" s="45" t="str">
        <f>'bloco 02'!E39</f>
        <v/>
      </c>
      <c r="E47" s="46" t="str">
        <f>IFERROR(('bloco 02'!F39),"")</f>
        <v/>
      </c>
      <c r="F47" s="48" t="str">
        <f>'bloco 02'!G39</f>
        <v/>
      </c>
    </row>
    <row r="48" ht="15.75" customHeight="1">
      <c r="A48" s="13" t="str">
        <f>'bloco 02'!$B40</f>
        <v/>
      </c>
      <c r="B48" s="45" t="str">
        <f>'bloco 02'!C40</f>
        <v/>
      </c>
      <c r="C48" s="45" t="str">
        <f>'bloco 02'!D40</f>
        <v/>
      </c>
      <c r="D48" s="45" t="str">
        <f>'bloco 02'!E40</f>
        <v/>
      </c>
      <c r="E48" s="46" t="str">
        <f>IFERROR(('bloco 02'!F40),"")</f>
        <v/>
      </c>
      <c r="F48" s="48" t="str">
        <f>'bloco 02'!G40</f>
        <v/>
      </c>
    </row>
    <row r="49" ht="15.75" customHeight="1">
      <c r="A49" s="13" t="str">
        <f>'bloco 02'!$B41</f>
        <v/>
      </c>
      <c r="B49" s="45" t="str">
        <f>'bloco 02'!C41</f>
        <v/>
      </c>
      <c r="C49" s="45" t="str">
        <f>'bloco 02'!D41</f>
        <v/>
      </c>
      <c r="D49" s="45" t="str">
        <f>'bloco 02'!E41</f>
        <v/>
      </c>
      <c r="E49" s="46" t="str">
        <f>IFERROR(('bloco 02'!F41),"")</f>
        <v/>
      </c>
      <c r="F49" s="48" t="str">
        <f>'bloco 02'!G41</f>
        <v/>
      </c>
    </row>
    <row r="50" ht="15.75" customHeight="1">
      <c r="A50" s="13" t="str">
        <f>'bloco 02'!$B42</f>
        <v/>
      </c>
      <c r="B50" s="45" t="str">
        <f>'bloco 02'!C42</f>
        <v/>
      </c>
      <c r="C50" s="45" t="str">
        <f>'bloco 02'!D42</f>
        <v/>
      </c>
      <c r="D50" s="45" t="str">
        <f>'bloco 02'!E42</f>
        <v/>
      </c>
      <c r="E50" s="46" t="str">
        <f>IFERROR(('bloco 02'!F42),"")</f>
        <v/>
      </c>
      <c r="F50" s="48" t="str">
        <f>'bloco 02'!G42</f>
        <v/>
      </c>
    </row>
    <row r="51" ht="15.75" customHeight="1">
      <c r="A51" s="13" t="str">
        <f>'bloco 02'!$B43</f>
        <v/>
      </c>
      <c r="B51" s="45" t="str">
        <f>'bloco 02'!C43</f>
        <v/>
      </c>
      <c r="C51" s="45" t="str">
        <f>'bloco 02'!D43</f>
        <v/>
      </c>
      <c r="D51" s="45" t="str">
        <f>'bloco 02'!E43</f>
        <v/>
      </c>
      <c r="E51" s="46" t="str">
        <f>IFERROR(('bloco 02'!F43),"")</f>
        <v/>
      </c>
      <c r="F51" s="48" t="str">
        <f>'bloco 02'!G43</f>
        <v/>
      </c>
    </row>
    <row r="52" ht="15.75" customHeight="1">
      <c r="A52" s="13" t="str">
        <f>'bloco 02'!$B44</f>
        <v/>
      </c>
      <c r="B52" s="45" t="str">
        <f>'bloco 02'!C44</f>
        <v/>
      </c>
      <c r="C52" s="45" t="str">
        <f>'bloco 02'!D44</f>
        <v/>
      </c>
      <c r="D52" s="45" t="str">
        <f>'bloco 02'!E44</f>
        <v/>
      </c>
      <c r="E52" s="46" t="str">
        <f>IFERROR(('bloco 02'!F44),"")</f>
        <v/>
      </c>
      <c r="F52" s="48" t="str">
        <f>'bloco 02'!G44</f>
        <v/>
      </c>
    </row>
    <row r="53" ht="15.75" customHeight="1">
      <c r="A53" s="13" t="str">
        <f>'bloco 02'!$B45</f>
        <v/>
      </c>
      <c r="B53" s="45" t="str">
        <f>'bloco 02'!C45</f>
        <v/>
      </c>
      <c r="C53" s="45" t="str">
        <f>'bloco 02'!D45</f>
        <v/>
      </c>
      <c r="D53" s="45" t="str">
        <f>'bloco 02'!E45</f>
        <v/>
      </c>
      <c r="E53" s="46" t="str">
        <f>IFERROR(('bloco 02'!F45),"")</f>
        <v/>
      </c>
      <c r="F53" s="48" t="str">
        <f>'bloco 02'!G45</f>
        <v/>
      </c>
    </row>
    <row r="54" ht="15.75" customHeight="1">
      <c r="A54" s="28" t="s">
        <v>27</v>
      </c>
    </row>
    <row r="55" ht="15.75" customHeight="1">
      <c r="A55" s="31"/>
      <c r="B55" s="31" t="s">
        <v>13</v>
      </c>
      <c r="C55" s="32" t="s">
        <v>16</v>
      </c>
      <c r="D55" s="32" t="s">
        <v>15</v>
      </c>
      <c r="E55" s="32" t="s">
        <v>21</v>
      </c>
      <c r="F55" s="32" t="s">
        <v>11</v>
      </c>
    </row>
    <row r="56" ht="15.75" customHeight="1">
      <c r="A56" s="13" t="str">
        <f>'bloco 02'!$B51</f>
        <v/>
      </c>
      <c r="B56" s="45" t="str">
        <f>'bloco 02'!C51</f>
        <v/>
      </c>
      <c r="C56" s="45" t="str">
        <f>'bloco 02'!D51</f>
        <v/>
      </c>
      <c r="D56" s="45" t="str">
        <f>'bloco 02'!E51</f>
        <v/>
      </c>
      <c r="E56" s="46" t="str">
        <f>IFERROR(('bloco 02'!F51),"")</f>
        <v/>
      </c>
      <c r="F56" s="48" t="str">
        <f>'bloco 02'!G51</f>
        <v/>
      </c>
    </row>
    <row r="57" ht="15.75" customHeight="1">
      <c r="A57" s="13" t="str">
        <f>'bloco 02'!$B52</f>
        <v/>
      </c>
      <c r="B57" s="45" t="str">
        <f>'bloco 02'!C52</f>
        <v/>
      </c>
      <c r="C57" s="45" t="str">
        <f>'bloco 02'!D52</f>
        <v/>
      </c>
      <c r="D57" s="45" t="str">
        <f>'bloco 02'!E52</f>
        <v/>
      </c>
      <c r="E57" s="46" t="str">
        <f>IFERROR(('bloco 02'!F52),"")</f>
        <v/>
      </c>
      <c r="F57" s="48" t="str">
        <f>'bloco 02'!G52</f>
        <v/>
      </c>
    </row>
    <row r="58" ht="15.75" customHeight="1">
      <c r="A58" s="13" t="str">
        <f>'bloco 02'!$B53</f>
        <v/>
      </c>
      <c r="B58" s="45" t="str">
        <f>'bloco 02'!C53</f>
        <v/>
      </c>
      <c r="C58" s="45" t="str">
        <f>'bloco 02'!D53</f>
        <v/>
      </c>
      <c r="D58" s="45" t="str">
        <f>'bloco 02'!E53</f>
        <v/>
      </c>
      <c r="E58" s="46" t="str">
        <f>IFERROR(('bloco 02'!F53),"")</f>
        <v/>
      </c>
      <c r="F58" s="48" t="str">
        <f>'bloco 02'!G53</f>
        <v/>
      </c>
    </row>
    <row r="59" ht="15.75" customHeight="1">
      <c r="A59" s="13" t="str">
        <f>'bloco 02'!$B54</f>
        <v/>
      </c>
      <c r="B59" s="45" t="str">
        <f>'bloco 02'!C54</f>
        <v/>
      </c>
      <c r="C59" s="45" t="str">
        <f>'bloco 02'!D54</f>
        <v/>
      </c>
      <c r="D59" s="45" t="str">
        <f>'bloco 02'!E54</f>
        <v/>
      </c>
      <c r="E59" s="46" t="str">
        <f>IFERROR(('bloco 02'!F54),"")</f>
        <v/>
      </c>
      <c r="F59" s="48" t="str">
        <f>'bloco 02'!G54</f>
        <v/>
      </c>
    </row>
    <row r="60" ht="15.75" customHeight="1">
      <c r="A60" s="13" t="str">
        <f>'bloco 02'!$B55</f>
        <v/>
      </c>
      <c r="B60" s="45" t="str">
        <f>'bloco 02'!C55</f>
        <v/>
      </c>
      <c r="C60" s="45" t="str">
        <f>'bloco 02'!D55</f>
        <v/>
      </c>
      <c r="D60" s="45" t="str">
        <f>'bloco 02'!E55</f>
        <v/>
      </c>
      <c r="E60" s="46" t="str">
        <f>IFERROR(('bloco 02'!F55),"")</f>
        <v/>
      </c>
      <c r="F60" s="48" t="str">
        <f>'bloco 02'!G55</f>
        <v/>
      </c>
    </row>
    <row r="61" ht="15.75" customHeight="1">
      <c r="A61" s="13" t="str">
        <f>'bloco 02'!$B56</f>
        <v/>
      </c>
      <c r="B61" s="45" t="str">
        <f>'bloco 02'!C56</f>
        <v/>
      </c>
      <c r="C61" s="45" t="str">
        <f>'bloco 02'!D56</f>
        <v/>
      </c>
      <c r="D61" s="45" t="str">
        <f>'bloco 02'!E56</f>
        <v/>
      </c>
      <c r="E61" s="46" t="str">
        <f>IFERROR(('bloco 02'!F56),"")</f>
        <v/>
      </c>
      <c r="F61" s="48" t="str">
        <f>'bloco 02'!G56</f>
        <v/>
      </c>
    </row>
    <row r="62" ht="15.75" customHeight="1">
      <c r="A62" s="13" t="str">
        <f>'bloco 02'!$B57</f>
        <v/>
      </c>
      <c r="B62" s="45" t="str">
        <f>'bloco 02'!C57</f>
        <v/>
      </c>
      <c r="C62" s="45" t="str">
        <f>'bloco 02'!D57</f>
        <v/>
      </c>
      <c r="D62" s="45" t="str">
        <f>'bloco 02'!E57</f>
        <v/>
      </c>
      <c r="E62" s="46" t="str">
        <f>IFERROR(('bloco 02'!F57),"")</f>
        <v/>
      </c>
      <c r="F62" s="48" t="str">
        <f>'bloco 02'!G57</f>
        <v/>
      </c>
    </row>
    <row r="63" ht="15.75" customHeight="1">
      <c r="A63" s="13" t="str">
        <f>'bloco 02'!$B58</f>
        <v/>
      </c>
      <c r="B63" s="45" t="str">
        <f>'bloco 02'!C58</f>
        <v/>
      </c>
      <c r="C63" s="45" t="str">
        <f>'bloco 02'!D58</f>
        <v/>
      </c>
      <c r="D63" s="45" t="str">
        <f>'bloco 02'!E58</f>
        <v/>
      </c>
      <c r="E63" s="46" t="str">
        <f>IFERROR(('bloco 02'!F58),"")</f>
        <v/>
      </c>
      <c r="F63" s="48" t="str">
        <f>'bloco 02'!G58</f>
        <v/>
      </c>
    </row>
    <row r="64" ht="15.75" customHeight="1">
      <c r="A64" s="13" t="str">
        <f>'bloco 02'!$B59</f>
        <v/>
      </c>
      <c r="B64" s="45" t="str">
        <f>'bloco 02'!C59</f>
        <v/>
      </c>
      <c r="C64" s="45" t="str">
        <f>'bloco 02'!D59</f>
        <v/>
      </c>
      <c r="D64" s="45" t="str">
        <f>'bloco 02'!E59</f>
        <v/>
      </c>
      <c r="E64" s="46" t="str">
        <f>IFERROR(('bloco 02'!F59),"")</f>
        <v/>
      </c>
      <c r="F64" s="48" t="str">
        <f>'bloco 02'!G59</f>
        <v/>
      </c>
    </row>
    <row r="65" ht="15.75" customHeight="1">
      <c r="A65" s="13" t="str">
        <f>'bloco 02'!$B60</f>
        <v/>
      </c>
      <c r="B65" s="45" t="str">
        <f>'bloco 02'!C60</f>
        <v/>
      </c>
      <c r="C65" s="45" t="str">
        <f>'bloco 02'!D60</f>
        <v/>
      </c>
      <c r="D65" s="45" t="str">
        <f>'bloco 02'!E60</f>
        <v/>
      </c>
      <c r="E65" s="46" t="str">
        <f>IFERROR(('bloco 02'!F60),"")</f>
        <v/>
      </c>
      <c r="F65" s="48" t="str">
        <f>'bloco 02'!G60</f>
        <v/>
      </c>
    </row>
    <row r="66" ht="15.75" customHeight="1">
      <c r="A66" s="39">
        <f>'bloco 02'!J3</f>
        <v>46331</v>
      </c>
    </row>
    <row r="67" ht="15.75" customHeight="1">
      <c r="A67" s="40" t="s">
        <v>23</v>
      </c>
    </row>
    <row r="68" ht="15.75" customHeight="1">
      <c r="A68" s="28" t="s">
        <v>5</v>
      </c>
    </row>
    <row r="69" ht="15.75" customHeight="1">
      <c r="A69" s="31"/>
      <c r="B69" s="31" t="s">
        <v>13</v>
      </c>
      <c r="C69" s="32" t="s">
        <v>16</v>
      </c>
      <c r="D69" s="32" t="s">
        <v>15</v>
      </c>
      <c r="E69" s="32" t="s">
        <v>21</v>
      </c>
      <c r="F69" s="32" t="s">
        <v>11</v>
      </c>
    </row>
    <row r="70" ht="15.75" customHeight="1">
      <c r="A70" s="13" t="str">
        <f>'bloco 02'!$I6</f>
        <v/>
      </c>
      <c r="B70" s="45" t="str">
        <f>'bloco 02'!J6</f>
        <v/>
      </c>
      <c r="C70" s="45" t="str">
        <f>'bloco 02'!K6</f>
        <v/>
      </c>
      <c r="D70" s="45" t="str">
        <f>'bloco 02'!L6</f>
        <v/>
      </c>
      <c r="E70" s="46" t="str">
        <f>IFERROR(('bloco 02'!M6),"")</f>
        <v/>
      </c>
      <c r="F70" s="48" t="str">
        <f>'bloco 02'!N6</f>
        <v/>
      </c>
    </row>
    <row r="71" ht="15.75" customHeight="1">
      <c r="A71" s="13" t="str">
        <f>'bloco 02'!$I7</f>
        <v/>
      </c>
      <c r="B71" s="45" t="str">
        <f>'bloco 02'!J7</f>
        <v/>
      </c>
      <c r="C71" s="45" t="str">
        <f>'bloco 02'!K7</f>
        <v/>
      </c>
      <c r="D71" s="45" t="str">
        <f>'bloco 02'!L7</f>
        <v/>
      </c>
      <c r="E71" s="46" t="str">
        <f>IFERROR(('bloco 02'!M7),"")</f>
        <v/>
      </c>
      <c r="F71" s="48" t="str">
        <f>'bloco 02'!N7</f>
        <v/>
      </c>
    </row>
    <row r="72" ht="15.75" customHeight="1">
      <c r="A72" s="13" t="str">
        <f>'bloco 02'!$I8</f>
        <v/>
      </c>
      <c r="B72" s="45" t="str">
        <f>'bloco 02'!J8</f>
        <v/>
      </c>
      <c r="C72" s="45" t="str">
        <f>'bloco 02'!K8</f>
        <v/>
      </c>
      <c r="D72" s="45" t="str">
        <f>'bloco 02'!L8</f>
        <v/>
      </c>
      <c r="E72" s="46" t="str">
        <f>IFERROR(('bloco 02'!M8),"")</f>
        <v/>
      </c>
      <c r="F72" s="48" t="str">
        <f>'bloco 02'!N8</f>
        <v/>
      </c>
    </row>
    <row r="73" ht="15.75" customHeight="1">
      <c r="A73" s="13" t="str">
        <f>'bloco 02'!$I9</f>
        <v/>
      </c>
      <c r="B73" s="45" t="str">
        <f>'bloco 02'!J9</f>
        <v/>
      </c>
      <c r="C73" s="45" t="str">
        <f>'bloco 02'!K9</f>
        <v/>
      </c>
      <c r="D73" s="45" t="str">
        <f>'bloco 02'!L9</f>
        <v/>
      </c>
      <c r="E73" s="46" t="str">
        <f>IFERROR(('bloco 02'!M9),"")</f>
        <v/>
      </c>
      <c r="F73" s="48" t="str">
        <f>'bloco 02'!N9</f>
        <v/>
      </c>
    </row>
    <row r="74" ht="15.75" customHeight="1">
      <c r="A74" s="13" t="str">
        <f>'bloco 02'!$I10</f>
        <v/>
      </c>
      <c r="B74" s="45" t="str">
        <f>'bloco 02'!J10</f>
        <v/>
      </c>
      <c r="C74" s="45" t="str">
        <f>'bloco 02'!K10</f>
        <v/>
      </c>
      <c r="D74" s="45" t="str">
        <f>'bloco 02'!L10</f>
        <v/>
      </c>
      <c r="E74" s="46" t="str">
        <f>IFERROR(('bloco 02'!M10),"")</f>
        <v/>
      </c>
      <c r="F74" s="48" t="str">
        <f>'bloco 02'!N10</f>
        <v/>
      </c>
    </row>
    <row r="75" ht="15.75" customHeight="1">
      <c r="A75" s="13" t="str">
        <f>'bloco 02'!$I11</f>
        <v/>
      </c>
      <c r="B75" s="45" t="str">
        <f>'bloco 02'!J11</f>
        <v/>
      </c>
      <c r="C75" s="45" t="str">
        <f>'bloco 02'!K11</f>
        <v/>
      </c>
      <c r="D75" s="45" t="str">
        <f>'bloco 02'!L11</f>
        <v/>
      </c>
      <c r="E75" s="46" t="str">
        <f>IFERROR(('bloco 02'!M11),"")</f>
        <v/>
      </c>
      <c r="F75" s="48" t="str">
        <f>'bloco 02'!N11</f>
        <v/>
      </c>
    </row>
    <row r="76" ht="15.75" customHeight="1">
      <c r="A76" s="13" t="str">
        <f>'bloco 02'!$I12</f>
        <v/>
      </c>
      <c r="B76" s="45" t="str">
        <f>'bloco 02'!J12</f>
        <v/>
      </c>
      <c r="C76" s="45" t="str">
        <f>'bloco 02'!K12</f>
        <v/>
      </c>
      <c r="D76" s="45" t="str">
        <f>'bloco 02'!L12</f>
        <v/>
      </c>
      <c r="E76" s="46" t="str">
        <f>IFERROR(('bloco 02'!M12),"")</f>
        <v/>
      </c>
      <c r="F76" s="48" t="str">
        <f>'bloco 02'!N12</f>
        <v/>
      </c>
    </row>
    <row r="77" ht="15.75" customHeight="1">
      <c r="A77" s="13" t="str">
        <f>'bloco 02'!$I13</f>
        <v/>
      </c>
      <c r="B77" s="45" t="str">
        <f>'bloco 02'!J13</f>
        <v/>
      </c>
      <c r="C77" s="45" t="str">
        <f>'bloco 02'!K13</f>
        <v/>
      </c>
      <c r="D77" s="45" t="str">
        <f>'bloco 02'!L13</f>
        <v/>
      </c>
      <c r="E77" s="46" t="str">
        <f>IFERROR(('bloco 02'!M13),"")</f>
        <v/>
      </c>
      <c r="F77" s="48" t="str">
        <f>'bloco 02'!N13</f>
        <v/>
      </c>
    </row>
    <row r="78" ht="15.75" customHeight="1">
      <c r="A78" s="13" t="str">
        <f>'bloco 02'!$I14</f>
        <v/>
      </c>
      <c r="B78" s="45" t="str">
        <f>'bloco 02'!J14</f>
        <v/>
      </c>
      <c r="C78" s="45" t="str">
        <f>'bloco 02'!K14</f>
        <v/>
      </c>
      <c r="D78" s="45" t="str">
        <f>'bloco 02'!L14</f>
        <v/>
      </c>
      <c r="E78" s="46" t="str">
        <f>IFERROR(('bloco 02'!M14),"")</f>
        <v/>
      </c>
      <c r="F78" s="48" t="str">
        <f>'bloco 02'!N14</f>
        <v/>
      </c>
    </row>
    <row r="79" ht="15.75" customHeight="1">
      <c r="A79" s="13" t="str">
        <f>'bloco 02'!$I15</f>
        <v/>
      </c>
      <c r="B79" s="45" t="str">
        <f>'bloco 02'!J15</f>
        <v/>
      </c>
      <c r="C79" s="45" t="str">
        <f>'bloco 02'!K15</f>
        <v/>
      </c>
      <c r="D79" s="45" t="str">
        <f>'bloco 02'!L15</f>
        <v/>
      </c>
      <c r="E79" s="46" t="str">
        <f>IFERROR(('bloco 02'!M15),"")</f>
        <v/>
      </c>
      <c r="F79" s="48" t="str">
        <f>'bloco 02'!N15</f>
        <v/>
      </c>
    </row>
    <row r="80" ht="15.75" customHeight="1">
      <c r="A80" s="28" t="s">
        <v>22</v>
      </c>
    </row>
    <row r="81" ht="15.75" customHeight="1">
      <c r="A81" s="31"/>
      <c r="B81" s="31" t="s">
        <v>13</v>
      </c>
      <c r="C81" s="32" t="s">
        <v>16</v>
      </c>
      <c r="D81" s="32" t="s">
        <v>15</v>
      </c>
      <c r="E81" s="32" t="s">
        <v>21</v>
      </c>
      <c r="F81" s="32" t="s">
        <v>11</v>
      </c>
    </row>
    <row r="82" ht="15.75" customHeight="1">
      <c r="A82" s="13" t="str">
        <f>'bloco 02'!$I21</f>
        <v/>
      </c>
      <c r="B82" s="45" t="str">
        <f>'bloco 02'!J21</f>
        <v/>
      </c>
      <c r="C82" s="45" t="str">
        <f>'bloco 02'!K21</f>
        <v/>
      </c>
      <c r="D82" s="45" t="str">
        <f>'bloco 02'!L21</f>
        <v/>
      </c>
      <c r="E82" s="46" t="str">
        <f>IFERROR(('bloco 02'!M21),"")</f>
        <v/>
      </c>
      <c r="F82" s="48" t="str">
        <f>'bloco 02'!N21</f>
        <v/>
      </c>
    </row>
    <row r="83" ht="15.75" customHeight="1">
      <c r="A83" s="13" t="str">
        <f>'bloco 02'!$I22</f>
        <v/>
      </c>
      <c r="B83" s="45" t="str">
        <f>'bloco 02'!J22</f>
        <v/>
      </c>
      <c r="C83" s="45" t="str">
        <f>'bloco 02'!K22</f>
        <v/>
      </c>
      <c r="D83" s="45" t="str">
        <f>'bloco 02'!L22</f>
        <v/>
      </c>
      <c r="E83" s="46" t="str">
        <f>IFERROR(('bloco 02'!M22),"")</f>
        <v/>
      </c>
      <c r="F83" s="48" t="str">
        <f>'bloco 02'!N22</f>
        <v/>
      </c>
    </row>
    <row r="84" ht="15.75" customHeight="1">
      <c r="A84" s="13" t="str">
        <f>'bloco 02'!$I23</f>
        <v/>
      </c>
      <c r="B84" s="45" t="str">
        <f>'bloco 02'!J23</f>
        <v/>
      </c>
      <c r="C84" s="45" t="str">
        <f>'bloco 02'!K23</f>
        <v/>
      </c>
      <c r="D84" s="45" t="str">
        <f>'bloco 02'!L23</f>
        <v/>
      </c>
      <c r="E84" s="46" t="str">
        <f>IFERROR(('bloco 02'!M23),"")</f>
        <v/>
      </c>
      <c r="F84" s="48" t="str">
        <f>'bloco 02'!N23</f>
        <v/>
      </c>
    </row>
    <row r="85" ht="15.75" customHeight="1">
      <c r="A85" s="13" t="str">
        <f>'bloco 02'!$I24</f>
        <v/>
      </c>
      <c r="B85" s="45" t="str">
        <f>'bloco 02'!J24</f>
        <v/>
      </c>
      <c r="C85" s="45" t="str">
        <f>'bloco 02'!K24</f>
        <v/>
      </c>
      <c r="D85" s="45" t="str">
        <f>'bloco 02'!L24</f>
        <v/>
      </c>
      <c r="E85" s="46" t="str">
        <f>IFERROR(('bloco 02'!M24),"")</f>
        <v/>
      </c>
      <c r="F85" s="48" t="str">
        <f>'bloco 02'!N24</f>
        <v/>
      </c>
    </row>
    <row r="86" ht="15.75" customHeight="1">
      <c r="A86" s="13" t="str">
        <f>'bloco 02'!$I25</f>
        <v/>
      </c>
      <c r="B86" s="45" t="str">
        <f>'bloco 02'!J25</f>
        <v/>
      </c>
      <c r="C86" s="45" t="str">
        <f>'bloco 02'!K25</f>
        <v/>
      </c>
      <c r="D86" s="45" t="str">
        <f>'bloco 02'!L25</f>
        <v/>
      </c>
      <c r="E86" s="46" t="str">
        <f>IFERROR(('bloco 02'!M25),"")</f>
        <v/>
      </c>
      <c r="F86" s="48" t="str">
        <f>'bloco 02'!N25</f>
        <v/>
      </c>
    </row>
    <row r="87" ht="15.75" customHeight="1">
      <c r="A87" s="13" t="str">
        <f>'bloco 02'!$I26</f>
        <v/>
      </c>
      <c r="B87" s="45" t="str">
        <f>'bloco 02'!J26</f>
        <v/>
      </c>
      <c r="C87" s="45" t="str">
        <f>'bloco 02'!K26</f>
        <v/>
      </c>
      <c r="D87" s="45" t="str">
        <f>'bloco 02'!L26</f>
        <v/>
      </c>
      <c r="E87" s="46" t="str">
        <f>IFERROR(('bloco 02'!M26),"")</f>
        <v/>
      </c>
      <c r="F87" s="48" t="str">
        <f>'bloco 02'!N26</f>
        <v/>
      </c>
    </row>
    <row r="88" ht="15.75" customHeight="1">
      <c r="A88" s="13" t="str">
        <f>'bloco 02'!$I27</f>
        <v/>
      </c>
      <c r="B88" s="45" t="str">
        <f>'bloco 02'!J27</f>
        <v/>
      </c>
      <c r="C88" s="45" t="str">
        <f>'bloco 02'!K27</f>
        <v/>
      </c>
      <c r="D88" s="45" t="str">
        <f>'bloco 02'!L27</f>
        <v/>
      </c>
      <c r="E88" s="46" t="str">
        <f>IFERROR(('bloco 02'!M27),"")</f>
        <v/>
      </c>
      <c r="F88" s="48" t="str">
        <f>'bloco 02'!N27</f>
        <v/>
      </c>
    </row>
    <row r="89" ht="15.75" customHeight="1">
      <c r="A89" s="13" t="str">
        <f>'bloco 02'!$I28</f>
        <v/>
      </c>
      <c r="B89" s="45" t="str">
        <f>'bloco 02'!J28</f>
        <v/>
      </c>
      <c r="C89" s="45" t="str">
        <f>'bloco 02'!K28</f>
        <v/>
      </c>
      <c r="D89" s="45" t="str">
        <f>'bloco 02'!L28</f>
        <v/>
      </c>
      <c r="E89" s="46" t="str">
        <f>IFERROR(('bloco 02'!M28),"")</f>
        <v/>
      </c>
      <c r="F89" s="48" t="str">
        <f>'bloco 02'!N28</f>
        <v/>
      </c>
    </row>
    <row r="90" ht="15.75" customHeight="1">
      <c r="A90" s="13" t="str">
        <f>'bloco 02'!$I29</f>
        <v/>
      </c>
      <c r="B90" s="45" t="str">
        <f>'bloco 02'!J29</f>
        <v/>
      </c>
      <c r="C90" s="45" t="str">
        <f>'bloco 02'!K29</f>
        <v/>
      </c>
      <c r="D90" s="45" t="str">
        <f>'bloco 02'!L29</f>
        <v/>
      </c>
      <c r="E90" s="46" t="str">
        <f>IFERROR(('bloco 02'!M29),"")</f>
        <v/>
      </c>
      <c r="F90" s="48" t="str">
        <f>'bloco 02'!N29</f>
        <v/>
      </c>
    </row>
    <row r="91" ht="15.75" customHeight="1">
      <c r="A91" s="13" t="str">
        <f>'bloco 02'!$I30</f>
        <v/>
      </c>
      <c r="B91" s="45" t="str">
        <f>'bloco 02'!J30</f>
        <v/>
      </c>
      <c r="C91" s="45" t="str">
        <f>'bloco 02'!K30</f>
        <v/>
      </c>
      <c r="D91" s="45" t="str">
        <f>'bloco 02'!L30</f>
        <v/>
      </c>
      <c r="E91" s="46" t="str">
        <f>IFERROR(('bloco 02'!M30),"")</f>
        <v/>
      </c>
      <c r="F91" s="48" t="str">
        <f>'bloco 02'!N30</f>
        <v/>
      </c>
    </row>
    <row r="92" ht="15.75" customHeight="1">
      <c r="A92" s="28" t="s">
        <v>26</v>
      </c>
    </row>
    <row r="93" ht="15.75" customHeight="1">
      <c r="A93" s="31"/>
      <c r="B93" s="31" t="s">
        <v>13</v>
      </c>
      <c r="C93" s="32" t="s">
        <v>16</v>
      </c>
      <c r="D93" s="32" t="s">
        <v>15</v>
      </c>
      <c r="E93" s="32" t="s">
        <v>21</v>
      </c>
      <c r="F93" s="32" t="s">
        <v>11</v>
      </c>
    </row>
    <row r="94" ht="15.75" customHeight="1">
      <c r="A94" s="13" t="str">
        <f>'bloco 02'!$I36</f>
        <v/>
      </c>
      <c r="B94" s="45" t="str">
        <f>'bloco 02'!J36</f>
        <v/>
      </c>
      <c r="C94" s="45" t="str">
        <f>'bloco 02'!K36</f>
        <v/>
      </c>
      <c r="D94" s="45" t="str">
        <f>'bloco 02'!L36</f>
        <v/>
      </c>
      <c r="E94" s="46" t="str">
        <f>IFERROR(('bloco 02'!M36),"")</f>
        <v/>
      </c>
      <c r="F94" s="48" t="str">
        <f>'bloco 02'!N36</f>
        <v/>
      </c>
    </row>
    <row r="95" ht="15.75" customHeight="1">
      <c r="A95" s="13" t="str">
        <f>'bloco 02'!$I37</f>
        <v/>
      </c>
      <c r="B95" s="45" t="str">
        <f>'bloco 02'!J37</f>
        <v/>
      </c>
      <c r="C95" s="45" t="str">
        <f>'bloco 02'!K37</f>
        <v/>
      </c>
      <c r="D95" s="45" t="str">
        <f>'bloco 02'!L37</f>
        <v/>
      </c>
      <c r="E95" s="46" t="str">
        <f>IFERROR(('bloco 02'!M37),"")</f>
        <v/>
      </c>
      <c r="F95" s="48" t="str">
        <f>'bloco 02'!N37</f>
        <v/>
      </c>
    </row>
    <row r="96" ht="15.75" customHeight="1">
      <c r="A96" s="13" t="str">
        <f>'bloco 02'!$I38</f>
        <v/>
      </c>
      <c r="B96" s="45" t="str">
        <f>'bloco 02'!J38</f>
        <v/>
      </c>
      <c r="C96" s="45" t="str">
        <f>'bloco 02'!K38</f>
        <v/>
      </c>
      <c r="D96" s="45" t="str">
        <f>'bloco 02'!L38</f>
        <v/>
      </c>
      <c r="E96" s="46" t="str">
        <f>IFERROR(('bloco 02'!M38),"")</f>
        <v/>
      </c>
      <c r="F96" s="48" t="str">
        <f>'bloco 02'!N38</f>
        <v/>
      </c>
    </row>
    <row r="97" ht="15.75" customHeight="1">
      <c r="A97" s="13" t="str">
        <f>'bloco 02'!$I39</f>
        <v/>
      </c>
      <c r="B97" s="45" t="str">
        <f>'bloco 02'!J39</f>
        <v/>
      </c>
      <c r="C97" s="45" t="str">
        <f>'bloco 02'!K39</f>
        <v/>
      </c>
      <c r="D97" s="45" t="str">
        <f>'bloco 02'!L39</f>
        <v/>
      </c>
      <c r="E97" s="46" t="str">
        <f>IFERROR(('bloco 02'!M39),"")</f>
        <v/>
      </c>
      <c r="F97" s="48" t="str">
        <f>'bloco 02'!N39</f>
        <v/>
      </c>
    </row>
    <row r="98" ht="15.75" customHeight="1">
      <c r="A98" s="13" t="str">
        <f>'bloco 02'!$I40</f>
        <v/>
      </c>
      <c r="B98" s="45" t="str">
        <f>'bloco 02'!J40</f>
        <v/>
      </c>
      <c r="C98" s="45" t="str">
        <f>'bloco 02'!K40</f>
        <v/>
      </c>
      <c r="D98" s="45" t="str">
        <f>'bloco 02'!L40</f>
        <v/>
      </c>
      <c r="E98" s="46" t="str">
        <f>IFERROR(('bloco 02'!M40),"")</f>
        <v/>
      </c>
      <c r="F98" s="48" t="str">
        <f>'bloco 02'!N40</f>
        <v/>
      </c>
    </row>
    <row r="99" ht="15.75" customHeight="1">
      <c r="A99" s="13" t="str">
        <f>'bloco 02'!$I41</f>
        <v/>
      </c>
      <c r="B99" s="45" t="str">
        <f>'bloco 02'!J41</f>
        <v/>
      </c>
      <c r="C99" s="45" t="str">
        <f>'bloco 02'!K41</f>
        <v/>
      </c>
      <c r="D99" s="45" t="str">
        <f>'bloco 02'!L41</f>
        <v/>
      </c>
      <c r="E99" s="46" t="str">
        <f>IFERROR(('bloco 02'!M41),"")</f>
        <v/>
      </c>
      <c r="F99" s="48" t="str">
        <f>'bloco 02'!N41</f>
        <v/>
      </c>
    </row>
    <row r="100" ht="15.75" customHeight="1">
      <c r="A100" s="13" t="str">
        <f>'bloco 02'!$I42</f>
        <v/>
      </c>
      <c r="B100" s="45" t="str">
        <f>'bloco 02'!J42</f>
        <v/>
      </c>
      <c r="C100" s="45" t="str">
        <f>'bloco 02'!K42</f>
        <v/>
      </c>
      <c r="D100" s="45" t="str">
        <f>'bloco 02'!L42</f>
        <v/>
      </c>
      <c r="E100" s="46" t="str">
        <f>IFERROR(('bloco 02'!M42),"")</f>
        <v/>
      </c>
      <c r="F100" s="48" t="str">
        <f>'bloco 02'!N42</f>
        <v/>
      </c>
    </row>
    <row r="101" ht="15.75" customHeight="1">
      <c r="A101" s="13" t="str">
        <f>'bloco 02'!$I43</f>
        <v/>
      </c>
      <c r="B101" s="45" t="str">
        <f>'bloco 02'!J43</f>
        <v/>
      </c>
      <c r="C101" s="45" t="str">
        <f>'bloco 02'!K43</f>
        <v/>
      </c>
      <c r="D101" s="45" t="str">
        <f>'bloco 02'!L43</f>
        <v/>
      </c>
      <c r="E101" s="46" t="str">
        <f>IFERROR(('bloco 02'!M43),"")</f>
        <v/>
      </c>
      <c r="F101" s="48" t="str">
        <f>'bloco 02'!N43</f>
        <v/>
      </c>
    </row>
    <row r="102" ht="15.75" customHeight="1">
      <c r="A102" s="13" t="str">
        <f>'bloco 02'!$I44</f>
        <v/>
      </c>
      <c r="B102" s="45" t="str">
        <f>'bloco 02'!J44</f>
        <v/>
      </c>
      <c r="C102" s="45" t="str">
        <f>'bloco 02'!K44</f>
        <v/>
      </c>
      <c r="D102" s="45" t="str">
        <f>'bloco 02'!L44</f>
        <v/>
      </c>
      <c r="E102" s="46" t="str">
        <f>IFERROR(('bloco 02'!M44),"")</f>
        <v/>
      </c>
      <c r="F102" s="48" t="str">
        <f>'bloco 02'!N44</f>
        <v/>
      </c>
    </row>
    <row r="103" ht="15.75" customHeight="1">
      <c r="A103" s="13" t="str">
        <f>'bloco 02'!$I45</f>
        <v/>
      </c>
      <c r="B103" s="45" t="str">
        <f>'bloco 02'!J45</f>
        <v/>
      </c>
      <c r="C103" s="45" t="str">
        <f>'bloco 02'!K45</f>
        <v/>
      </c>
      <c r="D103" s="45" t="str">
        <f>'bloco 02'!L45</f>
        <v/>
      </c>
      <c r="E103" s="46" t="str">
        <f>IFERROR(('bloco 02'!M45),"")</f>
        <v/>
      </c>
      <c r="F103" s="48" t="str">
        <f>'bloco 02'!N45</f>
        <v/>
      </c>
    </row>
    <row r="104" ht="15.75" customHeight="1">
      <c r="A104" s="28" t="s">
        <v>27</v>
      </c>
    </row>
    <row r="105" ht="15.75" customHeight="1">
      <c r="A105" s="31"/>
      <c r="B105" s="31" t="s">
        <v>13</v>
      </c>
      <c r="C105" s="32" t="s">
        <v>16</v>
      </c>
      <c r="D105" s="32" t="s">
        <v>15</v>
      </c>
      <c r="E105" s="32" t="s">
        <v>21</v>
      </c>
      <c r="F105" s="32" t="s">
        <v>11</v>
      </c>
    </row>
    <row r="106" ht="15.75" customHeight="1">
      <c r="A106" s="13" t="str">
        <f>'bloco 02'!$I51</f>
        <v/>
      </c>
      <c r="B106" s="45" t="str">
        <f>'bloco 02'!J51</f>
        <v/>
      </c>
      <c r="C106" s="45" t="str">
        <f>'bloco 02'!K51</f>
        <v/>
      </c>
      <c r="D106" s="45" t="str">
        <f>'bloco 02'!L51</f>
        <v/>
      </c>
      <c r="E106" s="46" t="str">
        <f>IFERROR(('bloco 02'!M51),"")</f>
        <v/>
      </c>
      <c r="F106" s="48" t="str">
        <f>'bloco 02'!N51</f>
        <v/>
      </c>
    </row>
    <row r="107" ht="15.75" customHeight="1">
      <c r="A107" s="13" t="str">
        <f>'bloco 02'!$I52</f>
        <v/>
      </c>
      <c r="B107" s="45" t="str">
        <f>'bloco 02'!J52</f>
        <v/>
      </c>
      <c r="C107" s="45" t="str">
        <f>'bloco 02'!K52</f>
        <v/>
      </c>
      <c r="D107" s="45" t="str">
        <f>'bloco 02'!L52</f>
        <v/>
      </c>
      <c r="E107" s="46" t="str">
        <f>IFERROR(('bloco 02'!M52),"")</f>
        <v/>
      </c>
      <c r="F107" s="48" t="str">
        <f>'bloco 02'!N52</f>
        <v/>
      </c>
    </row>
    <row r="108" ht="15.75" customHeight="1">
      <c r="A108" s="13" t="str">
        <f>'bloco 02'!$I53</f>
        <v/>
      </c>
      <c r="B108" s="45" t="str">
        <f>'bloco 02'!J53</f>
        <v/>
      </c>
      <c r="C108" s="45" t="str">
        <f>'bloco 02'!K53</f>
        <v/>
      </c>
      <c r="D108" s="45" t="str">
        <f>'bloco 02'!L53</f>
        <v/>
      </c>
      <c r="E108" s="46" t="str">
        <f>IFERROR(('bloco 02'!M53),"")</f>
        <v/>
      </c>
      <c r="F108" s="48" t="str">
        <f>'bloco 02'!N53</f>
        <v/>
      </c>
    </row>
    <row r="109" ht="15.75" customHeight="1">
      <c r="A109" s="13" t="str">
        <f>'bloco 02'!$I54</f>
        <v/>
      </c>
      <c r="B109" s="45" t="str">
        <f>'bloco 02'!J54</f>
        <v/>
      </c>
      <c r="C109" s="45" t="str">
        <f>'bloco 02'!K54</f>
        <v/>
      </c>
      <c r="D109" s="45" t="str">
        <f>'bloco 02'!L54</f>
        <v/>
      </c>
      <c r="E109" s="46" t="str">
        <f>IFERROR(('bloco 02'!M54),"")</f>
        <v/>
      </c>
      <c r="F109" s="48" t="str">
        <f>'bloco 02'!N54</f>
        <v/>
      </c>
    </row>
    <row r="110" ht="15.75" customHeight="1">
      <c r="A110" s="13" t="str">
        <f>'bloco 02'!$I55</f>
        <v/>
      </c>
      <c r="B110" s="45" t="str">
        <f>'bloco 02'!J55</f>
        <v/>
      </c>
      <c r="C110" s="45" t="str">
        <f>'bloco 02'!K55</f>
        <v/>
      </c>
      <c r="D110" s="45" t="str">
        <f>'bloco 02'!L55</f>
        <v/>
      </c>
      <c r="E110" s="46" t="str">
        <f>IFERROR(('bloco 02'!M55),"")</f>
        <v/>
      </c>
      <c r="F110" s="48" t="str">
        <f>'bloco 02'!N55</f>
        <v/>
      </c>
    </row>
    <row r="111" ht="15.75" customHeight="1">
      <c r="A111" s="13" t="str">
        <f>'bloco 02'!$I56</f>
        <v/>
      </c>
      <c r="B111" s="45" t="str">
        <f>'bloco 02'!J56</f>
        <v/>
      </c>
      <c r="C111" s="45" t="str">
        <f>'bloco 02'!K56</f>
        <v/>
      </c>
      <c r="D111" s="45" t="str">
        <f>'bloco 02'!L56</f>
        <v/>
      </c>
      <c r="E111" s="46" t="str">
        <f>IFERROR(('bloco 02'!M56),"")</f>
        <v/>
      </c>
      <c r="F111" s="48" t="str">
        <f>'bloco 02'!N56</f>
        <v/>
      </c>
    </row>
    <row r="112" ht="15.75" customHeight="1">
      <c r="A112" s="13" t="str">
        <f>'bloco 02'!$I57</f>
        <v/>
      </c>
      <c r="B112" s="45" t="str">
        <f>'bloco 02'!J57</f>
        <v/>
      </c>
      <c r="C112" s="45" t="str">
        <f>'bloco 02'!K57</f>
        <v/>
      </c>
      <c r="D112" s="45" t="str">
        <f>'bloco 02'!L57</f>
        <v/>
      </c>
      <c r="E112" s="46" t="str">
        <f>IFERROR(('bloco 02'!M57),"")</f>
        <v/>
      </c>
      <c r="F112" s="48" t="str">
        <f>'bloco 02'!N57</f>
        <v/>
      </c>
    </row>
    <row r="113" ht="15.75" customHeight="1">
      <c r="A113" s="13" t="str">
        <f>'bloco 02'!$I58</f>
        <v/>
      </c>
      <c r="B113" s="45" t="str">
        <f>'bloco 02'!J58</f>
        <v/>
      </c>
      <c r="C113" s="45" t="str">
        <f>'bloco 02'!K58</f>
        <v/>
      </c>
      <c r="D113" s="45" t="str">
        <f>'bloco 02'!L58</f>
        <v/>
      </c>
      <c r="E113" s="46" t="str">
        <f>IFERROR(('bloco 02'!M58),"")</f>
        <v/>
      </c>
      <c r="F113" s="48" t="str">
        <f>'bloco 02'!N58</f>
        <v/>
      </c>
    </row>
    <row r="114" ht="15.75" customHeight="1">
      <c r="A114" s="13" t="str">
        <f>'bloco 02'!$I59</f>
        <v/>
      </c>
      <c r="B114" s="45" t="str">
        <f>'bloco 02'!J59</f>
        <v/>
      </c>
      <c r="C114" s="45" t="str">
        <f>'bloco 02'!K59</f>
        <v/>
      </c>
      <c r="D114" s="45" t="str">
        <f>'bloco 02'!L59</f>
        <v/>
      </c>
      <c r="E114" s="46" t="str">
        <f>IFERROR(('bloco 02'!M59),"")</f>
        <v/>
      </c>
      <c r="F114" s="48" t="str">
        <f>'bloco 02'!N59</f>
        <v/>
      </c>
    </row>
    <row r="115" ht="15.75" customHeight="1">
      <c r="A115" s="13" t="str">
        <f>'bloco 02'!$I60</f>
        <v/>
      </c>
      <c r="B115" s="45" t="str">
        <f>'bloco 02'!J60</f>
        <v/>
      </c>
      <c r="C115" s="45" t="str">
        <f>'bloco 02'!K60</f>
        <v/>
      </c>
      <c r="D115" s="45" t="str">
        <f>'bloco 02'!L60</f>
        <v/>
      </c>
      <c r="E115" s="46" t="str">
        <f>IFERROR(('bloco 02'!M60),"")</f>
        <v/>
      </c>
      <c r="F115" s="48" t="str">
        <f>'bloco 02'!N60</f>
        <v/>
      </c>
    </row>
    <row r="116" ht="15.75" customHeight="1">
      <c r="A116" s="45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>
      <c r="A133" s="39">
        <f>'bloco 02'!Q3</f>
        <v>46338</v>
      </c>
    </row>
    <row r="134" ht="15.75" customHeight="1">
      <c r="A134" s="40" t="s">
        <v>24</v>
      </c>
    </row>
    <row r="135" ht="15.75" customHeight="1">
      <c r="A135" s="28" t="s">
        <v>5</v>
      </c>
    </row>
    <row r="136" ht="15.75" customHeight="1">
      <c r="A136" s="31"/>
      <c r="B136" s="31" t="s">
        <v>13</v>
      </c>
      <c r="C136" s="32" t="s">
        <v>16</v>
      </c>
      <c r="D136" s="32" t="s">
        <v>15</v>
      </c>
      <c r="E136" s="32" t="s">
        <v>21</v>
      </c>
      <c r="F136" s="32" t="s">
        <v>11</v>
      </c>
    </row>
    <row r="137" ht="15.75" customHeight="1">
      <c r="A137" s="13" t="str">
        <f>'bloco 02'!$P6</f>
        <v/>
      </c>
      <c r="B137" s="45" t="str">
        <f>'bloco 02'!Q6</f>
        <v/>
      </c>
      <c r="C137" s="45" t="str">
        <f>'bloco 02'!R6</f>
        <v/>
      </c>
      <c r="D137" s="45" t="str">
        <f>'bloco 02'!S6</f>
        <v/>
      </c>
      <c r="E137" s="46" t="str">
        <f>IFERROR(('bloco 02'!T6),"")</f>
        <v/>
      </c>
      <c r="F137" s="48" t="str">
        <f>'bloco 02'!U6</f>
        <v/>
      </c>
    </row>
    <row r="138" ht="15.75" customHeight="1">
      <c r="A138" s="13" t="str">
        <f>'bloco 02'!$P7</f>
        <v/>
      </c>
      <c r="B138" s="45" t="str">
        <f>'bloco 02'!Q7</f>
        <v/>
      </c>
      <c r="C138" s="45" t="str">
        <f>'bloco 02'!R7</f>
        <v/>
      </c>
      <c r="D138" s="45" t="str">
        <f>'bloco 02'!S7</f>
        <v/>
      </c>
      <c r="E138" s="46" t="str">
        <f>IFERROR(('bloco 02'!T7),"")</f>
        <v/>
      </c>
      <c r="F138" s="48" t="str">
        <f>'bloco 02'!U7</f>
        <v/>
      </c>
    </row>
    <row r="139" ht="15.75" customHeight="1">
      <c r="A139" s="13" t="str">
        <f>'bloco 02'!$P8</f>
        <v/>
      </c>
      <c r="B139" s="45" t="str">
        <f>'bloco 02'!Q8</f>
        <v/>
      </c>
      <c r="C139" s="45" t="str">
        <f>'bloco 02'!R8</f>
        <v/>
      </c>
      <c r="D139" s="45" t="str">
        <f>'bloco 02'!S8</f>
        <v/>
      </c>
      <c r="E139" s="46" t="str">
        <f>IFERROR(('bloco 02'!T8),"")</f>
        <v/>
      </c>
      <c r="F139" s="48" t="str">
        <f>'bloco 02'!U8</f>
        <v/>
      </c>
    </row>
    <row r="140" ht="15.75" customHeight="1">
      <c r="A140" s="13" t="str">
        <f>'bloco 02'!$P9</f>
        <v/>
      </c>
      <c r="B140" s="45" t="str">
        <f>'bloco 02'!Q9</f>
        <v/>
      </c>
      <c r="C140" s="45" t="str">
        <f>'bloco 02'!R9</f>
        <v/>
      </c>
      <c r="D140" s="45" t="str">
        <f>'bloco 02'!S9</f>
        <v/>
      </c>
      <c r="E140" s="46" t="str">
        <f>IFERROR(('bloco 02'!T9),"")</f>
        <v/>
      </c>
      <c r="F140" s="48" t="str">
        <f>'bloco 02'!U9</f>
        <v/>
      </c>
    </row>
    <row r="141" ht="15.75" customHeight="1">
      <c r="A141" s="13" t="str">
        <f>'bloco 02'!$P10</f>
        <v/>
      </c>
      <c r="B141" s="45" t="str">
        <f>'bloco 02'!Q10</f>
        <v/>
      </c>
      <c r="C141" s="45" t="str">
        <f>'bloco 02'!R10</f>
        <v/>
      </c>
      <c r="D141" s="45" t="str">
        <f>'bloco 02'!S10</f>
        <v/>
      </c>
      <c r="E141" s="46" t="str">
        <f>IFERROR(('bloco 02'!T10),"")</f>
        <v/>
      </c>
      <c r="F141" s="48" t="str">
        <f>'bloco 02'!U10</f>
        <v/>
      </c>
    </row>
    <row r="142" ht="15.75" customHeight="1">
      <c r="A142" s="13" t="str">
        <f>'bloco 02'!$P11</f>
        <v/>
      </c>
      <c r="B142" s="45" t="str">
        <f>'bloco 02'!Q11</f>
        <v/>
      </c>
      <c r="C142" s="45" t="str">
        <f>'bloco 02'!R11</f>
        <v/>
      </c>
      <c r="D142" s="45" t="str">
        <f>'bloco 02'!S11</f>
        <v/>
      </c>
      <c r="E142" s="46" t="str">
        <f>IFERROR(('bloco 02'!T11),"")</f>
        <v/>
      </c>
      <c r="F142" s="48" t="str">
        <f>'bloco 02'!U11</f>
        <v/>
      </c>
    </row>
    <row r="143" ht="15.75" customHeight="1">
      <c r="A143" s="13" t="str">
        <f>'bloco 02'!$P12</f>
        <v/>
      </c>
      <c r="B143" s="45" t="str">
        <f>'bloco 02'!Q12</f>
        <v/>
      </c>
      <c r="C143" s="45" t="str">
        <f>'bloco 02'!R12</f>
        <v/>
      </c>
      <c r="D143" s="45" t="str">
        <f>'bloco 02'!S12</f>
        <v/>
      </c>
      <c r="E143" s="46" t="str">
        <f>IFERROR(('bloco 02'!T12),"")</f>
        <v/>
      </c>
      <c r="F143" s="48" t="str">
        <f>'bloco 02'!U12</f>
        <v/>
      </c>
    </row>
    <row r="144" ht="15.75" customHeight="1">
      <c r="A144" s="13" t="str">
        <f>'bloco 02'!$P13</f>
        <v/>
      </c>
      <c r="B144" s="45" t="str">
        <f>'bloco 02'!Q13</f>
        <v/>
      </c>
      <c r="C144" s="45" t="str">
        <f>'bloco 02'!R13</f>
        <v/>
      </c>
      <c r="D144" s="45" t="str">
        <f>'bloco 02'!S13</f>
        <v/>
      </c>
      <c r="E144" s="46" t="str">
        <f>IFERROR(('bloco 02'!T13),"")</f>
        <v/>
      </c>
      <c r="F144" s="48" t="str">
        <f>'bloco 02'!U13</f>
        <v/>
      </c>
    </row>
    <row r="145" ht="15.75" customHeight="1">
      <c r="A145" s="13" t="str">
        <f>'bloco 02'!$P14</f>
        <v/>
      </c>
      <c r="B145" s="45" t="str">
        <f>'bloco 02'!Q14</f>
        <v/>
      </c>
      <c r="C145" s="45" t="str">
        <f>'bloco 02'!R14</f>
        <v/>
      </c>
      <c r="D145" s="45" t="str">
        <f>'bloco 02'!S14</f>
        <v/>
      </c>
      <c r="E145" s="46" t="str">
        <f>IFERROR(('bloco 02'!T14),"")</f>
        <v/>
      </c>
      <c r="F145" s="48" t="str">
        <f>'bloco 02'!U14</f>
        <v/>
      </c>
    </row>
    <row r="146" ht="15.75" customHeight="1">
      <c r="A146" s="13" t="str">
        <f>'bloco 02'!$P15</f>
        <v/>
      </c>
      <c r="B146" s="45" t="str">
        <f>'bloco 02'!Q15</f>
        <v/>
      </c>
      <c r="C146" s="45" t="str">
        <f>'bloco 02'!R15</f>
        <v/>
      </c>
      <c r="D146" s="45" t="str">
        <f>'bloco 02'!S15</f>
        <v/>
      </c>
      <c r="E146" s="46" t="str">
        <f>IFERROR(('bloco 02'!T15),"")</f>
        <v/>
      </c>
      <c r="F146" s="48" t="str">
        <f>'bloco 02'!U15</f>
        <v/>
      </c>
    </row>
    <row r="147" ht="15.75" customHeight="1">
      <c r="A147" s="28" t="s">
        <v>22</v>
      </c>
    </row>
    <row r="148" ht="15.75" customHeight="1">
      <c r="A148" s="31"/>
      <c r="B148" s="31" t="s">
        <v>13</v>
      </c>
      <c r="C148" s="32" t="s">
        <v>16</v>
      </c>
      <c r="D148" s="32" t="s">
        <v>15</v>
      </c>
      <c r="E148" s="32" t="s">
        <v>21</v>
      </c>
      <c r="F148" s="32" t="s">
        <v>11</v>
      </c>
    </row>
    <row r="149" ht="15.75" customHeight="1">
      <c r="A149" s="13" t="str">
        <f>'bloco 02'!$P21</f>
        <v/>
      </c>
      <c r="B149" s="45" t="str">
        <f>'bloco 02'!Q21</f>
        <v/>
      </c>
      <c r="C149" s="45" t="str">
        <f>'bloco 02'!R21</f>
        <v/>
      </c>
      <c r="D149" s="45" t="str">
        <f>'bloco 02'!S21</f>
        <v/>
      </c>
      <c r="E149" s="46" t="str">
        <f>IFERROR(('bloco 02'!T21),"")</f>
        <v/>
      </c>
      <c r="F149" s="48" t="str">
        <f>'bloco 02'!U21</f>
        <v/>
      </c>
    </row>
    <row r="150" ht="15.75" customHeight="1">
      <c r="A150" s="13" t="str">
        <f>'bloco 02'!$P22</f>
        <v/>
      </c>
      <c r="B150" s="45" t="str">
        <f>'bloco 02'!Q22</f>
        <v/>
      </c>
      <c r="C150" s="45" t="str">
        <f>'bloco 02'!R22</f>
        <v/>
      </c>
      <c r="D150" s="45" t="str">
        <f>'bloco 02'!S22</f>
        <v/>
      </c>
      <c r="E150" s="46" t="str">
        <f>IFERROR(('bloco 02'!T22),"")</f>
        <v/>
      </c>
      <c r="F150" s="48" t="str">
        <f>'bloco 02'!U22</f>
        <v/>
      </c>
    </row>
    <row r="151" ht="15.75" customHeight="1">
      <c r="A151" s="13" t="str">
        <f>'bloco 02'!$P23</f>
        <v/>
      </c>
      <c r="B151" s="45" t="str">
        <f>'bloco 02'!Q23</f>
        <v/>
      </c>
      <c r="C151" s="45" t="str">
        <f>'bloco 02'!R23</f>
        <v/>
      </c>
      <c r="D151" s="45" t="str">
        <f>'bloco 02'!S23</f>
        <v/>
      </c>
      <c r="E151" s="46" t="str">
        <f>IFERROR(('bloco 02'!T23),"")</f>
        <v/>
      </c>
      <c r="F151" s="48" t="str">
        <f>'bloco 02'!U23</f>
        <v/>
      </c>
    </row>
    <row r="152" ht="15.75" customHeight="1">
      <c r="A152" s="13" t="str">
        <f>'bloco 02'!$P24</f>
        <v/>
      </c>
      <c r="B152" s="45" t="str">
        <f>'bloco 02'!Q24</f>
        <v/>
      </c>
      <c r="C152" s="45" t="str">
        <f>'bloco 02'!R24</f>
        <v/>
      </c>
      <c r="D152" s="45" t="str">
        <f>'bloco 02'!S24</f>
        <v/>
      </c>
      <c r="E152" s="46" t="str">
        <f>IFERROR(('bloco 02'!T24),"")</f>
        <v/>
      </c>
      <c r="F152" s="48" t="str">
        <f>'bloco 02'!U24</f>
        <v/>
      </c>
    </row>
    <row r="153" ht="15.75" customHeight="1">
      <c r="A153" s="13" t="str">
        <f>'bloco 02'!$P25</f>
        <v/>
      </c>
      <c r="B153" s="45" t="str">
        <f>'bloco 02'!Q25</f>
        <v/>
      </c>
      <c r="C153" s="45" t="str">
        <f>'bloco 02'!R25</f>
        <v/>
      </c>
      <c r="D153" s="45" t="str">
        <f>'bloco 02'!S25</f>
        <v/>
      </c>
      <c r="E153" s="46" t="str">
        <f>IFERROR(('bloco 02'!T25),"")</f>
        <v/>
      </c>
      <c r="F153" s="48" t="str">
        <f>'bloco 02'!U25</f>
        <v/>
      </c>
    </row>
    <row r="154" ht="15.75" customHeight="1">
      <c r="A154" s="13" t="str">
        <f>'bloco 02'!$P26</f>
        <v/>
      </c>
      <c r="B154" s="45" t="str">
        <f>'bloco 02'!Q26</f>
        <v/>
      </c>
      <c r="C154" s="45" t="str">
        <f>'bloco 02'!R26</f>
        <v/>
      </c>
      <c r="D154" s="45" t="str">
        <f>'bloco 02'!S26</f>
        <v/>
      </c>
      <c r="E154" s="46" t="str">
        <f>IFERROR(('bloco 02'!T26),"")</f>
        <v/>
      </c>
      <c r="F154" s="48" t="str">
        <f>'bloco 02'!U26</f>
        <v/>
      </c>
    </row>
    <row r="155" ht="15.75" customHeight="1">
      <c r="A155" s="13" t="str">
        <f>'bloco 02'!$P27</f>
        <v/>
      </c>
      <c r="B155" s="45" t="str">
        <f>'bloco 02'!Q27</f>
        <v/>
      </c>
      <c r="C155" s="45" t="str">
        <f>'bloco 02'!R27</f>
        <v/>
      </c>
      <c r="D155" s="45" t="str">
        <f>'bloco 02'!S27</f>
        <v/>
      </c>
      <c r="E155" s="46" t="str">
        <f>IFERROR(('bloco 02'!T27),"")</f>
        <v/>
      </c>
      <c r="F155" s="48" t="str">
        <f>'bloco 02'!U27</f>
        <v/>
      </c>
    </row>
    <row r="156" ht="15.75" customHeight="1">
      <c r="A156" s="13" t="str">
        <f>'bloco 02'!$P28</f>
        <v/>
      </c>
      <c r="B156" s="45" t="str">
        <f>'bloco 02'!Q28</f>
        <v/>
      </c>
      <c r="C156" s="45" t="str">
        <f>'bloco 02'!R28</f>
        <v/>
      </c>
      <c r="D156" s="45" t="str">
        <f>'bloco 02'!S28</f>
        <v/>
      </c>
      <c r="E156" s="46" t="str">
        <f>IFERROR(('bloco 02'!T28),"")</f>
        <v/>
      </c>
      <c r="F156" s="48" t="str">
        <f>'bloco 02'!U28</f>
        <v/>
      </c>
    </row>
    <row r="157" ht="15.75" customHeight="1">
      <c r="A157" s="13" t="str">
        <f>'bloco 02'!$P29</f>
        <v/>
      </c>
      <c r="B157" s="45" t="str">
        <f>'bloco 02'!Q29</f>
        <v/>
      </c>
      <c r="C157" s="45" t="str">
        <f>'bloco 02'!R29</f>
        <v/>
      </c>
      <c r="D157" s="45" t="str">
        <f>'bloco 02'!S29</f>
        <v/>
      </c>
      <c r="E157" s="46" t="str">
        <f>IFERROR(('bloco 02'!T29),"")</f>
        <v/>
      </c>
      <c r="F157" s="48" t="str">
        <f>'bloco 02'!U29</f>
        <v/>
      </c>
    </row>
    <row r="158" ht="15.75" customHeight="1">
      <c r="A158" s="13" t="str">
        <f>'bloco 02'!$P30</f>
        <v/>
      </c>
      <c r="B158" s="45" t="str">
        <f>'bloco 02'!Q30</f>
        <v/>
      </c>
      <c r="C158" s="45" t="str">
        <f>'bloco 02'!R30</f>
        <v/>
      </c>
      <c r="D158" s="45" t="str">
        <f>'bloco 02'!S30</f>
        <v/>
      </c>
      <c r="E158" s="46" t="str">
        <f>IFERROR(('bloco 02'!T30),"")</f>
        <v/>
      </c>
      <c r="F158" s="48" t="str">
        <f>'bloco 02'!U30</f>
        <v/>
      </c>
    </row>
    <row r="159" ht="15.75" customHeight="1">
      <c r="A159" s="28" t="s">
        <v>26</v>
      </c>
    </row>
    <row r="160" ht="15.75" customHeight="1">
      <c r="A160" s="31"/>
      <c r="B160" s="31" t="s">
        <v>13</v>
      </c>
      <c r="C160" s="32" t="s">
        <v>16</v>
      </c>
      <c r="D160" s="32" t="s">
        <v>15</v>
      </c>
      <c r="E160" s="32" t="s">
        <v>21</v>
      </c>
      <c r="F160" s="32" t="s">
        <v>11</v>
      </c>
    </row>
    <row r="161" ht="15.75" customHeight="1">
      <c r="A161" s="13" t="str">
        <f>'bloco 02'!$P36</f>
        <v/>
      </c>
      <c r="B161" s="45" t="str">
        <f>'bloco 02'!Q36</f>
        <v/>
      </c>
      <c r="C161" s="45" t="str">
        <f>'bloco 02'!R36</f>
        <v/>
      </c>
      <c r="D161" s="45" t="str">
        <f>'bloco 02'!S36</f>
        <v/>
      </c>
      <c r="E161" s="46" t="str">
        <f>IFERROR(('bloco 02'!T36),"")</f>
        <v/>
      </c>
      <c r="F161" s="48" t="str">
        <f>'bloco 02'!U36</f>
        <v/>
      </c>
    </row>
    <row r="162" ht="15.75" customHeight="1">
      <c r="A162" s="13" t="str">
        <f>'bloco 02'!$P37</f>
        <v/>
      </c>
      <c r="B162" s="45" t="str">
        <f>'bloco 02'!Q37</f>
        <v/>
      </c>
      <c r="C162" s="45" t="str">
        <f>'bloco 02'!R37</f>
        <v/>
      </c>
      <c r="D162" s="45" t="str">
        <f>'bloco 02'!S37</f>
        <v/>
      </c>
      <c r="E162" s="46" t="str">
        <f>IFERROR(('bloco 02'!T37),"")</f>
        <v/>
      </c>
      <c r="F162" s="48" t="str">
        <f>'bloco 02'!U37</f>
        <v/>
      </c>
    </row>
    <row r="163" ht="15.75" customHeight="1">
      <c r="A163" s="13" t="str">
        <f>'bloco 02'!$P38</f>
        <v/>
      </c>
      <c r="B163" s="45" t="str">
        <f>'bloco 02'!Q38</f>
        <v/>
      </c>
      <c r="C163" s="45" t="str">
        <f>'bloco 02'!R38</f>
        <v/>
      </c>
      <c r="D163" s="45" t="str">
        <f>'bloco 02'!S38</f>
        <v/>
      </c>
      <c r="E163" s="46" t="str">
        <f>IFERROR(('bloco 02'!T38),"")</f>
        <v/>
      </c>
      <c r="F163" s="48" t="str">
        <f>'bloco 02'!U38</f>
        <v/>
      </c>
    </row>
    <row r="164" ht="15.75" customHeight="1">
      <c r="A164" s="13" t="str">
        <f>'bloco 02'!$P39</f>
        <v/>
      </c>
      <c r="B164" s="45" t="str">
        <f>'bloco 02'!Q39</f>
        <v/>
      </c>
      <c r="C164" s="45" t="str">
        <f>'bloco 02'!R39</f>
        <v/>
      </c>
      <c r="D164" s="45" t="str">
        <f>'bloco 02'!S39</f>
        <v/>
      </c>
      <c r="E164" s="46" t="str">
        <f>IFERROR(('bloco 02'!T39),"")</f>
        <v/>
      </c>
      <c r="F164" s="48" t="str">
        <f>'bloco 02'!U39</f>
        <v/>
      </c>
    </row>
    <row r="165" ht="15.75" customHeight="1">
      <c r="A165" s="13" t="str">
        <f>'bloco 02'!$P40</f>
        <v/>
      </c>
      <c r="B165" s="45" t="str">
        <f>'bloco 02'!Q40</f>
        <v/>
      </c>
      <c r="C165" s="45" t="str">
        <f>'bloco 02'!R40</f>
        <v/>
      </c>
      <c r="D165" s="45" t="str">
        <f>'bloco 02'!S40</f>
        <v/>
      </c>
      <c r="E165" s="46" t="str">
        <f>IFERROR(('bloco 02'!T40),"")</f>
        <v/>
      </c>
      <c r="F165" s="48" t="str">
        <f>'bloco 02'!U40</f>
        <v/>
      </c>
    </row>
    <row r="166" ht="15.75" customHeight="1">
      <c r="A166" s="13" t="str">
        <f>'bloco 02'!$P41</f>
        <v/>
      </c>
      <c r="B166" s="45" t="str">
        <f>'bloco 02'!Q41</f>
        <v/>
      </c>
      <c r="C166" s="45" t="str">
        <f>'bloco 02'!R41</f>
        <v/>
      </c>
      <c r="D166" s="45" t="str">
        <f>'bloco 02'!S41</f>
        <v/>
      </c>
      <c r="E166" s="46" t="str">
        <f>IFERROR(('bloco 02'!T41),"")</f>
        <v/>
      </c>
      <c r="F166" s="48" t="str">
        <f>'bloco 02'!U41</f>
        <v/>
      </c>
    </row>
    <row r="167" ht="15.75" customHeight="1">
      <c r="A167" s="13" t="str">
        <f>'bloco 02'!$P42</f>
        <v/>
      </c>
      <c r="B167" s="45" t="str">
        <f>'bloco 02'!Q42</f>
        <v/>
      </c>
      <c r="C167" s="45" t="str">
        <f>'bloco 02'!R42</f>
        <v/>
      </c>
      <c r="D167" s="45" t="str">
        <f>'bloco 02'!S42</f>
        <v/>
      </c>
      <c r="E167" s="46" t="str">
        <f>IFERROR(('bloco 02'!T42),"")</f>
        <v/>
      </c>
      <c r="F167" s="48" t="str">
        <f>'bloco 02'!U42</f>
        <v/>
      </c>
    </row>
    <row r="168" ht="15.75" customHeight="1">
      <c r="A168" s="13" t="str">
        <f>'bloco 02'!$P43</f>
        <v/>
      </c>
      <c r="B168" s="45" t="str">
        <f>'bloco 02'!Q43</f>
        <v/>
      </c>
      <c r="C168" s="45" t="str">
        <f>'bloco 02'!R43</f>
        <v/>
      </c>
      <c r="D168" s="45" t="str">
        <f>'bloco 02'!S43</f>
        <v/>
      </c>
      <c r="E168" s="46" t="str">
        <f>IFERROR(('bloco 02'!T43),"")</f>
        <v/>
      </c>
      <c r="F168" s="48" t="str">
        <f>'bloco 02'!U43</f>
        <v/>
      </c>
    </row>
    <row r="169" ht="15.75" customHeight="1">
      <c r="A169" s="13" t="str">
        <f>'bloco 02'!$P44</f>
        <v/>
      </c>
      <c r="B169" s="45" t="str">
        <f>'bloco 02'!Q44</f>
        <v/>
      </c>
      <c r="C169" s="45" t="str">
        <f>'bloco 02'!R44</f>
        <v/>
      </c>
      <c r="D169" s="45" t="str">
        <f>'bloco 02'!S44</f>
        <v/>
      </c>
      <c r="E169" s="46" t="str">
        <f>IFERROR(('bloco 02'!T44),"")</f>
        <v/>
      </c>
      <c r="F169" s="48" t="str">
        <f>'bloco 02'!U44</f>
        <v/>
      </c>
    </row>
    <row r="170" ht="15.75" customHeight="1">
      <c r="A170" s="13" t="str">
        <f>'bloco 02'!$P45</f>
        <v/>
      </c>
      <c r="B170" s="45" t="str">
        <f>'bloco 02'!Q45</f>
        <v/>
      </c>
      <c r="C170" s="45" t="str">
        <f>'bloco 02'!R45</f>
        <v/>
      </c>
      <c r="D170" s="45" t="str">
        <f>'bloco 02'!S45</f>
        <v/>
      </c>
      <c r="E170" s="46" t="str">
        <f>IFERROR(('bloco 02'!T45),"")</f>
        <v/>
      </c>
      <c r="F170" s="48" t="str">
        <f>'bloco 02'!U45</f>
        <v/>
      </c>
    </row>
    <row r="171" ht="15.75" customHeight="1">
      <c r="A171" s="28" t="s">
        <v>27</v>
      </c>
    </row>
    <row r="172" ht="15.75" customHeight="1">
      <c r="A172" s="31"/>
      <c r="B172" s="31" t="s">
        <v>13</v>
      </c>
      <c r="C172" s="32" t="s">
        <v>16</v>
      </c>
      <c r="D172" s="32" t="s">
        <v>15</v>
      </c>
      <c r="E172" s="32" t="s">
        <v>21</v>
      </c>
      <c r="F172" s="32" t="s">
        <v>11</v>
      </c>
    </row>
    <row r="173" ht="15.75" customHeight="1">
      <c r="A173" s="13" t="str">
        <f>'bloco 02'!$P51</f>
        <v/>
      </c>
      <c r="B173" s="45" t="str">
        <f>'bloco 02'!Q51</f>
        <v/>
      </c>
      <c r="C173" s="45" t="str">
        <f>'bloco 02'!R51</f>
        <v/>
      </c>
      <c r="D173" s="45" t="str">
        <f>'bloco 02'!S51</f>
        <v/>
      </c>
      <c r="E173" s="46" t="str">
        <f>IFERROR(('bloco 02'!T51),"")</f>
        <v/>
      </c>
      <c r="F173" s="48" t="str">
        <f>'bloco 02'!U51</f>
        <v/>
      </c>
    </row>
    <row r="174" ht="15.75" customHeight="1">
      <c r="A174" s="13" t="str">
        <f>'bloco 02'!$P52</f>
        <v/>
      </c>
      <c r="B174" s="45" t="str">
        <f>'bloco 02'!Q52</f>
        <v/>
      </c>
      <c r="C174" s="45" t="str">
        <f>'bloco 02'!R52</f>
        <v/>
      </c>
      <c r="D174" s="45" t="str">
        <f>'bloco 02'!S52</f>
        <v/>
      </c>
      <c r="E174" s="46" t="str">
        <f>IFERROR(('bloco 02'!T52),"")</f>
        <v/>
      </c>
      <c r="F174" s="48" t="str">
        <f>'bloco 02'!U52</f>
        <v/>
      </c>
    </row>
    <row r="175" ht="15.75" customHeight="1">
      <c r="A175" s="13" t="str">
        <f>'bloco 02'!$P53</f>
        <v/>
      </c>
      <c r="B175" s="45" t="str">
        <f>'bloco 02'!Q53</f>
        <v/>
      </c>
      <c r="C175" s="45" t="str">
        <f>'bloco 02'!R53</f>
        <v/>
      </c>
      <c r="D175" s="45" t="str">
        <f>'bloco 02'!S53</f>
        <v/>
      </c>
      <c r="E175" s="46" t="str">
        <f>IFERROR(('bloco 02'!T53),"")</f>
        <v/>
      </c>
      <c r="F175" s="48" t="str">
        <f>'bloco 02'!U53</f>
        <v/>
      </c>
    </row>
    <row r="176" ht="15.75" customHeight="1">
      <c r="A176" s="13" t="str">
        <f>'bloco 02'!$P54</f>
        <v/>
      </c>
      <c r="B176" s="45" t="str">
        <f>'bloco 02'!Q54</f>
        <v/>
      </c>
      <c r="C176" s="45" t="str">
        <f>'bloco 02'!R54</f>
        <v/>
      </c>
      <c r="D176" s="45" t="str">
        <f>'bloco 02'!S54</f>
        <v/>
      </c>
      <c r="E176" s="46" t="str">
        <f>IFERROR(('bloco 02'!T54),"")</f>
        <v/>
      </c>
      <c r="F176" s="48" t="str">
        <f>'bloco 02'!U54</f>
        <v/>
      </c>
    </row>
    <row r="177" ht="15.75" customHeight="1">
      <c r="A177" s="13" t="str">
        <f>'bloco 02'!$P55</f>
        <v/>
      </c>
      <c r="B177" s="45" t="str">
        <f>'bloco 02'!Q55</f>
        <v/>
      </c>
      <c r="C177" s="45" t="str">
        <f>'bloco 02'!R55</f>
        <v/>
      </c>
      <c r="D177" s="45" t="str">
        <f>'bloco 02'!S55</f>
        <v/>
      </c>
      <c r="E177" s="46" t="str">
        <f>IFERROR(('bloco 02'!T55),"")</f>
        <v/>
      </c>
      <c r="F177" s="48" t="str">
        <f>'bloco 02'!U55</f>
        <v/>
      </c>
    </row>
    <row r="178" ht="15.75" customHeight="1">
      <c r="A178" s="13" t="str">
        <f>'bloco 02'!$P56</f>
        <v/>
      </c>
      <c r="B178" s="45" t="str">
        <f>'bloco 02'!Q56</f>
        <v/>
      </c>
      <c r="C178" s="45" t="str">
        <f>'bloco 02'!R56</f>
        <v/>
      </c>
      <c r="D178" s="45" t="str">
        <f>'bloco 02'!S56</f>
        <v/>
      </c>
      <c r="E178" s="46" t="str">
        <f>IFERROR(('bloco 02'!T56),"")</f>
        <v/>
      </c>
      <c r="F178" s="48" t="str">
        <f>'bloco 02'!U56</f>
        <v/>
      </c>
    </row>
    <row r="179" ht="15.75" customHeight="1">
      <c r="A179" s="13" t="str">
        <f>'bloco 02'!$P57</f>
        <v/>
      </c>
      <c r="B179" s="45" t="str">
        <f>'bloco 02'!Q57</f>
        <v/>
      </c>
      <c r="C179" s="45" t="str">
        <f>'bloco 02'!R57</f>
        <v/>
      </c>
      <c r="D179" s="45" t="str">
        <f>'bloco 02'!S57</f>
        <v/>
      </c>
      <c r="E179" s="46" t="str">
        <f>IFERROR(('bloco 02'!T57),"")</f>
        <v/>
      </c>
      <c r="F179" s="48" t="str">
        <f>'bloco 02'!U57</f>
        <v/>
      </c>
    </row>
    <row r="180" ht="15.75" customHeight="1">
      <c r="A180" s="13" t="str">
        <f>'bloco 02'!$P58</f>
        <v/>
      </c>
      <c r="B180" s="45" t="str">
        <f>'bloco 02'!Q58</f>
        <v/>
      </c>
      <c r="C180" s="45" t="str">
        <f>'bloco 02'!R58</f>
        <v/>
      </c>
      <c r="D180" s="45" t="str">
        <f>'bloco 02'!S58</f>
        <v/>
      </c>
      <c r="E180" s="46" t="str">
        <f>IFERROR(('bloco 02'!T58),"")</f>
        <v/>
      </c>
      <c r="F180" s="48" t="str">
        <f>'bloco 02'!U58</f>
        <v/>
      </c>
    </row>
    <row r="181" ht="15.75" customHeight="1">
      <c r="A181" s="13" t="str">
        <f>'bloco 02'!$P59</f>
        <v/>
      </c>
      <c r="B181" s="45" t="str">
        <f>'bloco 02'!Q59</f>
        <v/>
      </c>
      <c r="C181" s="45" t="str">
        <f>'bloco 02'!R59</f>
        <v/>
      </c>
      <c r="D181" s="45" t="str">
        <f>'bloco 02'!S59</f>
        <v/>
      </c>
      <c r="E181" s="46" t="str">
        <f>IFERROR(('bloco 02'!T59),"")</f>
        <v/>
      </c>
      <c r="F181" s="48" t="str">
        <f>'bloco 02'!U59</f>
        <v/>
      </c>
    </row>
    <row r="182" ht="15.75" customHeight="1">
      <c r="A182" s="13" t="str">
        <f>'bloco 02'!$P60</f>
        <v/>
      </c>
      <c r="B182" s="45" t="str">
        <f>'bloco 02'!Q60</f>
        <v/>
      </c>
      <c r="C182" s="45" t="str">
        <f>'bloco 02'!R60</f>
        <v/>
      </c>
      <c r="D182" s="45" t="str">
        <f>'bloco 02'!S60</f>
        <v/>
      </c>
      <c r="E182" s="46" t="str">
        <f>IFERROR(('bloco 02'!T60),"")</f>
        <v/>
      </c>
      <c r="F182" s="48" t="str">
        <f>'bloco 02'!U60</f>
        <v/>
      </c>
    </row>
    <row r="183" ht="15.75" customHeight="1">
      <c r="A183" s="45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>
      <c r="A200" s="39">
        <f>'bloco 02'!X3</f>
        <v>46345</v>
      </c>
    </row>
    <row r="201" ht="15.75" customHeight="1">
      <c r="A201" s="40" t="s">
        <v>25</v>
      </c>
    </row>
    <row r="202" ht="15.75" customHeight="1">
      <c r="A202" s="28" t="s">
        <v>5</v>
      </c>
    </row>
    <row r="203" ht="15.75" customHeight="1">
      <c r="A203" s="31"/>
      <c r="B203" s="31" t="s">
        <v>13</v>
      </c>
      <c r="C203" s="32" t="s">
        <v>16</v>
      </c>
      <c r="D203" s="32" t="s">
        <v>15</v>
      </c>
      <c r="E203" s="32" t="s">
        <v>21</v>
      </c>
      <c r="F203" s="32" t="s">
        <v>11</v>
      </c>
    </row>
    <row r="204" ht="15.75" customHeight="1">
      <c r="A204" s="13" t="str">
        <f>'bloco 02'!$W6</f>
        <v/>
      </c>
      <c r="B204" s="45" t="str">
        <f>'bloco 02'!X6</f>
        <v/>
      </c>
      <c r="C204" s="45" t="str">
        <f>'bloco 02'!Y6</f>
        <v/>
      </c>
      <c r="D204" s="45" t="str">
        <f>'bloco 02'!Z6</f>
        <v/>
      </c>
      <c r="E204" s="46" t="str">
        <f>IFERROR(('bloco 02'!AA6),"")</f>
        <v/>
      </c>
      <c r="F204" s="48" t="str">
        <f>'bloco 02'!AB6</f>
        <v/>
      </c>
    </row>
    <row r="205" ht="15.75" customHeight="1">
      <c r="A205" s="13" t="str">
        <f>'bloco 02'!$W7</f>
        <v/>
      </c>
      <c r="B205" s="45" t="str">
        <f>'bloco 02'!X7</f>
        <v/>
      </c>
      <c r="C205" s="45" t="str">
        <f>'bloco 02'!Y7</f>
        <v/>
      </c>
      <c r="D205" s="45" t="str">
        <f>'bloco 02'!Z7</f>
        <v/>
      </c>
      <c r="E205" s="46" t="str">
        <f>IFERROR(('bloco 02'!AA7),"")</f>
        <v/>
      </c>
      <c r="F205" s="48" t="str">
        <f>'bloco 02'!AB7</f>
        <v/>
      </c>
    </row>
    <row r="206" ht="15.75" customHeight="1">
      <c r="A206" s="13" t="str">
        <f>'bloco 02'!$W8</f>
        <v/>
      </c>
      <c r="B206" s="45" t="str">
        <f>'bloco 02'!X8</f>
        <v/>
      </c>
      <c r="C206" s="45" t="str">
        <f>'bloco 02'!Y8</f>
        <v/>
      </c>
      <c r="D206" s="45" t="str">
        <f>'bloco 02'!Z8</f>
        <v/>
      </c>
      <c r="E206" s="46" t="str">
        <f>IFERROR(('bloco 02'!AA8),"")</f>
        <v/>
      </c>
      <c r="F206" s="48" t="str">
        <f>'bloco 02'!AB8</f>
        <v/>
      </c>
    </row>
    <row r="207" ht="15.75" customHeight="1">
      <c r="A207" s="13" t="str">
        <f>'bloco 02'!$W9</f>
        <v/>
      </c>
      <c r="B207" s="45" t="str">
        <f>'bloco 02'!X9</f>
        <v/>
      </c>
      <c r="C207" s="45" t="str">
        <f>'bloco 02'!Y9</f>
        <v/>
      </c>
      <c r="D207" s="45" t="str">
        <f>'bloco 02'!Z9</f>
        <v/>
      </c>
      <c r="E207" s="46" t="str">
        <f>IFERROR(('bloco 02'!AA9),"")</f>
        <v/>
      </c>
      <c r="F207" s="48" t="str">
        <f>'bloco 02'!AB9</f>
        <v/>
      </c>
    </row>
    <row r="208" ht="15.75" customHeight="1">
      <c r="A208" s="13" t="str">
        <f>'bloco 02'!$W10</f>
        <v/>
      </c>
      <c r="B208" s="45" t="str">
        <f>'bloco 02'!X10</f>
        <v/>
      </c>
      <c r="C208" s="45" t="str">
        <f>'bloco 02'!Y10</f>
        <v/>
      </c>
      <c r="D208" s="45" t="str">
        <f>'bloco 02'!Z10</f>
        <v/>
      </c>
      <c r="E208" s="46" t="str">
        <f>IFERROR(('bloco 02'!AA10),"")</f>
        <v/>
      </c>
      <c r="F208" s="48" t="str">
        <f>'bloco 02'!AB10</f>
        <v/>
      </c>
    </row>
    <row r="209" ht="15.75" customHeight="1">
      <c r="A209" s="13" t="str">
        <f>'bloco 02'!$W11</f>
        <v/>
      </c>
      <c r="B209" s="45" t="str">
        <f>'bloco 02'!X11</f>
        <v/>
      </c>
      <c r="C209" s="45" t="str">
        <f>'bloco 02'!Y11</f>
        <v/>
      </c>
      <c r="D209" s="45" t="str">
        <f>'bloco 02'!Z11</f>
        <v/>
      </c>
      <c r="E209" s="46" t="str">
        <f>IFERROR(('bloco 02'!AA11),"")</f>
        <v/>
      </c>
      <c r="F209" s="48" t="str">
        <f>'bloco 02'!AB11</f>
        <v/>
      </c>
    </row>
    <row r="210" ht="15.75" customHeight="1">
      <c r="A210" s="13" t="str">
        <f>'bloco 02'!$W12</f>
        <v/>
      </c>
      <c r="B210" s="45" t="str">
        <f>'bloco 02'!X12</f>
        <v/>
      </c>
      <c r="C210" s="45" t="str">
        <f>'bloco 02'!Y12</f>
        <v/>
      </c>
      <c r="D210" s="45" t="str">
        <f>'bloco 02'!Z12</f>
        <v/>
      </c>
      <c r="E210" s="46" t="str">
        <f>IFERROR(('bloco 02'!AA12),"")</f>
        <v/>
      </c>
      <c r="F210" s="48" t="str">
        <f>'bloco 02'!AB12</f>
        <v/>
      </c>
    </row>
    <row r="211" ht="15.75" customHeight="1">
      <c r="A211" s="13" t="str">
        <f>'bloco 02'!$W13</f>
        <v/>
      </c>
      <c r="B211" s="45" t="str">
        <f>'bloco 02'!X13</f>
        <v/>
      </c>
      <c r="C211" s="45" t="str">
        <f>'bloco 02'!Y13</f>
        <v/>
      </c>
      <c r="D211" s="45" t="str">
        <f>'bloco 02'!Z13</f>
        <v/>
      </c>
      <c r="E211" s="46" t="str">
        <f>IFERROR(('bloco 02'!AA13),"")</f>
        <v/>
      </c>
      <c r="F211" s="48" t="str">
        <f>'bloco 02'!AB13</f>
        <v/>
      </c>
    </row>
    <row r="212" ht="15.75" customHeight="1">
      <c r="A212" s="13" t="str">
        <f>'bloco 02'!$W14</f>
        <v/>
      </c>
      <c r="B212" s="45" t="str">
        <f>'bloco 02'!X14</f>
        <v/>
      </c>
      <c r="C212" s="45" t="str">
        <f>'bloco 02'!Y14</f>
        <v/>
      </c>
      <c r="D212" s="45" t="str">
        <f>'bloco 02'!Z14</f>
        <v/>
      </c>
      <c r="E212" s="46" t="str">
        <f>IFERROR(('bloco 02'!AA14),"")</f>
        <v/>
      </c>
      <c r="F212" s="48" t="str">
        <f>'bloco 02'!AB14</f>
        <v/>
      </c>
    </row>
    <row r="213" ht="15.75" customHeight="1">
      <c r="A213" s="13" t="str">
        <f>'bloco 02'!$W15</f>
        <v/>
      </c>
      <c r="B213" s="45" t="str">
        <f>'bloco 02'!X15</f>
        <v/>
      </c>
      <c r="C213" s="45" t="str">
        <f>'bloco 02'!Y15</f>
        <v/>
      </c>
      <c r="D213" s="45" t="str">
        <f>'bloco 02'!Z15</f>
        <v/>
      </c>
      <c r="E213" s="46" t="str">
        <f>IFERROR(('bloco 02'!AA15),"")</f>
        <v/>
      </c>
      <c r="F213" s="48" t="str">
        <f>'bloco 02'!AB15</f>
        <v/>
      </c>
    </row>
    <row r="214" ht="15.75" customHeight="1">
      <c r="A214" s="28" t="s">
        <v>22</v>
      </c>
    </row>
    <row r="215" ht="15.75" customHeight="1">
      <c r="A215" s="31"/>
      <c r="B215" s="31" t="s">
        <v>13</v>
      </c>
      <c r="C215" s="32" t="s">
        <v>16</v>
      </c>
      <c r="D215" s="32" t="s">
        <v>15</v>
      </c>
      <c r="E215" s="32" t="s">
        <v>21</v>
      </c>
      <c r="F215" s="32" t="s">
        <v>11</v>
      </c>
    </row>
    <row r="216" ht="15.75" customHeight="1">
      <c r="A216" s="13" t="str">
        <f>'bloco 02'!$W21</f>
        <v/>
      </c>
      <c r="B216" s="45" t="str">
        <f>'bloco 02'!X21</f>
        <v/>
      </c>
      <c r="C216" s="45" t="str">
        <f>'bloco 02'!Y21</f>
        <v/>
      </c>
      <c r="D216" s="45" t="str">
        <f>'bloco 02'!Z21</f>
        <v/>
      </c>
      <c r="E216" s="46" t="str">
        <f>IFERROR(('bloco 02'!AA21),"")</f>
        <v/>
      </c>
      <c r="F216" s="48" t="str">
        <f>'bloco 02'!AB21</f>
        <v/>
      </c>
    </row>
    <row r="217" ht="15.75" customHeight="1">
      <c r="A217" s="13" t="str">
        <f>'bloco 02'!$W22</f>
        <v/>
      </c>
      <c r="B217" s="45" t="str">
        <f>'bloco 02'!X22</f>
        <v/>
      </c>
      <c r="C217" s="45" t="str">
        <f>'bloco 02'!Y22</f>
        <v/>
      </c>
      <c r="D217" s="45" t="str">
        <f>'bloco 02'!Z22</f>
        <v/>
      </c>
      <c r="E217" s="46" t="str">
        <f>IFERROR(('bloco 02'!AA22),"")</f>
        <v/>
      </c>
      <c r="F217" s="48" t="str">
        <f>'bloco 02'!AB22</f>
        <v/>
      </c>
    </row>
    <row r="218" ht="15.75" customHeight="1">
      <c r="A218" s="13" t="str">
        <f>'bloco 02'!$W23</f>
        <v/>
      </c>
      <c r="B218" s="45" t="str">
        <f>'bloco 02'!X23</f>
        <v/>
      </c>
      <c r="C218" s="45" t="str">
        <f>'bloco 02'!Y23</f>
        <v/>
      </c>
      <c r="D218" s="45" t="str">
        <f>'bloco 02'!Z23</f>
        <v/>
      </c>
      <c r="E218" s="46" t="str">
        <f>IFERROR(('bloco 02'!AA23),"")</f>
        <v/>
      </c>
      <c r="F218" s="48" t="str">
        <f>'bloco 02'!AB23</f>
        <v/>
      </c>
    </row>
    <row r="219" ht="15.75" customHeight="1">
      <c r="A219" s="13" t="str">
        <f>'bloco 02'!$W24</f>
        <v/>
      </c>
      <c r="B219" s="45" t="str">
        <f>'bloco 02'!X24</f>
        <v/>
      </c>
      <c r="C219" s="45" t="str">
        <f>'bloco 02'!Y24</f>
        <v/>
      </c>
      <c r="D219" s="45" t="str">
        <f>'bloco 02'!Z24</f>
        <v/>
      </c>
      <c r="E219" s="46" t="str">
        <f>IFERROR(('bloco 02'!AA24),"")</f>
        <v/>
      </c>
      <c r="F219" s="48" t="str">
        <f>'bloco 02'!AB24</f>
        <v/>
      </c>
    </row>
    <row r="220" ht="15.75" customHeight="1">
      <c r="A220" s="13" t="str">
        <f>'bloco 02'!$W25</f>
        <v/>
      </c>
      <c r="B220" s="45" t="str">
        <f>'bloco 02'!X25</f>
        <v/>
      </c>
      <c r="C220" s="45" t="str">
        <f>'bloco 02'!Y25</f>
        <v/>
      </c>
      <c r="D220" s="45" t="str">
        <f>'bloco 02'!Z25</f>
        <v/>
      </c>
      <c r="E220" s="46" t="str">
        <f>IFERROR(('bloco 02'!AA25),"")</f>
        <v/>
      </c>
      <c r="F220" s="48" t="str">
        <f>'bloco 02'!AB25</f>
        <v/>
      </c>
    </row>
    <row r="221" ht="15.75" customHeight="1">
      <c r="A221" s="13" t="str">
        <f>'bloco 02'!$W26</f>
        <v/>
      </c>
      <c r="B221" s="45" t="str">
        <f>'bloco 02'!X26</f>
        <v/>
      </c>
      <c r="C221" s="45" t="str">
        <f>'bloco 02'!Y26</f>
        <v/>
      </c>
      <c r="D221" s="45" t="str">
        <f>'bloco 02'!Z26</f>
        <v/>
      </c>
      <c r="E221" s="46" t="str">
        <f>IFERROR(('bloco 02'!AA26),"")</f>
        <v/>
      </c>
      <c r="F221" s="48" t="str">
        <f>'bloco 02'!AB26</f>
        <v/>
      </c>
    </row>
    <row r="222" ht="15.75" customHeight="1">
      <c r="A222" s="13" t="str">
        <f>'bloco 02'!$W27</f>
        <v/>
      </c>
      <c r="B222" s="45" t="str">
        <f>'bloco 02'!X27</f>
        <v/>
      </c>
      <c r="C222" s="45" t="str">
        <f>'bloco 02'!Y27</f>
        <v/>
      </c>
      <c r="D222" s="45" t="str">
        <f>'bloco 02'!Z27</f>
        <v/>
      </c>
      <c r="E222" s="46" t="str">
        <f>IFERROR(('bloco 02'!AA27),"")</f>
        <v/>
      </c>
      <c r="F222" s="48" t="str">
        <f>'bloco 02'!AB27</f>
        <v/>
      </c>
    </row>
    <row r="223" ht="15.75" customHeight="1">
      <c r="A223" s="13" t="str">
        <f>'bloco 02'!$W28</f>
        <v/>
      </c>
      <c r="B223" s="45" t="str">
        <f>'bloco 02'!X28</f>
        <v/>
      </c>
      <c r="C223" s="45" t="str">
        <f>'bloco 02'!Y28</f>
        <v/>
      </c>
      <c r="D223" s="45" t="str">
        <f>'bloco 02'!Z28</f>
        <v/>
      </c>
      <c r="E223" s="46" t="str">
        <f>IFERROR(('bloco 02'!AA28),"")</f>
        <v/>
      </c>
      <c r="F223" s="48" t="str">
        <f>'bloco 02'!AB28</f>
        <v/>
      </c>
    </row>
    <row r="224" ht="15.75" customHeight="1">
      <c r="A224" s="13" t="str">
        <f>'bloco 02'!$W29</f>
        <v/>
      </c>
      <c r="B224" s="45" t="str">
        <f>'bloco 02'!X29</f>
        <v/>
      </c>
      <c r="C224" s="45" t="str">
        <f>'bloco 02'!Y29</f>
        <v/>
      </c>
      <c r="D224" s="45" t="str">
        <f>'bloco 02'!Z29</f>
        <v/>
      </c>
      <c r="E224" s="46" t="str">
        <f>IFERROR(('bloco 02'!AA29),"")</f>
        <v/>
      </c>
      <c r="F224" s="48" t="str">
        <f>'bloco 02'!AB29</f>
        <v/>
      </c>
    </row>
    <row r="225" ht="15.75" customHeight="1">
      <c r="A225" s="13" t="str">
        <f>'bloco 02'!$W30</f>
        <v/>
      </c>
      <c r="B225" s="45" t="str">
        <f>'bloco 02'!X30</f>
        <v/>
      </c>
      <c r="C225" s="45" t="str">
        <f>'bloco 02'!Y30</f>
        <v/>
      </c>
      <c r="D225" s="45" t="str">
        <f>'bloco 02'!Z30</f>
        <v/>
      </c>
      <c r="E225" s="46" t="str">
        <f>IFERROR(('bloco 02'!AA30),"")</f>
        <v/>
      </c>
      <c r="F225" s="48" t="str">
        <f>'bloco 02'!AB30</f>
        <v/>
      </c>
    </row>
    <row r="226" ht="15.75" customHeight="1">
      <c r="A226" s="28" t="s">
        <v>26</v>
      </c>
    </row>
    <row r="227" ht="15.75" customHeight="1">
      <c r="A227" s="31"/>
      <c r="B227" s="31" t="s">
        <v>13</v>
      </c>
      <c r="C227" s="32" t="s">
        <v>16</v>
      </c>
      <c r="D227" s="32" t="s">
        <v>15</v>
      </c>
      <c r="E227" s="32" t="s">
        <v>21</v>
      </c>
      <c r="F227" s="32" t="s">
        <v>11</v>
      </c>
    </row>
    <row r="228" ht="15.75" customHeight="1">
      <c r="A228" s="13" t="str">
        <f>'bloco 02'!$W36</f>
        <v/>
      </c>
      <c r="B228" s="45" t="str">
        <f>'bloco 02'!X36</f>
        <v/>
      </c>
      <c r="C228" s="45" t="str">
        <f>'bloco 02'!Y36</f>
        <v/>
      </c>
      <c r="D228" s="45" t="str">
        <f>'bloco 02'!Z36</f>
        <v/>
      </c>
      <c r="E228" s="46" t="str">
        <f>IFERROR(('bloco 02'!AA36),"")</f>
        <v/>
      </c>
      <c r="F228" s="48" t="str">
        <f>'bloco 02'!AB36</f>
        <v/>
      </c>
    </row>
    <row r="229" ht="15.75" customHeight="1">
      <c r="A229" s="13" t="str">
        <f>'bloco 02'!$W37</f>
        <v/>
      </c>
      <c r="B229" s="45" t="str">
        <f>'bloco 02'!X37</f>
        <v/>
      </c>
      <c r="C229" s="45" t="str">
        <f>'bloco 02'!Y37</f>
        <v/>
      </c>
      <c r="D229" s="45" t="str">
        <f>'bloco 02'!Z37</f>
        <v/>
      </c>
      <c r="E229" s="46" t="str">
        <f>IFERROR(('bloco 02'!AA37),"")</f>
        <v/>
      </c>
      <c r="F229" s="48" t="str">
        <f>'bloco 02'!AB37</f>
        <v/>
      </c>
    </row>
    <row r="230" ht="15.75" customHeight="1">
      <c r="A230" s="13" t="str">
        <f>'bloco 02'!$W38</f>
        <v/>
      </c>
      <c r="B230" s="45" t="str">
        <f>'bloco 02'!X38</f>
        <v/>
      </c>
      <c r="C230" s="45" t="str">
        <f>'bloco 02'!Y38</f>
        <v/>
      </c>
      <c r="D230" s="45" t="str">
        <f>'bloco 02'!Z38</f>
        <v/>
      </c>
      <c r="E230" s="46" t="str">
        <f>IFERROR(('bloco 02'!AA38),"")</f>
        <v/>
      </c>
      <c r="F230" s="48" t="str">
        <f>'bloco 02'!AB38</f>
        <v/>
      </c>
    </row>
    <row r="231" ht="15.75" customHeight="1">
      <c r="A231" s="13" t="str">
        <f>'bloco 02'!$W39</f>
        <v/>
      </c>
      <c r="B231" s="45" t="str">
        <f>'bloco 02'!X39</f>
        <v/>
      </c>
      <c r="C231" s="45" t="str">
        <f>'bloco 02'!Y39</f>
        <v/>
      </c>
      <c r="D231" s="45" t="str">
        <f>'bloco 02'!Z39</f>
        <v/>
      </c>
      <c r="E231" s="46" t="str">
        <f>IFERROR(('bloco 02'!AA39),"")</f>
        <v/>
      </c>
      <c r="F231" s="48" t="str">
        <f>'bloco 02'!AB39</f>
        <v/>
      </c>
    </row>
    <row r="232" ht="15.75" customHeight="1">
      <c r="A232" s="13" t="str">
        <f>'bloco 02'!$W40</f>
        <v/>
      </c>
      <c r="B232" s="45" t="str">
        <f>'bloco 02'!X40</f>
        <v/>
      </c>
      <c r="C232" s="45" t="str">
        <f>'bloco 02'!Y40</f>
        <v/>
      </c>
      <c r="D232" s="45" t="str">
        <f>'bloco 02'!Z40</f>
        <v/>
      </c>
      <c r="E232" s="46" t="str">
        <f>IFERROR(('bloco 02'!AA40),"")</f>
        <v/>
      </c>
      <c r="F232" s="48" t="str">
        <f>'bloco 02'!AB40</f>
        <v/>
      </c>
    </row>
    <row r="233" ht="15.75" customHeight="1">
      <c r="A233" s="13" t="str">
        <f>'bloco 02'!$W41</f>
        <v/>
      </c>
      <c r="B233" s="45" t="str">
        <f>'bloco 02'!X41</f>
        <v/>
      </c>
      <c r="C233" s="45" t="str">
        <f>'bloco 02'!Y41</f>
        <v/>
      </c>
      <c r="D233" s="45" t="str">
        <f>'bloco 02'!Z41</f>
        <v/>
      </c>
      <c r="E233" s="46" t="str">
        <f>IFERROR(('bloco 02'!AA41),"")</f>
        <v/>
      </c>
      <c r="F233" s="48" t="str">
        <f>'bloco 02'!AB41</f>
        <v/>
      </c>
    </row>
    <row r="234" ht="15.75" customHeight="1">
      <c r="A234" s="13" t="str">
        <f>'bloco 02'!$W42</f>
        <v/>
      </c>
      <c r="B234" s="45" t="str">
        <f>'bloco 02'!X42</f>
        <v/>
      </c>
      <c r="C234" s="45" t="str">
        <f>'bloco 02'!Y42</f>
        <v/>
      </c>
      <c r="D234" s="45" t="str">
        <f>'bloco 02'!Z42</f>
        <v/>
      </c>
      <c r="E234" s="46" t="str">
        <f>IFERROR(('bloco 02'!AA42),"")</f>
        <v/>
      </c>
      <c r="F234" s="48" t="str">
        <f>'bloco 02'!AB42</f>
        <v/>
      </c>
    </row>
    <row r="235" ht="15.75" customHeight="1">
      <c r="A235" s="13" t="str">
        <f>'bloco 02'!$W43</f>
        <v/>
      </c>
      <c r="B235" s="45" t="str">
        <f>'bloco 02'!X43</f>
        <v/>
      </c>
      <c r="C235" s="45" t="str">
        <f>'bloco 02'!Y43</f>
        <v/>
      </c>
      <c r="D235" s="45" t="str">
        <f>'bloco 02'!Z43</f>
        <v/>
      </c>
      <c r="E235" s="46" t="str">
        <f>IFERROR(('bloco 02'!AA43),"")</f>
        <v/>
      </c>
      <c r="F235" s="48" t="str">
        <f>'bloco 02'!AB43</f>
        <v/>
      </c>
    </row>
    <row r="236" ht="15.75" customHeight="1">
      <c r="A236" s="13" t="str">
        <f>'bloco 02'!$W44</f>
        <v/>
      </c>
      <c r="B236" s="45" t="str">
        <f>'bloco 02'!X44</f>
        <v/>
      </c>
      <c r="C236" s="45" t="str">
        <f>'bloco 02'!Y44</f>
        <v/>
      </c>
      <c r="D236" s="45" t="str">
        <f>'bloco 02'!Z44</f>
        <v/>
      </c>
      <c r="E236" s="46" t="str">
        <f>IFERROR(('bloco 02'!AA44),"")</f>
        <v/>
      </c>
      <c r="F236" s="48" t="str">
        <f>'bloco 02'!AB44</f>
        <v/>
      </c>
    </row>
    <row r="237" ht="15.75" customHeight="1">
      <c r="A237" s="13" t="str">
        <f>'bloco 02'!$W45</f>
        <v/>
      </c>
      <c r="B237" s="45" t="str">
        <f>'bloco 02'!X45</f>
        <v/>
      </c>
      <c r="C237" s="45" t="str">
        <f>'bloco 02'!Y45</f>
        <v/>
      </c>
      <c r="D237" s="45" t="str">
        <f>'bloco 02'!Z45</f>
        <v/>
      </c>
      <c r="E237" s="46" t="str">
        <f>IFERROR(('bloco 02'!AA45),"")</f>
        <v/>
      </c>
      <c r="F237" s="48" t="str">
        <f>'bloco 02'!AB45</f>
        <v/>
      </c>
    </row>
    <row r="238" ht="15.75" customHeight="1">
      <c r="A238" s="28" t="s">
        <v>27</v>
      </c>
    </row>
    <row r="239" ht="15.75" customHeight="1">
      <c r="A239" s="31"/>
      <c r="B239" s="31" t="s">
        <v>13</v>
      </c>
      <c r="C239" s="32" t="s">
        <v>16</v>
      </c>
      <c r="D239" s="32" t="s">
        <v>15</v>
      </c>
      <c r="E239" s="32" t="s">
        <v>21</v>
      </c>
      <c r="F239" s="32" t="s">
        <v>11</v>
      </c>
    </row>
    <row r="240" ht="15.75" customHeight="1">
      <c r="A240" s="13" t="str">
        <f>'bloco 02'!$W51</f>
        <v/>
      </c>
      <c r="B240" s="45" t="str">
        <f>'bloco 02'!X51</f>
        <v/>
      </c>
      <c r="C240" s="45" t="str">
        <f>'bloco 02'!Y51</f>
        <v/>
      </c>
      <c r="D240" s="45" t="str">
        <f>'bloco 02'!Z51</f>
        <v/>
      </c>
      <c r="E240" s="46" t="str">
        <f>IFERROR(('bloco 02'!AA51),"")</f>
        <v/>
      </c>
      <c r="F240" s="48" t="str">
        <f>'bloco 02'!AB51</f>
        <v/>
      </c>
    </row>
    <row r="241" ht="15.75" customHeight="1">
      <c r="A241" s="13" t="str">
        <f>'bloco 02'!$W52</f>
        <v/>
      </c>
      <c r="B241" s="45" t="str">
        <f>'bloco 02'!X52</f>
        <v/>
      </c>
      <c r="C241" s="45" t="str">
        <f>'bloco 02'!Y52</f>
        <v/>
      </c>
      <c r="D241" s="45" t="str">
        <f>'bloco 02'!Z52</f>
        <v/>
      </c>
      <c r="E241" s="46" t="str">
        <f>IFERROR(('bloco 02'!AA52),"")</f>
        <v/>
      </c>
      <c r="F241" s="48" t="str">
        <f>'bloco 02'!AB52</f>
        <v/>
      </c>
    </row>
    <row r="242" ht="15.75" customHeight="1">
      <c r="A242" s="13" t="str">
        <f>'bloco 02'!$W53</f>
        <v/>
      </c>
      <c r="B242" s="45" t="str">
        <f>'bloco 02'!X53</f>
        <v/>
      </c>
      <c r="C242" s="45" t="str">
        <f>'bloco 02'!Y53</f>
        <v/>
      </c>
      <c r="D242" s="45" t="str">
        <f>'bloco 02'!Z53</f>
        <v/>
      </c>
      <c r="E242" s="46" t="str">
        <f>IFERROR(('bloco 02'!AA53),"")</f>
        <v/>
      </c>
      <c r="F242" s="48" t="str">
        <f>'bloco 02'!AB53</f>
        <v/>
      </c>
    </row>
    <row r="243" ht="15.75" customHeight="1">
      <c r="A243" s="13" t="str">
        <f>'bloco 02'!$W54</f>
        <v/>
      </c>
      <c r="B243" s="45" t="str">
        <f>'bloco 02'!X54</f>
        <v/>
      </c>
      <c r="C243" s="45" t="str">
        <f>'bloco 02'!Y54</f>
        <v/>
      </c>
      <c r="D243" s="45" t="str">
        <f>'bloco 02'!Z54</f>
        <v/>
      </c>
      <c r="E243" s="46" t="str">
        <f>IFERROR(('bloco 02'!AA54),"")</f>
        <v/>
      </c>
      <c r="F243" s="48" t="str">
        <f>'bloco 02'!AB54</f>
        <v/>
      </c>
    </row>
    <row r="244" ht="15.75" customHeight="1">
      <c r="A244" s="13" t="str">
        <f>'bloco 02'!$W55</f>
        <v/>
      </c>
      <c r="B244" s="45" t="str">
        <f>'bloco 02'!X55</f>
        <v/>
      </c>
      <c r="C244" s="45" t="str">
        <f>'bloco 02'!Y55</f>
        <v/>
      </c>
      <c r="D244" s="45" t="str">
        <f>'bloco 02'!Z55</f>
        <v/>
      </c>
      <c r="E244" s="46" t="str">
        <f>IFERROR(('bloco 02'!AA55),"")</f>
        <v/>
      </c>
      <c r="F244" s="48" t="str">
        <f>'bloco 02'!AB55</f>
        <v/>
      </c>
    </row>
    <row r="245" ht="15.75" customHeight="1">
      <c r="A245" s="13" t="str">
        <f>'bloco 02'!$W56</f>
        <v/>
      </c>
      <c r="B245" s="45" t="str">
        <f>'bloco 02'!X56</f>
        <v/>
      </c>
      <c r="C245" s="45" t="str">
        <f>'bloco 02'!Y56</f>
        <v/>
      </c>
      <c r="D245" s="45" t="str">
        <f>'bloco 02'!Z56</f>
        <v/>
      </c>
      <c r="E245" s="46" t="str">
        <f>IFERROR(('bloco 02'!AA56),"")</f>
        <v/>
      </c>
      <c r="F245" s="48" t="str">
        <f>'bloco 02'!AB56</f>
        <v/>
      </c>
    </row>
    <row r="246" ht="15.75" customHeight="1">
      <c r="A246" s="13" t="str">
        <f>'bloco 02'!$W57</f>
        <v/>
      </c>
      <c r="B246" s="45" t="str">
        <f>'bloco 02'!X57</f>
        <v/>
      </c>
      <c r="C246" s="45" t="str">
        <f>'bloco 02'!Y57</f>
        <v/>
      </c>
      <c r="D246" s="45" t="str">
        <f>'bloco 02'!Z57</f>
        <v/>
      </c>
      <c r="E246" s="46" t="str">
        <f>IFERROR(('bloco 02'!AA57),"")</f>
        <v/>
      </c>
      <c r="F246" s="48" t="str">
        <f>'bloco 02'!AB57</f>
        <v/>
      </c>
    </row>
    <row r="247" ht="15.75" customHeight="1">
      <c r="A247" s="13" t="str">
        <f>'bloco 02'!$W58</f>
        <v/>
      </c>
      <c r="B247" s="45" t="str">
        <f>'bloco 02'!X58</f>
        <v/>
      </c>
      <c r="C247" s="45" t="str">
        <f>'bloco 02'!Y58</f>
        <v/>
      </c>
      <c r="D247" s="45" t="str">
        <f>'bloco 02'!Z58</f>
        <v/>
      </c>
      <c r="E247" s="46" t="str">
        <f>IFERROR(('bloco 02'!AA58),"")</f>
        <v/>
      </c>
      <c r="F247" s="48" t="str">
        <f>'bloco 02'!AB58</f>
        <v/>
      </c>
    </row>
    <row r="248" ht="15.75" customHeight="1">
      <c r="A248" s="13" t="str">
        <f>'bloco 02'!$W59</f>
        <v/>
      </c>
      <c r="B248" s="45" t="str">
        <f>'bloco 02'!X59</f>
        <v/>
      </c>
      <c r="C248" s="45" t="str">
        <f>'bloco 02'!Y59</f>
        <v/>
      </c>
      <c r="D248" s="45" t="str">
        <f>'bloco 02'!Z59</f>
        <v/>
      </c>
      <c r="E248" s="46" t="str">
        <f>IFERROR(('bloco 02'!AA59),"")</f>
        <v/>
      </c>
      <c r="F248" s="48" t="str">
        <f>'bloco 02'!AB59</f>
        <v/>
      </c>
    </row>
    <row r="249" ht="15.75" customHeight="1">
      <c r="A249" s="13" t="str">
        <f>'bloco 02'!$W60</f>
        <v/>
      </c>
      <c r="B249" s="45" t="str">
        <f>'bloco 02'!X60</f>
        <v/>
      </c>
      <c r="C249" s="45" t="str">
        <f>'bloco 02'!Y60</f>
        <v/>
      </c>
      <c r="D249" s="45" t="str">
        <f>'bloco 02'!Z60</f>
        <v/>
      </c>
      <c r="E249" s="46" t="str">
        <f>IFERROR(('bloco 02'!AA60),"")</f>
        <v/>
      </c>
      <c r="F249" s="48" t="str">
        <f>'bloco 02'!AB60</f>
        <v/>
      </c>
    </row>
    <row r="250" ht="15.75" customHeight="1">
      <c r="A250" s="45"/>
    </row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>
      <c r="A354" s="11"/>
      <c r="B354" s="11"/>
      <c r="C354" s="11"/>
      <c r="D354" s="11"/>
      <c r="E354" s="11"/>
      <c r="F354" s="11"/>
      <c r="G354" s="11"/>
    </row>
    <row r="355" ht="15.75" customHeight="1">
      <c r="A355" s="11"/>
      <c r="B355" s="11"/>
      <c r="C355" s="11"/>
      <c r="D355" s="11"/>
      <c r="E355" s="11"/>
      <c r="F355" s="11"/>
      <c r="G355" s="11"/>
    </row>
    <row r="356" ht="15.75" customHeight="1">
      <c r="A356" s="11"/>
      <c r="B356" s="11"/>
      <c r="C356" s="11"/>
      <c r="D356" s="11"/>
      <c r="E356" s="11"/>
      <c r="F356" s="11"/>
      <c r="G356" s="11"/>
    </row>
    <row r="357" ht="15.75" customHeight="1">
      <c r="A357" s="11"/>
      <c r="B357" s="11"/>
      <c r="C357" s="11"/>
      <c r="D357" s="11"/>
      <c r="E357" s="11"/>
      <c r="F357" s="11"/>
      <c r="G357" s="11"/>
    </row>
    <row r="358" ht="15.75" customHeight="1">
      <c r="A358" s="11"/>
      <c r="B358" s="11"/>
      <c r="C358" s="11"/>
      <c r="D358" s="11"/>
      <c r="E358" s="11"/>
      <c r="F358" s="11"/>
      <c r="G358" s="11"/>
    </row>
    <row r="359" ht="15.75" customHeight="1">
      <c r="A359" s="11"/>
      <c r="B359" s="11"/>
      <c r="C359" s="11"/>
      <c r="D359" s="11"/>
      <c r="E359" s="11"/>
      <c r="F359" s="11"/>
      <c r="G359" s="11"/>
    </row>
    <row r="360" ht="15.75" customHeight="1">
      <c r="A360" s="11"/>
      <c r="B360" s="11"/>
      <c r="C360" s="11"/>
      <c r="D360" s="11"/>
      <c r="E360" s="11"/>
      <c r="F360" s="11"/>
      <c r="G360" s="11"/>
    </row>
    <row r="361" ht="15.75" customHeight="1">
      <c r="A361" s="11"/>
      <c r="B361" s="11"/>
      <c r="C361" s="11"/>
      <c r="D361" s="11"/>
      <c r="E361" s="11"/>
      <c r="F361" s="11"/>
      <c r="G361" s="11"/>
    </row>
    <row r="362" ht="15.75" customHeight="1">
      <c r="A362" s="11"/>
      <c r="B362" s="11"/>
      <c r="C362" s="11"/>
      <c r="D362" s="11"/>
      <c r="E362" s="11"/>
      <c r="F362" s="11"/>
      <c r="G362" s="11"/>
    </row>
    <row r="363" ht="15.75" customHeight="1">
      <c r="A363" s="11"/>
      <c r="B363" s="11"/>
      <c r="C363" s="11"/>
      <c r="D363" s="11"/>
      <c r="E363" s="11"/>
      <c r="F363" s="11"/>
      <c r="G363" s="11"/>
    </row>
    <row r="364" ht="15.75" customHeight="1">
      <c r="A364" s="11"/>
      <c r="B364" s="11"/>
      <c r="C364" s="11"/>
      <c r="D364" s="11"/>
      <c r="E364" s="11"/>
      <c r="F364" s="11"/>
      <c r="G364" s="11"/>
    </row>
    <row r="365" ht="15.75" customHeight="1">
      <c r="A365" s="11"/>
      <c r="B365" s="11"/>
      <c r="C365" s="11"/>
      <c r="D365" s="11"/>
      <c r="E365" s="11"/>
      <c r="F365" s="11"/>
      <c r="G365" s="11"/>
    </row>
    <row r="366" ht="15.75" customHeight="1">
      <c r="A366" s="11"/>
      <c r="B366" s="11"/>
      <c r="C366" s="11"/>
      <c r="D366" s="11"/>
      <c r="E366" s="11"/>
      <c r="F366" s="11"/>
      <c r="G366" s="11"/>
    </row>
    <row r="367" ht="15.75" customHeight="1">
      <c r="A367" s="11"/>
      <c r="B367" s="11"/>
      <c r="C367" s="11"/>
      <c r="D367" s="11"/>
      <c r="E367" s="11"/>
      <c r="F367" s="11"/>
      <c r="G367" s="11"/>
    </row>
    <row r="368" ht="15.75" customHeight="1">
      <c r="A368" s="11"/>
      <c r="B368" s="11"/>
      <c r="C368" s="11"/>
      <c r="D368" s="11"/>
      <c r="E368" s="11"/>
      <c r="F368" s="11"/>
      <c r="G368" s="11"/>
    </row>
    <row r="369" ht="15.75" customHeight="1">
      <c r="A369" s="11"/>
      <c r="B369" s="11"/>
      <c r="C369" s="11"/>
      <c r="D369" s="11"/>
      <c r="E369" s="11"/>
      <c r="F369" s="11"/>
      <c r="G369" s="11"/>
    </row>
    <row r="370" ht="15.75" customHeight="1">
      <c r="A370" s="11"/>
      <c r="B370" s="11"/>
      <c r="C370" s="11"/>
      <c r="D370" s="11"/>
      <c r="E370" s="11"/>
      <c r="F370" s="11"/>
      <c r="G370" s="11"/>
    </row>
    <row r="371" ht="15.75" customHeight="1">
      <c r="A371" s="11"/>
      <c r="B371" s="11"/>
      <c r="C371" s="11"/>
      <c r="D371" s="11"/>
      <c r="E371" s="11"/>
      <c r="F371" s="11"/>
      <c r="G371" s="11"/>
    </row>
    <row r="372" ht="15.75" customHeight="1">
      <c r="A372" s="11"/>
      <c r="B372" s="11"/>
      <c r="C372" s="11"/>
      <c r="D372" s="11"/>
      <c r="E372" s="11"/>
      <c r="F372" s="11"/>
      <c r="G372" s="11"/>
    </row>
    <row r="373" ht="15.75" customHeight="1">
      <c r="A373" s="11"/>
      <c r="B373" s="11"/>
      <c r="C373" s="11"/>
      <c r="D373" s="11"/>
      <c r="E373" s="11"/>
      <c r="F373" s="11"/>
      <c r="G373" s="11"/>
    </row>
    <row r="374" ht="15.75" customHeight="1">
      <c r="A374" s="11"/>
      <c r="B374" s="11"/>
      <c r="C374" s="11"/>
      <c r="D374" s="11"/>
      <c r="E374" s="11"/>
      <c r="F374" s="11"/>
      <c r="G374" s="11"/>
    </row>
    <row r="375" ht="15.75" customHeight="1">
      <c r="A375" s="11"/>
      <c r="B375" s="11"/>
      <c r="C375" s="11"/>
      <c r="D375" s="11"/>
      <c r="E375" s="11"/>
      <c r="F375" s="11"/>
      <c r="G375" s="11"/>
    </row>
    <row r="376" ht="15.75" customHeight="1">
      <c r="A376" s="11"/>
      <c r="B376" s="11"/>
      <c r="C376" s="11"/>
      <c r="D376" s="11"/>
      <c r="E376" s="11"/>
      <c r="F376" s="11"/>
      <c r="G376" s="11"/>
    </row>
    <row r="377" ht="15.75" customHeight="1">
      <c r="A377" s="11"/>
      <c r="B377" s="11"/>
      <c r="C377" s="11"/>
      <c r="D377" s="11"/>
      <c r="E377" s="11"/>
      <c r="F377" s="11"/>
      <c r="G377" s="11"/>
    </row>
    <row r="378" ht="15.75" customHeight="1">
      <c r="A378" s="11"/>
      <c r="B378" s="11"/>
      <c r="C378" s="11"/>
      <c r="D378" s="11"/>
      <c r="E378" s="11"/>
      <c r="F378" s="11"/>
      <c r="G378" s="11"/>
    </row>
    <row r="379" ht="15.75" customHeight="1">
      <c r="A379" s="11"/>
      <c r="B379" s="11"/>
      <c r="C379" s="11"/>
      <c r="D379" s="11"/>
      <c r="E379" s="11"/>
      <c r="F379" s="11"/>
      <c r="G379" s="11"/>
    </row>
    <row r="380" ht="15.75" customHeight="1">
      <c r="A380" s="11"/>
      <c r="B380" s="11"/>
      <c r="C380" s="11"/>
      <c r="D380" s="11"/>
      <c r="E380" s="11"/>
      <c r="F380" s="11"/>
      <c r="G380" s="11"/>
    </row>
    <row r="381" ht="15.75" customHeight="1">
      <c r="A381" s="11"/>
      <c r="B381" s="11"/>
      <c r="C381" s="11"/>
      <c r="D381" s="11"/>
      <c r="E381" s="11"/>
      <c r="F381" s="11"/>
      <c r="G381" s="11"/>
    </row>
    <row r="382" ht="15.75" customHeight="1">
      <c r="A382" s="11"/>
      <c r="B382" s="11"/>
      <c r="C382" s="11"/>
      <c r="D382" s="11"/>
      <c r="E382" s="11"/>
      <c r="F382" s="11"/>
      <c r="G382" s="11"/>
    </row>
    <row r="383" ht="15.75" customHeight="1">
      <c r="A383" s="11"/>
      <c r="B383" s="11"/>
      <c r="C383" s="11"/>
      <c r="D383" s="11"/>
      <c r="E383" s="11"/>
      <c r="F383" s="11"/>
      <c r="G383" s="11"/>
    </row>
    <row r="384" ht="15.75" customHeight="1">
      <c r="A384" s="11"/>
      <c r="B384" s="11"/>
      <c r="C384" s="11"/>
      <c r="D384" s="11"/>
      <c r="E384" s="11"/>
      <c r="F384" s="11"/>
      <c r="G384" s="11"/>
    </row>
    <row r="385" ht="15.75" customHeight="1">
      <c r="A385" s="11"/>
      <c r="B385" s="11"/>
      <c r="C385" s="11"/>
      <c r="D385" s="11"/>
      <c r="E385" s="11"/>
      <c r="F385" s="11"/>
      <c r="G385" s="11"/>
    </row>
    <row r="386" ht="15.75" customHeight="1">
      <c r="A386" s="11"/>
      <c r="B386" s="11"/>
      <c r="C386" s="11"/>
      <c r="D386" s="11"/>
      <c r="E386" s="11"/>
      <c r="F386" s="11"/>
      <c r="G386" s="11"/>
    </row>
    <row r="387" ht="15.75" customHeight="1">
      <c r="A387" s="11"/>
      <c r="B387" s="11"/>
      <c r="C387" s="11"/>
      <c r="D387" s="11"/>
      <c r="E387" s="11"/>
      <c r="F387" s="11"/>
      <c r="G387" s="11"/>
    </row>
    <row r="388" ht="15.75" customHeight="1">
      <c r="A388" s="11"/>
      <c r="B388" s="11"/>
      <c r="C388" s="11"/>
      <c r="D388" s="11"/>
      <c r="E388" s="11"/>
      <c r="F388" s="11"/>
      <c r="G388" s="11"/>
    </row>
    <row r="389" ht="15.75" customHeight="1">
      <c r="A389" s="11"/>
      <c r="B389" s="11"/>
      <c r="C389" s="11"/>
      <c r="D389" s="11"/>
      <c r="E389" s="11"/>
      <c r="F389" s="11"/>
      <c r="G389" s="11"/>
    </row>
    <row r="390" ht="15.75" customHeight="1">
      <c r="A390" s="11"/>
      <c r="B390" s="11"/>
      <c r="C390" s="11"/>
      <c r="D390" s="11"/>
      <c r="E390" s="11"/>
      <c r="F390" s="11"/>
      <c r="G390" s="11"/>
    </row>
    <row r="391" ht="15.75" customHeight="1">
      <c r="A391" s="11"/>
      <c r="B391" s="11"/>
      <c r="C391" s="11"/>
      <c r="D391" s="11"/>
      <c r="E391" s="11"/>
      <c r="F391" s="11"/>
      <c r="G391" s="11"/>
    </row>
    <row r="392" ht="15.75" customHeight="1">
      <c r="A392" s="11"/>
      <c r="B392" s="11"/>
      <c r="C392" s="11"/>
      <c r="D392" s="11"/>
      <c r="E392" s="11"/>
      <c r="F392" s="11"/>
      <c r="G392" s="11"/>
    </row>
    <row r="393" ht="15.75" customHeight="1">
      <c r="A393" s="11"/>
      <c r="B393" s="11"/>
      <c r="C393" s="11"/>
      <c r="D393" s="11"/>
      <c r="E393" s="11"/>
      <c r="F393" s="11"/>
      <c r="G393" s="11"/>
    </row>
    <row r="394" ht="15.75" customHeight="1">
      <c r="A394" s="11"/>
      <c r="B394" s="11"/>
      <c r="C394" s="11"/>
      <c r="D394" s="11"/>
      <c r="E394" s="11"/>
      <c r="F394" s="11"/>
      <c r="G394" s="11"/>
    </row>
    <row r="395" ht="15.75" customHeight="1">
      <c r="A395" s="11"/>
      <c r="B395" s="11"/>
      <c r="C395" s="11"/>
      <c r="D395" s="11"/>
      <c r="E395" s="11"/>
      <c r="F395" s="11"/>
      <c r="G395" s="11"/>
    </row>
    <row r="396" ht="15.75" customHeight="1">
      <c r="A396" s="11"/>
      <c r="B396" s="11"/>
      <c r="C396" s="11"/>
      <c r="D396" s="11"/>
      <c r="E396" s="11"/>
      <c r="F396" s="11"/>
      <c r="G396" s="11"/>
    </row>
    <row r="397" ht="15.75" customHeight="1">
      <c r="A397" s="11"/>
      <c r="B397" s="11"/>
      <c r="C397" s="11"/>
      <c r="D397" s="11"/>
      <c r="E397" s="11"/>
      <c r="F397" s="11"/>
      <c r="G397" s="11"/>
    </row>
    <row r="398" ht="15.75" customHeight="1">
      <c r="A398" s="11"/>
      <c r="B398" s="11"/>
      <c r="C398" s="11"/>
      <c r="D398" s="11"/>
      <c r="E398" s="11"/>
      <c r="F398" s="11"/>
      <c r="G398" s="11"/>
    </row>
    <row r="399" ht="15.75" customHeight="1">
      <c r="A399" s="11"/>
      <c r="B399" s="11"/>
      <c r="C399" s="11"/>
      <c r="D399" s="11"/>
      <c r="E399" s="11"/>
      <c r="F399" s="11"/>
      <c r="G399" s="11"/>
    </row>
    <row r="400" ht="15.75" customHeight="1">
      <c r="A400" s="11"/>
      <c r="B400" s="11"/>
      <c r="C400" s="11"/>
      <c r="D400" s="11"/>
      <c r="E400" s="11"/>
      <c r="F400" s="11"/>
      <c r="G400" s="11"/>
    </row>
    <row r="401" ht="15.75" customHeight="1">
      <c r="A401" s="11"/>
      <c r="B401" s="11"/>
      <c r="C401" s="11"/>
      <c r="D401" s="11"/>
      <c r="E401" s="11"/>
      <c r="F401" s="11"/>
      <c r="G401" s="11"/>
    </row>
    <row r="402" ht="15.75" customHeight="1">
      <c r="A402" s="11"/>
      <c r="B402" s="11"/>
      <c r="C402" s="11"/>
      <c r="D402" s="11"/>
      <c r="E402" s="11"/>
      <c r="F402" s="11"/>
      <c r="G402" s="11"/>
    </row>
    <row r="403" ht="15.75" customHeight="1">
      <c r="A403" s="11"/>
      <c r="B403" s="11"/>
      <c r="C403" s="11"/>
      <c r="D403" s="11"/>
      <c r="E403" s="11"/>
      <c r="F403" s="11"/>
      <c r="G403" s="11"/>
    </row>
    <row r="404" ht="15.75" customHeight="1">
      <c r="A404" s="11"/>
      <c r="B404" s="11"/>
      <c r="C404" s="11"/>
      <c r="D404" s="11"/>
      <c r="E404" s="11"/>
      <c r="F404" s="11"/>
      <c r="G404" s="11"/>
    </row>
    <row r="405" ht="15.75" customHeight="1">
      <c r="A405" s="11"/>
      <c r="B405" s="11"/>
      <c r="C405" s="11"/>
      <c r="D405" s="11"/>
      <c r="E405" s="11"/>
      <c r="F405" s="11"/>
      <c r="G405" s="11"/>
    </row>
    <row r="406" ht="15.75" customHeight="1">
      <c r="A406" s="11"/>
      <c r="B406" s="11"/>
      <c r="C406" s="11"/>
      <c r="D406" s="11"/>
      <c r="E406" s="11"/>
      <c r="F406" s="11"/>
      <c r="G406" s="11"/>
    </row>
    <row r="407" ht="15.75" customHeight="1">
      <c r="A407" s="11"/>
      <c r="B407" s="11"/>
      <c r="C407" s="11"/>
      <c r="D407" s="11"/>
      <c r="E407" s="11"/>
      <c r="F407" s="11"/>
      <c r="G407" s="11"/>
    </row>
    <row r="408" ht="15.75" customHeight="1">
      <c r="A408" s="11"/>
      <c r="B408" s="11"/>
      <c r="C408" s="11"/>
      <c r="D408" s="11"/>
      <c r="E408" s="11"/>
      <c r="F408" s="11"/>
      <c r="G408" s="11"/>
    </row>
    <row r="409" ht="15.75" customHeight="1">
      <c r="A409" s="11"/>
      <c r="B409" s="11"/>
      <c r="C409" s="11"/>
      <c r="D409" s="11"/>
      <c r="E409" s="11"/>
      <c r="F409" s="11"/>
      <c r="G409" s="11"/>
    </row>
    <row r="410" ht="15.75" customHeight="1">
      <c r="A410" s="11"/>
      <c r="B410" s="11"/>
      <c r="C410" s="11"/>
      <c r="D410" s="11"/>
      <c r="E410" s="11"/>
      <c r="F410" s="11"/>
      <c r="G410" s="11"/>
    </row>
    <row r="411" ht="15.75" customHeight="1">
      <c r="A411" s="11"/>
      <c r="B411" s="11"/>
      <c r="C411" s="11"/>
      <c r="D411" s="11"/>
      <c r="E411" s="11"/>
      <c r="F411" s="11"/>
      <c r="G411" s="11"/>
    </row>
    <row r="412" ht="15.75" customHeight="1">
      <c r="A412" s="11"/>
      <c r="B412" s="11"/>
      <c r="C412" s="11"/>
      <c r="D412" s="11"/>
      <c r="E412" s="11"/>
      <c r="F412" s="11"/>
      <c r="G412" s="11"/>
    </row>
    <row r="413" ht="15.75" customHeight="1">
      <c r="A413" s="11"/>
      <c r="B413" s="11"/>
      <c r="C413" s="11"/>
      <c r="D413" s="11"/>
      <c r="E413" s="11"/>
      <c r="F413" s="11"/>
      <c r="G413" s="11"/>
    </row>
    <row r="414" ht="15.75" customHeight="1">
      <c r="A414" s="11"/>
      <c r="B414" s="11"/>
      <c r="C414" s="11"/>
      <c r="D414" s="11"/>
      <c r="E414" s="11"/>
      <c r="F414" s="11"/>
      <c r="G414" s="11"/>
    </row>
    <row r="415" ht="15.75" customHeight="1">
      <c r="A415" s="11"/>
      <c r="B415" s="11"/>
      <c r="C415" s="11"/>
      <c r="D415" s="11"/>
      <c r="E415" s="11"/>
      <c r="F415" s="11"/>
      <c r="G415" s="11"/>
    </row>
    <row r="416" ht="15.75" customHeight="1">
      <c r="A416" s="11"/>
      <c r="B416" s="11"/>
      <c r="C416" s="11"/>
      <c r="D416" s="11"/>
      <c r="E416" s="11"/>
      <c r="F416" s="11"/>
      <c r="G416" s="11"/>
    </row>
    <row r="417" ht="15.75" customHeight="1">
      <c r="A417" s="11"/>
      <c r="B417" s="11"/>
      <c r="C417" s="11"/>
      <c r="D417" s="11"/>
      <c r="E417" s="11"/>
      <c r="F417" s="11"/>
      <c r="G417" s="11"/>
    </row>
    <row r="418" ht="15.75" customHeight="1">
      <c r="A418" s="11"/>
      <c r="B418" s="11"/>
      <c r="C418" s="11"/>
      <c r="D418" s="11"/>
      <c r="E418" s="11"/>
      <c r="F418" s="11"/>
      <c r="G418" s="11"/>
    </row>
    <row r="419" ht="15.75" customHeight="1">
      <c r="A419" s="11"/>
      <c r="B419" s="11"/>
      <c r="C419" s="11"/>
      <c r="D419" s="11"/>
      <c r="E419" s="11"/>
      <c r="F419" s="11"/>
      <c r="G419" s="11"/>
    </row>
    <row r="420" ht="15.75" customHeight="1">
      <c r="A420" s="11"/>
      <c r="B420" s="11"/>
      <c r="C420" s="11"/>
      <c r="D420" s="11"/>
      <c r="E420" s="11"/>
      <c r="F420" s="11"/>
      <c r="G420" s="11"/>
    </row>
    <row r="421" ht="15.75" customHeight="1">
      <c r="A421" s="11"/>
      <c r="B421" s="11"/>
      <c r="C421" s="11"/>
      <c r="D421" s="11"/>
      <c r="E421" s="11"/>
      <c r="F421" s="11"/>
      <c r="G421" s="11"/>
    </row>
    <row r="422" ht="15.75" customHeight="1">
      <c r="A422" s="11"/>
      <c r="B422" s="11"/>
      <c r="C422" s="11"/>
      <c r="D422" s="11"/>
      <c r="E422" s="11"/>
      <c r="F422" s="11"/>
      <c r="G422" s="11"/>
    </row>
    <row r="423" ht="15.75" customHeight="1">
      <c r="A423" s="11"/>
      <c r="B423" s="11"/>
      <c r="C423" s="11"/>
      <c r="D423" s="11"/>
      <c r="E423" s="11"/>
      <c r="F423" s="11"/>
      <c r="G423" s="11"/>
    </row>
    <row r="424" ht="15.75" customHeight="1">
      <c r="A424" s="11"/>
      <c r="B424" s="11"/>
      <c r="C424" s="11"/>
      <c r="D424" s="11"/>
      <c r="E424" s="11"/>
      <c r="F424" s="11"/>
      <c r="G424" s="11"/>
    </row>
    <row r="425" ht="15.75" customHeight="1">
      <c r="A425" s="11"/>
      <c r="B425" s="11"/>
      <c r="C425" s="11"/>
      <c r="D425" s="11"/>
      <c r="E425" s="11"/>
      <c r="F425" s="11"/>
      <c r="G425" s="11"/>
    </row>
    <row r="426" ht="15.75" customHeight="1">
      <c r="A426" s="11"/>
      <c r="B426" s="11"/>
      <c r="C426" s="11"/>
      <c r="D426" s="11"/>
      <c r="E426" s="11"/>
      <c r="F426" s="11"/>
      <c r="G426" s="11"/>
    </row>
    <row r="427" ht="15.75" customHeight="1">
      <c r="A427" s="11"/>
      <c r="B427" s="11"/>
      <c r="C427" s="11"/>
      <c r="D427" s="11"/>
      <c r="E427" s="11"/>
      <c r="F427" s="11"/>
      <c r="G427" s="11"/>
    </row>
    <row r="428" ht="15.75" customHeight="1">
      <c r="A428" s="11"/>
      <c r="B428" s="11"/>
      <c r="C428" s="11"/>
      <c r="D428" s="11"/>
      <c r="E428" s="11"/>
      <c r="F428" s="11"/>
      <c r="G428" s="11"/>
    </row>
    <row r="429" ht="15.75" customHeight="1">
      <c r="A429" s="11"/>
      <c r="B429" s="11"/>
      <c r="C429" s="11"/>
      <c r="D429" s="11"/>
      <c r="E429" s="11"/>
      <c r="F429" s="11"/>
      <c r="G429" s="11"/>
    </row>
    <row r="430" ht="15.75" customHeight="1">
      <c r="A430" s="11"/>
      <c r="B430" s="11"/>
      <c r="C430" s="11"/>
      <c r="D430" s="11"/>
      <c r="E430" s="11"/>
      <c r="F430" s="11"/>
      <c r="G430" s="11"/>
    </row>
    <row r="431" ht="15.75" customHeight="1">
      <c r="A431" s="11"/>
      <c r="B431" s="11"/>
      <c r="C431" s="11"/>
      <c r="D431" s="11"/>
      <c r="E431" s="11"/>
      <c r="F431" s="11"/>
      <c r="G431" s="11"/>
    </row>
    <row r="432" ht="15.75" customHeight="1">
      <c r="A432" s="11"/>
      <c r="B432" s="11"/>
      <c r="C432" s="11"/>
      <c r="D432" s="11"/>
      <c r="E432" s="11"/>
      <c r="F432" s="11"/>
      <c r="G432" s="11"/>
    </row>
    <row r="433" ht="15.75" customHeight="1">
      <c r="A433" s="11"/>
      <c r="B433" s="11"/>
      <c r="C433" s="11"/>
      <c r="D433" s="11"/>
      <c r="E433" s="11"/>
      <c r="F433" s="11"/>
      <c r="G433" s="11"/>
    </row>
    <row r="434" ht="15.75" customHeight="1">
      <c r="A434" s="11"/>
      <c r="B434" s="11"/>
      <c r="C434" s="11"/>
      <c r="D434" s="11"/>
      <c r="E434" s="11"/>
      <c r="F434" s="11"/>
      <c r="G434" s="11"/>
    </row>
    <row r="435" ht="15.75" customHeight="1">
      <c r="A435" s="11"/>
      <c r="B435" s="11"/>
      <c r="C435" s="11"/>
      <c r="D435" s="11"/>
      <c r="E435" s="11"/>
      <c r="F435" s="11"/>
      <c r="G435" s="11"/>
    </row>
    <row r="436" ht="15.75" customHeight="1">
      <c r="A436" s="11"/>
      <c r="B436" s="11"/>
      <c r="C436" s="11"/>
      <c r="D436" s="11"/>
      <c r="E436" s="11"/>
      <c r="F436" s="11"/>
      <c r="G436" s="11"/>
    </row>
    <row r="437" ht="15.75" customHeight="1">
      <c r="A437" s="11"/>
      <c r="B437" s="11"/>
      <c r="C437" s="11"/>
      <c r="D437" s="11"/>
      <c r="E437" s="11"/>
      <c r="F437" s="11"/>
      <c r="G437" s="11"/>
    </row>
    <row r="438" ht="15.75" customHeight="1">
      <c r="A438" s="11"/>
      <c r="B438" s="11"/>
      <c r="C438" s="11"/>
      <c r="D438" s="11"/>
      <c r="E438" s="11"/>
      <c r="F438" s="11"/>
      <c r="G438" s="11"/>
    </row>
    <row r="439" ht="15.75" customHeight="1">
      <c r="A439" s="11"/>
      <c r="B439" s="11"/>
      <c r="C439" s="11"/>
      <c r="D439" s="11"/>
      <c r="E439" s="11"/>
      <c r="F439" s="11"/>
      <c r="G439" s="11"/>
    </row>
    <row r="440" ht="15.75" customHeight="1">
      <c r="A440" s="11"/>
      <c r="B440" s="11"/>
      <c r="C440" s="11"/>
      <c r="D440" s="11"/>
      <c r="E440" s="11"/>
      <c r="F440" s="11"/>
      <c r="G440" s="11"/>
    </row>
    <row r="441" ht="15.75" customHeight="1">
      <c r="A441" s="11"/>
      <c r="B441" s="11"/>
      <c r="C441" s="11"/>
      <c r="D441" s="11"/>
      <c r="E441" s="11"/>
      <c r="F441" s="11"/>
      <c r="G441" s="11"/>
    </row>
    <row r="442" ht="15.75" customHeight="1">
      <c r="A442" s="11"/>
      <c r="B442" s="11"/>
      <c r="C442" s="11"/>
      <c r="D442" s="11"/>
      <c r="E442" s="11"/>
      <c r="F442" s="11"/>
      <c r="G442" s="11"/>
    </row>
    <row r="443" ht="15.75" customHeight="1">
      <c r="A443" s="11"/>
      <c r="B443" s="11"/>
      <c r="C443" s="11"/>
      <c r="D443" s="11"/>
      <c r="E443" s="11"/>
      <c r="F443" s="11"/>
      <c r="G443" s="11"/>
    </row>
    <row r="444" ht="15.75" customHeight="1">
      <c r="A444" s="11"/>
      <c r="B444" s="11"/>
      <c r="C444" s="11"/>
      <c r="D444" s="11"/>
      <c r="E444" s="11"/>
      <c r="F444" s="11"/>
      <c r="G444" s="11"/>
    </row>
    <row r="445" ht="15.75" customHeight="1">
      <c r="A445" s="11"/>
      <c r="B445" s="11"/>
      <c r="C445" s="11"/>
      <c r="D445" s="11"/>
      <c r="E445" s="11"/>
      <c r="F445" s="11"/>
      <c r="G445" s="11"/>
    </row>
    <row r="446" ht="15.75" customHeight="1">
      <c r="A446" s="11"/>
      <c r="B446" s="11"/>
      <c r="C446" s="11"/>
      <c r="D446" s="11"/>
      <c r="E446" s="11"/>
      <c r="F446" s="11"/>
      <c r="G446" s="11"/>
    </row>
    <row r="447" ht="15.75" customHeight="1">
      <c r="A447" s="11"/>
      <c r="B447" s="11"/>
      <c r="C447" s="11"/>
      <c r="D447" s="11"/>
      <c r="E447" s="11"/>
      <c r="F447" s="11"/>
      <c r="G447" s="11"/>
    </row>
    <row r="448" ht="15.75" customHeight="1">
      <c r="A448" s="11"/>
      <c r="B448" s="11"/>
      <c r="C448" s="11"/>
      <c r="D448" s="11"/>
      <c r="E448" s="11"/>
      <c r="F448" s="11"/>
      <c r="G448" s="11"/>
    </row>
    <row r="449" ht="15.75" customHeight="1">
      <c r="A449" s="11"/>
      <c r="B449" s="11"/>
      <c r="C449" s="11"/>
      <c r="D449" s="11"/>
      <c r="E449" s="11"/>
      <c r="F449" s="11"/>
      <c r="G449" s="11"/>
    </row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4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A54:G54"/>
    <mergeCell ref="F96:G96"/>
    <mergeCell ref="F97:G97"/>
    <mergeCell ref="F98:G98"/>
    <mergeCell ref="F99:G99"/>
    <mergeCell ref="F100:G100"/>
    <mergeCell ref="F101:G101"/>
    <mergeCell ref="F102:G102"/>
    <mergeCell ref="F112:G112"/>
    <mergeCell ref="F113:G113"/>
    <mergeCell ref="F114:G114"/>
    <mergeCell ref="F115:G115"/>
    <mergeCell ref="F105:G105"/>
    <mergeCell ref="F106:G106"/>
    <mergeCell ref="F107:G107"/>
    <mergeCell ref="F108:G108"/>
    <mergeCell ref="F109:G109"/>
    <mergeCell ref="F110:G110"/>
    <mergeCell ref="F111:G111"/>
    <mergeCell ref="F53:G53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A66:G66"/>
    <mergeCell ref="A67:G67"/>
    <mergeCell ref="A68:G68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A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A92:G92"/>
    <mergeCell ref="F93:G93"/>
    <mergeCell ref="F94:G94"/>
    <mergeCell ref="F95:G95"/>
    <mergeCell ref="F103:G103"/>
    <mergeCell ref="A104:G104"/>
    <mergeCell ref="A116:G132"/>
    <mergeCell ref="A133:G133"/>
    <mergeCell ref="A134:G134"/>
    <mergeCell ref="A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A147:G147"/>
    <mergeCell ref="F148:G148"/>
    <mergeCell ref="F149:G149"/>
    <mergeCell ref="F150:G150"/>
    <mergeCell ref="F158:G158"/>
    <mergeCell ref="A159:G159"/>
    <mergeCell ref="F151:G151"/>
    <mergeCell ref="F152:G152"/>
    <mergeCell ref="F153:G153"/>
    <mergeCell ref="F154:G154"/>
    <mergeCell ref="F155:G155"/>
    <mergeCell ref="F156:G156"/>
    <mergeCell ref="F157:G157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A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248:G248"/>
    <mergeCell ref="F249:G249"/>
    <mergeCell ref="A250:G266"/>
    <mergeCell ref="F241:G241"/>
    <mergeCell ref="F242:G242"/>
    <mergeCell ref="F243:G243"/>
    <mergeCell ref="F244:G244"/>
    <mergeCell ref="F245:G245"/>
    <mergeCell ref="F246:G246"/>
    <mergeCell ref="F247:G247"/>
    <mergeCell ref="F181:G181"/>
    <mergeCell ref="F182:G182"/>
    <mergeCell ref="A183:G199"/>
    <mergeCell ref="A200:G200"/>
    <mergeCell ref="A201:G201"/>
    <mergeCell ref="A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A214:G214"/>
    <mergeCell ref="F215:G215"/>
    <mergeCell ref="F216:G216"/>
    <mergeCell ref="F217:G217"/>
    <mergeCell ref="F225:G225"/>
    <mergeCell ref="A226:G226"/>
    <mergeCell ref="F218:G218"/>
    <mergeCell ref="F219:G219"/>
    <mergeCell ref="F220:G220"/>
    <mergeCell ref="F221:G221"/>
    <mergeCell ref="F222:G222"/>
    <mergeCell ref="F223:G223"/>
    <mergeCell ref="F224:G224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A238:G238"/>
    <mergeCell ref="F239:G239"/>
    <mergeCell ref="F240:G240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1</v>
      </c>
      <c r="B1" s="2"/>
      <c r="C1" s="3"/>
      <c r="D1" s="4"/>
      <c r="E1" s="5"/>
      <c r="F1" s="5"/>
      <c r="G1" s="6"/>
      <c r="H1" s="7"/>
      <c r="I1" s="2"/>
      <c r="J1" s="5"/>
      <c r="K1" s="5"/>
      <c r="L1" s="5"/>
      <c r="M1" s="1"/>
      <c r="N1" s="6"/>
      <c r="O1" s="1"/>
      <c r="P1" s="2"/>
      <c r="Q1" s="5"/>
      <c r="R1" s="5"/>
      <c r="S1" s="5"/>
      <c r="T1" s="5"/>
      <c r="U1" s="6"/>
      <c r="V1" s="1"/>
      <c r="W1" s="2"/>
      <c r="X1" s="5"/>
      <c r="Y1" s="5"/>
      <c r="Z1" s="5"/>
      <c r="AA1" s="5"/>
      <c r="AB1" s="5"/>
      <c r="AC1" s="5"/>
    </row>
    <row r="2" ht="15.75" customHeight="1">
      <c r="A2" s="12"/>
      <c r="B2" s="12"/>
      <c r="C2" s="12"/>
      <c r="D2" s="12"/>
      <c r="H2" s="12"/>
      <c r="I2" s="12"/>
      <c r="J2" s="12"/>
      <c r="K2" s="12"/>
      <c r="O2" s="12"/>
      <c r="P2" s="12"/>
      <c r="Q2" s="12"/>
      <c r="R2" s="12"/>
      <c r="V2" s="12"/>
      <c r="W2" s="12"/>
      <c r="X2" s="12"/>
      <c r="Y2" s="12"/>
      <c r="AC2" s="12"/>
    </row>
    <row r="3" ht="15.75" customHeight="1">
      <c r="A3" s="2" t="s">
        <v>5</v>
      </c>
      <c r="B3" s="20"/>
      <c r="C3" s="27">
        <f>macro!F6</f>
        <v>46324</v>
      </c>
      <c r="H3" s="29"/>
      <c r="I3" s="20"/>
      <c r="J3" s="4">
        <f>C3+7</f>
        <v>46331</v>
      </c>
      <c r="O3" s="29"/>
      <c r="P3" s="20"/>
      <c r="Q3" s="27">
        <f>J3+7</f>
        <v>46338</v>
      </c>
      <c r="V3" s="29"/>
      <c r="W3" s="20"/>
      <c r="X3" s="27">
        <f>Q3+7</f>
        <v>46345</v>
      </c>
      <c r="AC3" s="12"/>
    </row>
    <row r="4" ht="15.75" customHeight="1">
      <c r="A4" s="2"/>
      <c r="B4" s="2"/>
      <c r="C4" s="5" t="s">
        <v>13</v>
      </c>
      <c r="D4" s="5" t="s">
        <v>16</v>
      </c>
      <c r="E4" s="5" t="s">
        <v>15</v>
      </c>
      <c r="F4" s="5" t="s">
        <v>17</v>
      </c>
      <c r="G4" s="5" t="s">
        <v>11</v>
      </c>
      <c r="H4" s="29"/>
      <c r="I4" s="2"/>
      <c r="J4" s="5" t="s">
        <v>13</v>
      </c>
      <c r="K4" s="5" t="s">
        <v>16</v>
      </c>
      <c r="L4" s="5" t="s">
        <v>15</v>
      </c>
      <c r="M4" s="5" t="s">
        <v>17</v>
      </c>
      <c r="N4" s="5" t="s">
        <v>11</v>
      </c>
      <c r="O4" s="29"/>
      <c r="P4" s="2"/>
      <c r="Q4" s="5" t="s">
        <v>13</v>
      </c>
      <c r="R4" s="5" t="s">
        <v>16</v>
      </c>
      <c r="S4" s="5" t="s">
        <v>15</v>
      </c>
      <c r="T4" s="5" t="s">
        <v>17</v>
      </c>
      <c r="U4" s="5" t="s">
        <v>11</v>
      </c>
      <c r="V4" s="29"/>
      <c r="W4" s="2"/>
      <c r="X4" s="5" t="s">
        <v>13</v>
      </c>
      <c r="Y4" s="5" t="s">
        <v>16</v>
      </c>
      <c r="Z4" s="5" t="s">
        <v>15</v>
      </c>
      <c r="AA4" s="5" t="s">
        <v>17</v>
      </c>
      <c r="AB4" s="5" t="s">
        <v>11</v>
      </c>
      <c r="AC4" s="29"/>
    </row>
    <row r="5" ht="15.75" customHeight="1">
      <c r="A5" s="2"/>
      <c r="B5" s="2" t="s">
        <v>18</v>
      </c>
      <c r="C5" s="38"/>
      <c r="D5" s="5"/>
      <c r="E5" s="5"/>
      <c r="F5" s="5" t="s">
        <v>19</v>
      </c>
      <c r="G5" s="5"/>
      <c r="H5" s="29"/>
      <c r="I5" s="2" t="s">
        <v>18</v>
      </c>
      <c r="J5" s="38"/>
      <c r="K5" s="5"/>
      <c r="L5" s="5"/>
      <c r="M5" s="5" t="s">
        <v>19</v>
      </c>
      <c r="N5" s="5"/>
      <c r="O5" s="29"/>
      <c r="P5" s="2" t="s">
        <v>18</v>
      </c>
      <c r="Q5" s="38"/>
      <c r="R5" s="5"/>
      <c r="S5" s="5"/>
      <c r="T5" s="5" t="s">
        <v>19</v>
      </c>
      <c r="U5" s="5"/>
      <c r="V5" s="29"/>
      <c r="W5" s="2" t="s">
        <v>18</v>
      </c>
      <c r="X5" s="38"/>
      <c r="Y5" s="5"/>
      <c r="Z5" s="5"/>
      <c r="AA5" s="5" t="s">
        <v>19</v>
      </c>
      <c r="AB5" s="5"/>
      <c r="AC5" s="29"/>
    </row>
    <row r="6" ht="15.75" customHeight="1">
      <c r="A6" s="41"/>
      <c r="B6" s="42"/>
      <c r="C6" s="43"/>
      <c r="D6" s="43"/>
      <c r="E6" s="44"/>
      <c r="F6" s="46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prs!$A$18:$D$24,
4,
FALSE
)
,"""")"),"")</f>
        <v/>
      </c>
      <c r="G6" s="46"/>
      <c r="H6" s="47"/>
      <c r="I6" s="42"/>
      <c r="J6" s="43"/>
      <c r="K6" s="43"/>
      <c r="L6" s="44"/>
      <c r="M6" s="46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prs!$A$18:$D$24,
4,
FALSE
)
,"""")"),"")</f>
        <v/>
      </c>
      <c r="N6" s="46"/>
      <c r="O6" s="49"/>
      <c r="P6" s="42"/>
      <c r="Q6" s="43"/>
      <c r="R6" s="43"/>
      <c r="S6" s="44"/>
      <c r="T6" s="46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prs!$A$18:$D$24,
4,
FALSE
)
,"""")"),"")</f>
        <v/>
      </c>
      <c r="U6" s="46"/>
      <c r="V6" s="49"/>
      <c r="W6" s="42"/>
      <c r="X6" s="43"/>
      <c r="Y6" s="43"/>
      <c r="Z6" s="44"/>
      <c r="AA6" s="46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prs!$A$18:$D$24,
4,
FALSE
)
,"""")"),"")</f>
        <v/>
      </c>
      <c r="AB6" s="46"/>
      <c r="AC6" s="41"/>
    </row>
    <row r="7" ht="15.75" customHeight="1">
      <c r="A7" s="41"/>
      <c r="B7" s="42"/>
      <c r="C7" s="43"/>
      <c r="D7" s="43"/>
      <c r="E7" s="44"/>
      <c r="F7" s="46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prs!$A$18:$D$24,
4,
FALSE
)
,"""")"),"")</f>
        <v/>
      </c>
      <c r="G7" s="46"/>
      <c r="H7" s="47"/>
      <c r="I7" s="42"/>
      <c r="J7" s="43"/>
      <c r="K7" s="43"/>
      <c r="L7" s="44"/>
      <c r="M7" s="46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prs!$A$18:$D$24,
4,
FALSE
)
,"""")"),"")</f>
        <v/>
      </c>
      <c r="N7" s="46"/>
      <c r="O7" s="49"/>
      <c r="P7" s="42"/>
      <c r="Q7" s="43"/>
      <c r="R7" s="43"/>
      <c r="S7" s="44"/>
      <c r="T7" s="46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prs!$A$18:$D$24,
4,
FALSE
)
,"""")"),"")</f>
        <v/>
      </c>
      <c r="U7" s="46"/>
      <c r="V7" s="49"/>
      <c r="W7" s="42"/>
      <c r="X7" s="43"/>
      <c r="Y7" s="43"/>
      <c r="Z7" s="44"/>
      <c r="AA7" s="46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prs!$A$18:$D$24,
4,
FALSE
)
,"""")"),"")</f>
        <v/>
      </c>
      <c r="AB7" s="46"/>
      <c r="AC7" s="41"/>
    </row>
    <row r="8" ht="15.75" customHeight="1">
      <c r="A8" s="41"/>
      <c r="B8" s="42"/>
      <c r="C8" s="43"/>
      <c r="D8" s="43"/>
      <c r="E8" s="44"/>
      <c r="F8" s="46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prs!$A$18:$D$24,
4,
FALSE
)
,"""")"),"")</f>
        <v/>
      </c>
      <c r="G8" s="46"/>
      <c r="H8" s="47"/>
      <c r="I8" s="42"/>
      <c r="J8" s="43"/>
      <c r="K8" s="43"/>
      <c r="L8" s="44"/>
      <c r="M8" s="46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prs!$A$18:$D$24,
4,
FALSE
)
,"""")"),"")</f>
        <v/>
      </c>
      <c r="N8" s="46"/>
      <c r="O8" s="49"/>
      <c r="P8" s="42"/>
      <c r="Q8" s="43"/>
      <c r="R8" s="43"/>
      <c r="S8" s="44"/>
      <c r="T8" s="46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prs!$A$18:$D$24,
4,
FALSE
)
,"""")"),"")</f>
        <v/>
      </c>
      <c r="U8" s="46"/>
      <c r="V8" s="49"/>
      <c r="W8" s="42"/>
      <c r="X8" s="43"/>
      <c r="Y8" s="43"/>
      <c r="Z8" s="44"/>
      <c r="AA8" s="46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prs!$A$18:$D$24,
4,
FALSE
)
,"""")"),"")</f>
        <v/>
      </c>
      <c r="AB8" s="46"/>
      <c r="AC8" s="41"/>
    </row>
    <row r="9" ht="15.75" customHeight="1">
      <c r="A9" s="41"/>
      <c r="B9" s="42"/>
      <c r="C9" s="50"/>
      <c r="D9" s="50"/>
      <c r="E9" s="51"/>
      <c r="F9" s="46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prs!$A$18:$D$24,
4,
FALSE
)
,"""")"),"")</f>
        <v/>
      </c>
      <c r="G9" s="46"/>
      <c r="H9" s="47"/>
      <c r="I9" s="42"/>
      <c r="J9" s="50"/>
      <c r="K9" s="50"/>
      <c r="L9" s="51"/>
      <c r="M9" s="46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prs!$A$18:$D$24,
4,
FALSE
)
,"""")"),"")</f>
        <v/>
      </c>
      <c r="N9" s="46"/>
      <c r="O9" s="49"/>
      <c r="P9" s="42"/>
      <c r="Q9" s="50"/>
      <c r="R9" s="50"/>
      <c r="S9" s="51"/>
      <c r="T9" s="46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prs!$A$18:$D$24,
4,
FALSE
)
,"""")"),"")</f>
        <v/>
      </c>
      <c r="U9" s="46"/>
      <c r="V9" s="49"/>
      <c r="W9" s="42"/>
      <c r="X9" s="50"/>
      <c r="Y9" s="50"/>
      <c r="Z9" s="51"/>
      <c r="AA9" s="46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prs!$A$18:$D$24,
4,
FALSE
)
,"""")"),"")</f>
        <v/>
      </c>
      <c r="AB9" s="46"/>
      <c r="AC9" s="41"/>
    </row>
    <row r="10" ht="15.75" customHeight="1">
      <c r="A10" s="41"/>
      <c r="B10" s="42"/>
      <c r="C10" s="50"/>
      <c r="D10" s="50"/>
      <c r="E10" s="51"/>
      <c r="F10" s="46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prs!$A$18:$D$24,
4,
FALSE
)
,"""")"),"")</f>
        <v/>
      </c>
      <c r="G10" s="46"/>
      <c r="H10" s="47"/>
      <c r="I10" s="42"/>
      <c r="J10" s="50"/>
      <c r="K10" s="50"/>
      <c r="L10" s="51"/>
      <c r="M10" s="46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prs!$A$18:$D$24,
4,
FALSE
)
,"""")"),"")</f>
        <v/>
      </c>
      <c r="N10" s="46"/>
      <c r="O10" s="49"/>
      <c r="P10" s="42"/>
      <c r="Q10" s="50"/>
      <c r="R10" s="50"/>
      <c r="S10" s="51"/>
      <c r="T10" s="46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prs!$A$18:$D$24,
4,
FALSE
)
,"""")"),"")</f>
        <v/>
      </c>
      <c r="U10" s="46"/>
      <c r="V10" s="49"/>
      <c r="W10" s="42"/>
      <c r="X10" s="50"/>
      <c r="Y10" s="50"/>
      <c r="Z10" s="51"/>
      <c r="AA10" s="46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prs!$A$18:$D$24,
4,
FALSE
)
,"""")"),"")</f>
        <v/>
      </c>
      <c r="AB10" s="46"/>
      <c r="AC10" s="41"/>
    </row>
    <row r="11" ht="15.75" customHeight="1">
      <c r="A11" s="41"/>
      <c r="B11" s="42"/>
      <c r="C11" s="50"/>
      <c r="D11" s="50"/>
      <c r="E11" s="51"/>
      <c r="F11" s="46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prs!$A$18:$D$24,
4,
FALSE
)
,"""")"),"")</f>
        <v/>
      </c>
      <c r="G11" s="46"/>
      <c r="H11" s="47"/>
      <c r="I11" s="42"/>
      <c r="J11" s="50"/>
      <c r="K11" s="50"/>
      <c r="L11" s="51"/>
      <c r="M11" s="46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prs!$A$18:$D$24,
4,
FALSE
)
,"""")"),"")</f>
        <v/>
      </c>
      <c r="N11" s="46"/>
      <c r="O11" s="49"/>
      <c r="P11" s="42"/>
      <c r="Q11" s="50"/>
      <c r="R11" s="50"/>
      <c r="S11" s="51"/>
      <c r="T11" s="46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prs!$A$18:$D$24,
4,
FALSE
)
,"""")"),"")</f>
        <v/>
      </c>
      <c r="U11" s="46"/>
      <c r="V11" s="49"/>
      <c r="W11" s="42"/>
      <c r="X11" s="50"/>
      <c r="Y11" s="50"/>
      <c r="Z11" s="51"/>
      <c r="AA11" s="46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prs!$A$18:$D$24,
4,
FALSE
)
,"""")"),"")</f>
        <v/>
      </c>
      <c r="AB11" s="46"/>
      <c r="AC11" s="41"/>
    </row>
    <row r="12" ht="15.75" customHeight="1">
      <c r="A12" s="41"/>
      <c r="B12" s="42"/>
      <c r="C12" s="50"/>
      <c r="D12" s="50"/>
      <c r="E12" s="51"/>
      <c r="F12" s="46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prs!$A$18:$D$24,
4,
FALSE
)
,"""")"),"")</f>
        <v/>
      </c>
      <c r="G12" s="46"/>
      <c r="H12" s="47"/>
      <c r="I12" s="42"/>
      <c r="J12" s="50"/>
      <c r="K12" s="50"/>
      <c r="L12" s="51"/>
      <c r="M12" s="46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prs!$A$18:$D$24,
4,
FALSE
)
,"""")"),"")</f>
        <v/>
      </c>
      <c r="N12" s="46"/>
      <c r="O12" s="49"/>
      <c r="P12" s="42"/>
      <c r="Q12" s="50"/>
      <c r="R12" s="50"/>
      <c r="S12" s="51"/>
      <c r="T12" s="46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prs!$A$18:$D$24,
4,
FALSE
)
,"""")"),"")</f>
        <v/>
      </c>
      <c r="U12" s="46"/>
      <c r="V12" s="49"/>
      <c r="W12" s="42"/>
      <c r="X12" s="50"/>
      <c r="Y12" s="50"/>
      <c r="Z12" s="51"/>
      <c r="AA12" s="46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prs!$A$18:$D$24,
4,
FALSE
)
,"""")"),"")</f>
        <v/>
      </c>
      <c r="AB12" s="46"/>
      <c r="AC12" s="41"/>
    </row>
    <row r="13" ht="15.75" customHeight="1">
      <c r="A13" s="41"/>
      <c r="B13" s="42"/>
      <c r="C13" s="50"/>
      <c r="D13" s="50"/>
      <c r="E13" s="51"/>
      <c r="F13" s="46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prs!$A$18:$D$24,
4,
FALSE
)
,"""")"),"")</f>
        <v/>
      </c>
      <c r="G13" s="46"/>
      <c r="H13" s="47"/>
      <c r="I13" s="42"/>
      <c r="J13" s="50"/>
      <c r="K13" s="50"/>
      <c r="L13" s="51"/>
      <c r="M13" s="46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prs!$A$18:$D$24,
4,
FALSE
)
,"""")"),"")</f>
        <v/>
      </c>
      <c r="N13" s="46"/>
      <c r="O13" s="49"/>
      <c r="P13" s="42"/>
      <c r="Q13" s="50"/>
      <c r="R13" s="50"/>
      <c r="S13" s="51"/>
      <c r="T13" s="46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prs!$A$18:$D$24,
4,
FALSE
)
,"""")"),"")</f>
        <v/>
      </c>
      <c r="U13" s="46"/>
      <c r="V13" s="49"/>
      <c r="W13" s="42"/>
      <c r="X13" s="50"/>
      <c r="Y13" s="50"/>
      <c r="Z13" s="51"/>
      <c r="AA13" s="46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prs!$A$18:$D$24,
4,
FALSE
)
,"""")"),"")</f>
        <v/>
      </c>
      <c r="AB13" s="46"/>
      <c r="AC13" s="41"/>
    </row>
    <row r="14" ht="15.75" customHeight="1">
      <c r="A14" s="41"/>
      <c r="B14" s="42"/>
      <c r="C14" s="50"/>
      <c r="D14" s="50"/>
      <c r="E14" s="51"/>
      <c r="F14" s="46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prs!$A$18:$D$24,
4,
FALSE
)
,"""")"),"")</f>
        <v/>
      </c>
      <c r="G14" s="46"/>
      <c r="H14" s="47"/>
      <c r="I14" s="42"/>
      <c r="J14" s="50"/>
      <c r="K14" s="50"/>
      <c r="L14" s="51"/>
      <c r="M14" s="46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prs!$A$18:$D$24,
4,
FALSE
)
,"""")"),"")</f>
        <v/>
      </c>
      <c r="N14" s="46"/>
      <c r="O14" s="49"/>
      <c r="P14" s="42"/>
      <c r="Q14" s="50"/>
      <c r="R14" s="50"/>
      <c r="S14" s="51"/>
      <c r="T14" s="46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prs!$A$18:$D$24,
4,
FALSE
)
,"""")"),"")</f>
        <v/>
      </c>
      <c r="U14" s="46"/>
      <c r="V14" s="49"/>
      <c r="W14" s="42"/>
      <c r="X14" s="50"/>
      <c r="Y14" s="50"/>
      <c r="Z14" s="51"/>
      <c r="AA14" s="46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prs!$A$18:$D$24,
4,
FALSE
)
,"""")"),"")</f>
        <v/>
      </c>
      <c r="AB14" s="46"/>
      <c r="AC14" s="41"/>
    </row>
    <row r="15" ht="15.75" customHeight="1">
      <c r="A15" s="41"/>
      <c r="B15" s="42"/>
      <c r="C15" s="50"/>
      <c r="D15" s="50"/>
      <c r="E15" s="51"/>
      <c r="F15" s="46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prs!$A$18:$D$24,
4,
FALSE
)
,"""")"),"")</f>
        <v/>
      </c>
      <c r="G15" s="46"/>
      <c r="H15" s="47"/>
      <c r="I15" s="42"/>
      <c r="J15" s="50"/>
      <c r="K15" s="50"/>
      <c r="L15" s="51"/>
      <c r="M15" s="46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prs!$A$18:$D$24,
4,
FALSE
)
,"""")"),"")</f>
        <v/>
      </c>
      <c r="N15" s="46"/>
      <c r="O15" s="49"/>
      <c r="P15" s="42"/>
      <c r="Q15" s="50"/>
      <c r="R15" s="50"/>
      <c r="S15" s="51"/>
      <c r="T15" s="46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prs!$A$18:$D$24,
4,
FALSE
)
,"""")"),"")</f>
        <v/>
      </c>
      <c r="U15" s="46"/>
      <c r="V15" s="49"/>
      <c r="W15" s="42"/>
      <c r="X15" s="50"/>
      <c r="Y15" s="50"/>
      <c r="Z15" s="51"/>
      <c r="AA15" s="46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prs!$A$18:$D$24,
4,
FALSE
)
,"""")"),"")</f>
        <v/>
      </c>
      <c r="AB15" s="46"/>
      <c r="AC15" s="41"/>
    </row>
    <row r="16" ht="15.75" customHeight="1">
      <c r="A16" s="31"/>
      <c r="B16" s="52"/>
      <c r="C16" s="32" t="s">
        <v>20</v>
      </c>
      <c r="H16" s="29"/>
      <c r="I16" s="52"/>
      <c r="J16" s="32" t="s">
        <v>23</v>
      </c>
      <c r="O16" s="29"/>
      <c r="P16" s="52"/>
      <c r="Q16" s="32" t="s">
        <v>24</v>
      </c>
      <c r="V16" s="29"/>
      <c r="W16" s="52"/>
      <c r="X16" s="32" t="s">
        <v>25</v>
      </c>
      <c r="AC16" s="29"/>
    </row>
    <row r="17" ht="15.75" customHeight="1">
      <c r="A17" s="47"/>
      <c r="B17" s="47"/>
      <c r="C17" s="47"/>
      <c r="D17" s="47"/>
      <c r="H17" s="47"/>
      <c r="I17" s="47"/>
      <c r="J17" s="47"/>
      <c r="K17" s="47"/>
      <c r="O17" s="47"/>
      <c r="P17" s="47"/>
      <c r="Q17" s="47"/>
      <c r="R17" s="47"/>
      <c r="V17" s="47"/>
      <c r="W17" s="47"/>
      <c r="X17" s="47"/>
      <c r="Y17" s="47"/>
      <c r="AC17" s="47"/>
    </row>
    <row r="18" ht="15.75" customHeight="1">
      <c r="A18" s="31" t="s">
        <v>22</v>
      </c>
      <c r="B18" s="20"/>
      <c r="C18" s="27"/>
      <c r="H18" s="29"/>
      <c r="I18" s="20"/>
      <c r="J18" s="4"/>
      <c r="O18" s="29"/>
      <c r="P18" s="20"/>
      <c r="Q18" s="27"/>
      <c r="V18" s="29"/>
      <c r="W18" s="20"/>
      <c r="X18" s="27"/>
      <c r="AC18" s="47"/>
    </row>
    <row r="19" ht="15.75" customHeight="1">
      <c r="A19" s="31"/>
      <c r="B19" s="52"/>
      <c r="C19" s="5" t="s">
        <v>13</v>
      </c>
      <c r="D19" s="5" t="s">
        <v>16</v>
      </c>
      <c r="E19" s="5" t="s">
        <v>15</v>
      </c>
      <c r="F19" s="5" t="s">
        <v>17</v>
      </c>
      <c r="G19" s="5" t="s">
        <v>11</v>
      </c>
      <c r="H19" s="29"/>
      <c r="I19" s="52"/>
      <c r="J19" s="5" t="s">
        <v>13</v>
      </c>
      <c r="K19" s="5" t="s">
        <v>16</v>
      </c>
      <c r="L19" s="5" t="s">
        <v>15</v>
      </c>
      <c r="M19" s="5" t="s">
        <v>17</v>
      </c>
      <c r="N19" s="5" t="s">
        <v>11</v>
      </c>
      <c r="O19" s="29"/>
      <c r="P19" s="52"/>
      <c r="Q19" s="5" t="s">
        <v>13</v>
      </c>
      <c r="R19" s="5" t="s">
        <v>16</v>
      </c>
      <c r="S19" s="5" t="s">
        <v>15</v>
      </c>
      <c r="T19" s="5" t="s">
        <v>17</v>
      </c>
      <c r="U19" s="5" t="s">
        <v>11</v>
      </c>
      <c r="V19" s="29"/>
      <c r="W19" s="52"/>
      <c r="X19" s="5" t="s">
        <v>13</v>
      </c>
      <c r="Y19" s="5" t="s">
        <v>16</v>
      </c>
      <c r="Z19" s="5" t="s">
        <v>15</v>
      </c>
      <c r="AA19" s="5" t="s">
        <v>17</v>
      </c>
      <c r="AB19" s="5" t="s">
        <v>11</v>
      </c>
      <c r="AC19" s="47"/>
    </row>
    <row r="20" ht="15.75" customHeight="1">
      <c r="A20" s="2"/>
      <c r="B20" s="2" t="s">
        <v>18</v>
      </c>
      <c r="C20" s="38"/>
      <c r="D20" s="5"/>
      <c r="E20" s="5"/>
      <c r="F20" s="5" t="s">
        <v>19</v>
      </c>
      <c r="G20" s="5"/>
      <c r="H20" s="29"/>
      <c r="I20" s="2" t="s">
        <v>18</v>
      </c>
      <c r="J20" s="38"/>
      <c r="K20" s="5"/>
      <c r="L20" s="5"/>
      <c r="M20" s="5" t="s">
        <v>19</v>
      </c>
      <c r="N20" s="5"/>
      <c r="O20" s="29"/>
      <c r="P20" s="2" t="s">
        <v>18</v>
      </c>
      <c r="Q20" s="38"/>
      <c r="R20" s="5"/>
      <c r="S20" s="5"/>
      <c r="T20" s="5" t="s">
        <v>19</v>
      </c>
      <c r="U20" s="5"/>
      <c r="V20" s="29"/>
      <c r="W20" s="2" t="s">
        <v>18</v>
      </c>
      <c r="X20" s="38"/>
      <c r="Y20" s="5"/>
      <c r="Z20" s="5"/>
      <c r="AA20" s="5" t="s">
        <v>19</v>
      </c>
      <c r="AB20" s="5"/>
      <c r="AC20" s="47"/>
    </row>
    <row r="21" ht="15.75" customHeight="1">
      <c r="A21" s="49"/>
      <c r="B21" s="53"/>
      <c r="C21" s="43"/>
      <c r="D21" s="43"/>
      <c r="E21" s="44"/>
      <c r="F21" s="46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prs!$A$18:$D$24,
4,
FALSE
)
,"""")"),"")</f>
        <v/>
      </c>
      <c r="G21" s="46"/>
      <c r="H21" s="47"/>
      <c r="I21" s="53"/>
      <c r="J21" s="43"/>
      <c r="K21" s="43"/>
      <c r="L21" s="44"/>
      <c r="M21" s="46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prs!$A$18:$D$24,
4,
FALSE
)
,"""")"),"")</f>
        <v/>
      </c>
      <c r="N21" s="46"/>
      <c r="O21" s="49"/>
      <c r="P21" s="53"/>
      <c r="Q21" s="43"/>
      <c r="R21" s="43"/>
      <c r="S21" s="44"/>
      <c r="T21" s="46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prs!$A$18:$D$24,
4,
FALSE
)
,"""")"),"")</f>
        <v/>
      </c>
      <c r="U21" s="46"/>
      <c r="V21" s="49"/>
      <c r="W21" s="53"/>
      <c r="X21" s="43"/>
      <c r="Y21" s="43"/>
      <c r="Z21" s="44"/>
      <c r="AA21" s="46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prs!$A$18:$D$24,
4,
FALSE
)
,"""")"),"")</f>
        <v/>
      </c>
      <c r="AB21" s="46"/>
      <c r="AC21" s="49"/>
    </row>
    <row r="22" ht="15.75" customHeight="1">
      <c r="A22" s="49"/>
      <c r="B22" s="53"/>
      <c r="C22" s="43"/>
      <c r="D22" s="43"/>
      <c r="E22" s="44"/>
      <c r="F22" s="46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prs!$A$18:$D$24,
4,
FALSE
)
,"""")"),"")</f>
        <v/>
      </c>
      <c r="G22" s="46"/>
      <c r="H22" s="47"/>
      <c r="I22" s="53"/>
      <c r="J22" s="43"/>
      <c r="K22" s="43"/>
      <c r="L22" s="44"/>
      <c r="M22" s="46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prs!$A$18:$D$24,
4,
FALSE
)
,"""")"),"")</f>
        <v/>
      </c>
      <c r="N22" s="46"/>
      <c r="O22" s="49"/>
      <c r="P22" s="53"/>
      <c r="Q22" s="43"/>
      <c r="R22" s="43"/>
      <c r="S22" s="44"/>
      <c r="T22" s="46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prs!$A$18:$D$24,
4,
FALSE
)
,"""")"),"")</f>
        <v/>
      </c>
      <c r="U22" s="46"/>
      <c r="V22" s="49"/>
      <c r="W22" s="53"/>
      <c r="X22" s="43"/>
      <c r="Y22" s="43"/>
      <c r="Z22" s="44"/>
      <c r="AA22" s="46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prs!$A$18:$D$24,
4,
FALSE
)
,"""")"),"")</f>
        <v/>
      </c>
      <c r="AB22" s="46"/>
      <c r="AC22" s="49"/>
    </row>
    <row r="23" ht="15.75" customHeight="1">
      <c r="A23" s="49"/>
      <c r="B23" s="53"/>
      <c r="C23" s="43"/>
      <c r="D23" s="43"/>
      <c r="E23" s="44"/>
      <c r="F23" s="46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prs!$A$18:$D$24,
4,
FALSE
)
,"""")"),"")</f>
        <v/>
      </c>
      <c r="G23" s="46"/>
      <c r="H23" s="47"/>
      <c r="I23" s="53"/>
      <c r="J23" s="43"/>
      <c r="K23" s="43"/>
      <c r="L23" s="44"/>
      <c r="M23" s="46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prs!$A$18:$D$24,
4,
FALSE
)
,"""")"),"")</f>
        <v/>
      </c>
      <c r="N23" s="46"/>
      <c r="O23" s="49"/>
      <c r="P23" s="53"/>
      <c r="Q23" s="43"/>
      <c r="R23" s="43"/>
      <c r="S23" s="44"/>
      <c r="T23" s="46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prs!$A$18:$D$24,
4,
FALSE
)
,"""")"),"")</f>
        <v/>
      </c>
      <c r="U23" s="46"/>
      <c r="V23" s="49"/>
      <c r="W23" s="53"/>
      <c r="X23" s="43"/>
      <c r="Y23" s="43"/>
      <c r="Z23" s="44"/>
      <c r="AA23" s="46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prs!$A$18:$D$24,
4,
FALSE
)
,"""")"),"")</f>
        <v/>
      </c>
      <c r="AB23" s="46"/>
      <c r="AC23" s="49"/>
    </row>
    <row r="24" ht="15.75" customHeight="1">
      <c r="A24" s="49"/>
      <c r="B24" s="53"/>
      <c r="C24" s="50"/>
      <c r="D24" s="50"/>
      <c r="E24" s="51"/>
      <c r="F24" s="46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prs!$A$18:$D$24,
4,
FALSE
)
,"""")"),"")</f>
        <v/>
      </c>
      <c r="G24" s="46"/>
      <c r="H24" s="47"/>
      <c r="I24" s="53"/>
      <c r="J24" s="50"/>
      <c r="K24" s="50"/>
      <c r="L24" s="51"/>
      <c r="M24" s="46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prs!$A$18:$D$24,
4,
FALSE
)
,"""")"),"")</f>
        <v/>
      </c>
      <c r="N24" s="46"/>
      <c r="O24" s="49"/>
      <c r="P24" s="53"/>
      <c r="Q24" s="50"/>
      <c r="R24" s="50"/>
      <c r="S24" s="51"/>
      <c r="T24" s="46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prs!$A$18:$D$24,
4,
FALSE
)
,"""")"),"")</f>
        <v/>
      </c>
      <c r="U24" s="46"/>
      <c r="V24" s="49"/>
      <c r="W24" s="53"/>
      <c r="X24" s="50"/>
      <c r="Y24" s="50"/>
      <c r="Z24" s="51"/>
      <c r="AA24" s="46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prs!$A$18:$D$24,
4,
FALSE
)
,"""")"),"")</f>
        <v/>
      </c>
      <c r="AB24" s="46"/>
      <c r="AC24" s="49"/>
    </row>
    <row r="25" ht="15.75" customHeight="1">
      <c r="A25" s="49"/>
      <c r="B25" s="53"/>
      <c r="C25" s="50"/>
      <c r="D25" s="50"/>
      <c r="E25" s="51"/>
      <c r="F25" s="46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prs!$A$18:$D$24,
4,
FALSE
)
,"""")"),"")</f>
        <v/>
      </c>
      <c r="G25" s="46"/>
      <c r="H25" s="47"/>
      <c r="I25" s="53"/>
      <c r="J25" s="50"/>
      <c r="K25" s="50"/>
      <c r="L25" s="51"/>
      <c r="M25" s="46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prs!$A$18:$D$24,
4,
FALSE
)
,"""")"),"")</f>
        <v/>
      </c>
      <c r="N25" s="46"/>
      <c r="O25" s="49"/>
      <c r="P25" s="53"/>
      <c r="Q25" s="50"/>
      <c r="R25" s="50"/>
      <c r="S25" s="51"/>
      <c r="T25" s="46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prs!$A$18:$D$24,
4,
FALSE
)
,"""")"),"")</f>
        <v/>
      </c>
      <c r="U25" s="46"/>
      <c r="V25" s="49"/>
      <c r="W25" s="53"/>
      <c r="X25" s="50"/>
      <c r="Y25" s="50"/>
      <c r="Z25" s="51"/>
      <c r="AA25" s="46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prs!$A$18:$D$24,
4,
FALSE
)
,"""")"),"")</f>
        <v/>
      </c>
      <c r="AB25" s="46"/>
      <c r="AC25" s="49"/>
    </row>
    <row r="26" ht="15.75" customHeight="1">
      <c r="A26" s="49"/>
      <c r="B26" s="53"/>
      <c r="C26" s="50"/>
      <c r="D26" s="50"/>
      <c r="E26" s="51"/>
      <c r="F26" s="46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prs!$A$18:$D$24,
4,
FALSE
)
,"""")"),"")</f>
        <v/>
      </c>
      <c r="G26" s="46"/>
      <c r="H26" s="47"/>
      <c r="I26" s="53"/>
      <c r="J26" s="50"/>
      <c r="K26" s="50"/>
      <c r="L26" s="51"/>
      <c r="M26" s="46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prs!$A$18:$D$24,
4,
FALSE
)
,"""")"),"")</f>
        <v/>
      </c>
      <c r="N26" s="46"/>
      <c r="O26" s="49"/>
      <c r="P26" s="53"/>
      <c r="Q26" s="50"/>
      <c r="R26" s="50"/>
      <c r="S26" s="51"/>
      <c r="T26" s="46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prs!$A$18:$D$24,
4,
FALSE
)
,"""")"),"")</f>
        <v/>
      </c>
      <c r="U26" s="46"/>
      <c r="V26" s="49"/>
      <c r="W26" s="53"/>
      <c r="X26" s="50"/>
      <c r="Y26" s="50"/>
      <c r="Z26" s="51"/>
      <c r="AA26" s="46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prs!$A$18:$D$24,
4,
FALSE
)
,"""")"),"")</f>
        <v/>
      </c>
      <c r="AB26" s="46"/>
      <c r="AC26" s="49"/>
    </row>
    <row r="27" ht="15.75" customHeight="1">
      <c r="A27" s="49"/>
      <c r="B27" s="53"/>
      <c r="C27" s="50"/>
      <c r="D27" s="50"/>
      <c r="E27" s="51"/>
      <c r="F27" s="46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prs!$A$18:$D$24,
4,
FALSE
)
,"""")"),"")</f>
        <v/>
      </c>
      <c r="G27" s="46"/>
      <c r="H27" s="47"/>
      <c r="I27" s="53"/>
      <c r="J27" s="50"/>
      <c r="K27" s="50"/>
      <c r="L27" s="51"/>
      <c r="M27" s="46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prs!$A$18:$D$24,
4,
FALSE
)
,"""")"),"")</f>
        <v/>
      </c>
      <c r="N27" s="46"/>
      <c r="O27" s="49"/>
      <c r="P27" s="53"/>
      <c r="Q27" s="50"/>
      <c r="R27" s="50"/>
      <c r="S27" s="51"/>
      <c r="T27" s="46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prs!$A$18:$D$24,
4,
FALSE
)
,"""")"),"")</f>
        <v/>
      </c>
      <c r="U27" s="46"/>
      <c r="V27" s="49"/>
      <c r="W27" s="53"/>
      <c r="X27" s="50"/>
      <c r="Y27" s="50"/>
      <c r="Z27" s="51"/>
      <c r="AA27" s="46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prs!$A$18:$D$24,
4,
FALSE
)
,"""")"),"")</f>
        <v/>
      </c>
      <c r="AB27" s="46"/>
      <c r="AC27" s="49"/>
    </row>
    <row r="28" ht="15.75" customHeight="1">
      <c r="A28" s="49"/>
      <c r="B28" s="53"/>
      <c r="C28" s="50"/>
      <c r="D28" s="50"/>
      <c r="E28" s="51"/>
      <c r="F28" s="46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prs!$A$18:$D$24,
4,
FALSE
)
,"""")"),"")</f>
        <v/>
      </c>
      <c r="G28" s="46"/>
      <c r="H28" s="47"/>
      <c r="I28" s="53"/>
      <c r="J28" s="50"/>
      <c r="K28" s="50"/>
      <c r="L28" s="51"/>
      <c r="M28" s="46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prs!$A$18:$D$24,
4,
FALSE
)
,"""")"),"")</f>
        <v/>
      </c>
      <c r="N28" s="46"/>
      <c r="O28" s="49"/>
      <c r="P28" s="53"/>
      <c r="Q28" s="50"/>
      <c r="R28" s="50"/>
      <c r="S28" s="51"/>
      <c r="T28" s="46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prs!$A$18:$D$24,
4,
FALSE
)
,"""")"),"")</f>
        <v/>
      </c>
      <c r="U28" s="46"/>
      <c r="V28" s="49"/>
      <c r="W28" s="53"/>
      <c r="X28" s="50"/>
      <c r="Y28" s="50"/>
      <c r="Z28" s="51"/>
      <c r="AA28" s="46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prs!$A$18:$D$24,
4,
FALSE
)
,"""")"),"")</f>
        <v/>
      </c>
      <c r="AB28" s="46"/>
      <c r="AC28" s="49"/>
    </row>
    <row r="29" ht="15.75" customHeight="1">
      <c r="A29" s="49"/>
      <c r="B29" s="53"/>
      <c r="C29" s="50"/>
      <c r="D29" s="50"/>
      <c r="E29" s="51"/>
      <c r="F29" s="46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prs!$A$18:$D$24,
4,
FALSE
)
,"""")"),"")</f>
        <v/>
      </c>
      <c r="G29" s="46"/>
      <c r="H29" s="47"/>
      <c r="I29" s="53"/>
      <c r="J29" s="50"/>
      <c r="K29" s="50"/>
      <c r="L29" s="51"/>
      <c r="M29" s="46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prs!$A$18:$D$24,
4,
FALSE
)
,"""")"),"")</f>
        <v/>
      </c>
      <c r="N29" s="46"/>
      <c r="O29" s="49"/>
      <c r="P29" s="53"/>
      <c r="Q29" s="50"/>
      <c r="R29" s="50"/>
      <c r="S29" s="51"/>
      <c r="T29" s="46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prs!$A$18:$D$24,
4,
FALSE
)
,"""")"),"")</f>
        <v/>
      </c>
      <c r="U29" s="46"/>
      <c r="V29" s="49"/>
      <c r="W29" s="53"/>
      <c r="X29" s="50"/>
      <c r="Y29" s="50"/>
      <c r="Z29" s="51"/>
      <c r="AA29" s="46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prs!$A$18:$D$24,
4,
FALSE
)
,"""")"),"")</f>
        <v/>
      </c>
      <c r="AB29" s="46"/>
      <c r="AC29" s="49"/>
    </row>
    <row r="30" ht="15.75" customHeight="1">
      <c r="A30" s="49"/>
      <c r="B30" s="53"/>
      <c r="C30" s="50"/>
      <c r="D30" s="50"/>
      <c r="E30" s="51"/>
      <c r="F30" s="46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prs!$A$18:$D$24,
4,
FALSE
)
,"""")"),"")</f>
        <v/>
      </c>
      <c r="G30" s="46"/>
      <c r="H30" s="47"/>
      <c r="I30" s="53"/>
      <c r="J30" s="50"/>
      <c r="K30" s="50"/>
      <c r="L30" s="51"/>
      <c r="M30" s="46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prs!$A$18:$D$24,
4,
FALSE
)
,"""")"),"")</f>
        <v/>
      </c>
      <c r="N30" s="46"/>
      <c r="O30" s="49"/>
      <c r="P30" s="53"/>
      <c r="Q30" s="50"/>
      <c r="R30" s="50"/>
      <c r="S30" s="51"/>
      <c r="T30" s="46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prs!$A$18:$D$24,
4,
FALSE
)
,"""")"),"")</f>
        <v/>
      </c>
      <c r="U30" s="46"/>
      <c r="V30" s="49"/>
      <c r="W30" s="53"/>
      <c r="X30" s="50"/>
      <c r="Y30" s="50"/>
      <c r="Z30" s="51"/>
      <c r="AA30" s="46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prs!$A$18:$D$24,
4,
FALSE
)
,"""")"),"")</f>
        <v/>
      </c>
      <c r="AB30" s="46"/>
      <c r="AC30" s="49"/>
    </row>
    <row r="31" ht="15.75" customHeight="1">
      <c r="A31" s="52"/>
      <c r="B31" s="52"/>
      <c r="C31" s="32" t="s">
        <v>20</v>
      </c>
      <c r="H31" s="29"/>
      <c r="I31" s="52"/>
      <c r="J31" s="32" t="s">
        <v>23</v>
      </c>
      <c r="O31" s="29"/>
      <c r="P31" s="52"/>
      <c r="Q31" s="32" t="s">
        <v>24</v>
      </c>
      <c r="V31" s="29"/>
      <c r="W31" s="52"/>
      <c r="X31" s="32" t="s">
        <v>25</v>
      </c>
      <c r="AC31" s="47"/>
    </row>
    <row r="32" ht="15.75" customHeight="1">
      <c r="A32" s="12"/>
      <c r="B32" s="54"/>
      <c r="C32" s="12"/>
      <c r="D32" s="12"/>
      <c r="H32" s="12"/>
      <c r="I32" s="54"/>
      <c r="J32" s="12"/>
      <c r="K32" s="12"/>
      <c r="O32" s="12"/>
      <c r="P32" s="54"/>
      <c r="Q32" s="12"/>
      <c r="R32" s="12"/>
      <c r="V32" s="12"/>
      <c r="W32" s="54"/>
      <c r="X32" s="12"/>
      <c r="Y32" s="12"/>
      <c r="AC32" s="12"/>
    </row>
    <row r="33" ht="15.75" customHeight="1">
      <c r="A33" s="2" t="s">
        <v>26</v>
      </c>
      <c r="B33" s="20"/>
      <c r="C33" s="32"/>
      <c r="H33" s="29"/>
      <c r="I33" s="20"/>
      <c r="J33" s="32"/>
      <c r="O33" s="29"/>
      <c r="P33" s="20"/>
      <c r="Q33" s="32"/>
      <c r="V33" s="29"/>
      <c r="W33" s="20"/>
      <c r="X33" s="32"/>
      <c r="AC33" s="12"/>
    </row>
    <row r="34" ht="15.75" customHeight="1">
      <c r="A34" s="2"/>
      <c r="B34" s="2"/>
      <c r="C34" s="5" t="s">
        <v>13</v>
      </c>
      <c r="D34" s="5" t="s">
        <v>16</v>
      </c>
      <c r="E34" s="5" t="s">
        <v>15</v>
      </c>
      <c r="F34" s="5" t="s">
        <v>17</v>
      </c>
      <c r="G34" s="5" t="s">
        <v>11</v>
      </c>
      <c r="H34" s="29"/>
      <c r="I34" s="2"/>
      <c r="J34" s="5" t="s">
        <v>13</v>
      </c>
      <c r="K34" s="5" t="s">
        <v>16</v>
      </c>
      <c r="L34" s="5" t="s">
        <v>15</v>
      </c>
      <c r="M34" s="5" t="s">
        <v>17</v>
      </c>
      <c r="N34" s="5" t="s">
        <v>11</v>
      </c>
      <c r="O34" s="29"/>
      <c r="P34" s="2"/>
      <c r="Q34" s="5" t="s">
        <v>13</v>
      </c>
      <c r="R34" s="5" t="s">
        <v>16</v>
      </c>
      <c r="S34" s="5" t="s">
        <v>15</v>
      </c>
      <c r="T34" s="5" t="s">
        <v>17</v>
      </c>
      <c r="U34" s="5" t="s">
        <v>11</v>
      </c>
      <c r="V34" s="29"/>
      <c r="W34" s="2"/>
      <c r="X34" s="5" t="s">
        <v>13</v>
      </c>
      <c r="Y34" s="5" t="s">
        <v>16</v>
      </c>
      <c r="Z34" s="5" t="s">
        <v>15</v>
      </c>
      <c r="AA34" s="5" t="s">
        <v>17</v>
      </c>
      <c r="AB34" s="5" t="s">
        <v>11</v>
      </c>
      <c r="AC34" s="29"/>
    </row>
    <row r="35" ht="15.75" customHeight="1">
      <c r="A35" s="2"/>
      <c r="B35" s="2" t="s">
        <v>18</v>
      </c>
      <c r="C35" s="38"/>
      <c r="D35" s="5"/>
      <c r="E35" s="5"/>
      <c r="F35" s="5" t="s">
        <v>19</v>
      </c>
      <c r="G35" s="5"/>
      <c r="H35" s="29"/>
      <c r="I35" s="2" t="s">
        <v>18</v>
      </c>
      <c r="J35" s="38"/>
      <c r="K35" s="5"/>
      <c r="L35" s="5"/>
      <c r="M35" s="5" t="s">
        <v>19</v>
      </c>
      <c r="N35" s="5"/>
      <c r="O35" s="29"/>
      <c r="P35" s="2" t="s">
        <v>18</v>
      </c>
      <c r="Q35" s="38"/>
      <c r="R35" s="5"/>
      <c r="S35" s="5"/>
      <c r="T35" s="5" t="s">
        <v>19</v>
      </c>
      <c r="U35" s="5"/>
      <c r="V35" s="29"/>
      <c r="W35" s="2" t="s">
        <v>18</v>
      </c>
      <c r="X35" s="38"/>
      <c r="Y35" s="5"/>
      <c r="Z35" s="5"/>
      <c r="AA35" s="5" t="s">
        <v>19</v>
      </c>
      <c r="AB35" s="5"/>
      <c r="AC35" s="29"/>
    </row>
    <row r="36" ht="15.75" customHeight="1">
      <c r="A36" s="41"/>
      <c r="B36" s="42"/>
      <c r="C36" s="43"/>
      <c r="D36" s="43"/>
      <c r="E36" s="44"/>
      <c r="F36" s="46" t="str">
        <f>IFERROR(__xludf.DUMMYFUNCTION("IFERROR(
$E36/
VLOOKUP(
IF(
 REGEXMATCH($B36,""(?i)agachamento""),""Agachamento"",
 IF(
  REGEXMATCH($B36,""(?i)supino""),""Supino"",
  IF(
   REGEXMATCH($B36,""(?i)terra""),""Terra"",
   IF(
    REGEXMATCH($B36,""(?i)desenvolvimento""),""Desenvolvimento"&amp;""",
    IF(
     REGEXMATCH($B36,""(?i)remada""),""Remada"",
     IF(REGEXMATCH($B36,""(?i)arranco""),""Arranco"",IF(REGEXMATCH($B36,""(?i)arremesso""),""Arremesso"",""""))
    )
   )
  )
 )
),
prs!$A$18:$D$24,
4,
FALSE
)
,"""")"),"")</f>
        <v/>
      </c>
      <c r="G36" s="46"/>
      <c r="H36" s="47"/>
      <c r="I36" s="42"/>
      <c r="J36" s="43"/>
      <c r="K36" s="43"/>
      <c r="L36" s="44"/>
      <c r="M36" s="46" t="str">
        <f>IFERROR(__xludf.DUMMYFUNCTION("IFERROR(
$L36/
VLOOKUP(
IF(
 REGEXMATCH($I36,""(?i)agachamento""),""Agachamento"",
 IF(
  REGEXMATCH($I36,""(?i)supino""),""Supino"",
  IF(
   REGEXMATCH($I36,""(?i)terra""),""Terra"",
   IF(
    REGEXMATCH($I36,""(?i)desenvolvimento""),""Desenvolvimento"&amp;""",
    IF(
     REGEXMATCH($I36,""(?i)remada""),""Remada"",
     IF(REGEXMATCH($I36,""(?i)arranco""),""Arranco"",IF(REGEXMATCH($I36,""(?i)arremesso""),""Arremesso"",""""))
    )
   )
  )
 )
),
prs!$A$18:$D$24,
4,
FALSE
)
,"""")"),"")</f>
        <v/>
      </c>
      <c r="N36" s="46"/>
      <c r="O36" s="49"/>
      <c r="P36" s="42"/>
      <c r="Q36" s="43"/>
      <c r="R36" s="43"/>
      <c r="S36" s="44"/>
      <c r="T36" s="46" t="str">
        <f>IFERROR(__xludf.DUMMYFUNCTION("IFERROR(
$S36/
VLOOKUP(
IF(
 REGEXMATCH($P36,""(?i)agachamento""),""Agachamento"",
 IF(
  REGEXMATCH($P36,""(?i)supino""),""Supino"",
  IF(
   REGEXMATCH($P36,""(?i)terra""),""Terra"",
   IF(
    REGEXMATCH($P36,""(?i)desenvolvimento""),""Desenvolvimento"&amp;""",
    IF(
     REGEXMATCH($P36,""(?i)remada""),""Remada"",
     IF(REGEXMATCH($P36,""(?i)arranco""),""Arranco"",IF(REGEXMATCH($P36,""(?i)arremesso""),""Arremesso"",""""))
    )
   )
  )
 )
),
prs!$A$18:$D$24,
4,
FALSE
)
,"""")"),"")</f>
        <v/>
      </c>
      <c r="U36" s="46"/>
      <c r="V36" s="49"/>
      <c r="W36" s="42"/>
      <c r="X36" s="43"/>
      <c r="Y36" s="43"/>
      <c r="Z36" s="44"/>
      <c r="AA36" s="46" t="str">
        <f>IFERROR(__xludf.DUMMYFUNCTION("IFERROR(
$Z36/
VLOOKUP(
IF(
 REGEXMATCH($W36,""(?i)agachamento""),""Agachamento"",
 IF(
  REGEXMATCH($W36,""(?i)supino""),""Supino"",
  IF(
   REGEXMATCH($W36,""(?i)terra""),""Terra"",
   IF(
    REGEXMATCH($W36,""(?i)desenvolvimento""),""Desenvolvimento"&amp;""",
    IF(
     REGEXMATCH($W36,""(?i)remada""),""Remada"",
     IF(REGEXMATCH($W36,""(?i)arranco""),""Arranco"",IF(REGEXMATCH($W36,""(?i)arremesso""),""Arremesso"",""""))
    )
   )
  )
 )
),
prs!$A$18:$D$24,
4,
FALSE
)
,"""")"),"")</f>
        <v/>
      </c>
      <c r="AB36" s="46"/>
      <c r="AC36" s="41"/>
    </row>
    <row r="37" ht="15.75" customHeight="1">
      <c r="A37" s="41"/>
      <c r="B37" s="42"/>
      <c r="C37" s="43"/>
      <c r="D37" s="43"/>
      <c r="E37" s="44"/>
      <c r="F37" s="46" t="str">
        <f>IFERROR(__xludf.DUMMYFUNCTION("IFERROR(
$E37/
VLOOKUP(
IF(
 REGEXMATCH($B37,""(?i)agachamento""),""Agachamento"",
 IF(
  REGEXMATCH($B37,""(?i)supino""),""Supino"",
  IF(
   REGEXMATCH($B37,""(?i)terra""),""Terra"",
   IF(
    REGEXMATCH($B37,""(?i)desenvolvimento""),""Desenvolvimento"&amp;""",
    IF(
     REGEXMATCH($B37,""(?i)remada""),""Remada"",
     IF(REGEXMATCH($B37,""(?i)arranco""),""Arranco"",IF(REGEXMATCH($B37,""(?i)arremesso""),""Arremesso"",""""))
    )
   )
  )
 )
),
prs!$A$18:$D$24,
4,
FALSE
)
,"""")"),"")</f>
        <v/>
      </c>
      <c r="G37" s="46"/>
      <c r="H37" s="47"/>
      <c r="I37" s="42"/>
      <c r="J37" s="43"/>
      <c r="K37" s="43"/>
      <c r="L37" s="44"/>
      <c r="M37" s="46" t="str">
        <f>IFERROR(__xludf.DUMMYFUNCTION("IFERROR(
$L37/
VLOOKUP(
IF(
 REGEXMATCH($I37,""(?i)agachamento""),""Agachamento"",
 IF(
  REGEXMATCH($I37,""(?i)supino""),""Supino"",
  IF(
   REGEXMATCH($I37,""(?i)terra""),""Terra"",
   IF(
    REGEXMATCH($I37,""(?i)desenvolvimento""),""Desenvolvimento"&amp;""",
    IF(
     REGEXMATCH($I37,""(?i)remada""),""Remada"",
     IF(REGEXMATCH($I37,""(?i)arranco""),""Arranco"",IF(REGEXMATCH($I37,""(?i)arremesso""),""Arremesso"",""""))
    )
   )
  )
 )
),
prs!$A$18:$D$24,
4,
FALSE
)
,"""")"),"")</f>
        <v/>
      </c>
      <c r="N37" s="46"/>
      <c r="O37" s="49"/>
      <c r="P37" s="42"/>
      <c r="Q37" s="43"/>
      <c r="R37" s="43"/>
      <c r="S37" s="44"/>
      <c r="T37" s="46" t="str">
        <f>IFERROR(__xludf.DUMMYFUNCTION("IFERROR(
$S37/
VLOOKUP(
IF(
 REGEXMATCH($P37,""(?i)agachamento""),""Agachamento"",
 IF(
  REGEXMATCH($P37,""(?i)supino""),""Supino"",
  IF(
   REGEXMATCH($P37,""(?i)terra""),""Terra"",
   IF(
    REGEXMATCH($P37,""(?i)desenvolvimento""),""Desenvolvimento"&amp;""",
    IF(
     REGEXMATCH($P37,""(?i)remada""),""Remada"",
     IF(REGEXMATCH($P37,""(?i)arranco""),""Arranco"",IF(REGEXMATCH($P37,""(?i)arremesso""),""Arremesso"",""""))
    )
   )
  )
 )
),
prs!$A$18:$D$24,
4,
FALSE
)
,"""")"),"")</f>
        <v/>
      </c>
      <c r="U37" s="46"/>
      <c r="V37" s="49"/>
      <c r="W37" s="42"/>
      <c r="X37" s="43"/>
      <c r="Y37" s="43"/>
      <c r="Z37" s="44"/>
      <c r="AA37" s="46" t="str">
        <f>IFERROR(__xludf.DUMMYFUNCTION("IFERROR(
$Z37/
VLOOKUP(
IF(
 REGEXMATCH($W37,""(?i)agachamento""),""Agachamento"",
 IF(
  REGEXMATCH($W37,""(?i)supino""),""Supino"",
  IF(
   REGEXMATCH($W37,""(?i)terra""),""Terra"",
   IF(
    REGEXMATCH($W37,""(?i)desenvolvimento""),""Desenvolvimento"&amp;""",
    IF(
     REGEXMATCH($W37,""(?i)remada""),""Remada"",
     IF(REGEXMATCH($W37,""(?i)arranco""),""Arranco"",IF(REGEXMATCH($W37,""(?i)arremesso""),""Arremesso"",""""))
    )
   )
  )
 )
),
prs!$A$18:$D$24,
4,
FALSE
)
,"""")"),"")</f>
        <v/>
      </c>
      <c r="AB37" s="46"/>
      <c r="AC37" s="41"/>
    </row>
    <row r="38" ht="15.75" customHeight="1">
      <c r="A38" s="41"/>
      <c r="B38" s="42"/>
      <c r="C38" s="43"/>
      <c r="D38" s="43"/>
      <c r="E38" s="44"/>
      <c r="F38" s="46" t="str">
        <f>IFERROR(__xludf.DUMMYFUNCTION("IFERROR(
$E38/
VLOOKUP(
IF(
 REGEXMATCH($B38,""(?i)agachamento""),""Agachamento"",
 IF(
  REGEXMATCH($B38,""(?i)supino""),""Supino"",
  IF(
   REGEXMATCH($B38,""(?i)terra""),""Terra"",
   IF(
    REGEXMATCH($B38,""(?i)desenvolvimento""),""Desenvolvimento"&amp;""",
    IF(
     REGEXMATCH($B38,""(?i)remada""),""Remada"",
     IF(REGEXMATCH($B38,""(?i)arranco""),""Arranco"",IF(REGEXMATCH($B38,""(?i)arremesso""),""Arremesso"",""""))
    )
   )
  )
 )
),
prs!$A$18:$D$24,
4,
FALSE
)
,"""")"),"")</f>
        <v/>
      </c>
      <c r="G38" s="46"/>
      <c r="H38" s="47"/>
      <c r="I38" s="42"/>
      <c r="J38" s="43"/>
      <c r="K38" s="43"/>
      <c r="L38" s="44"/>
      <c r="M38" s="46" t="str">
        <f>IFERROR(__xludf.DUMMYFUNCTION("IFERROR(
$L38/
VLOOKUP(
IF(
 REGEXMATCH($I38,""(?i)agachamento""),""Agachamento"",
 IF(
  REGEXMATCH($I38,""(?i)supino""),""Supino"",
  IF(
   REGEXMATCH($I38,""(?i)terra""),""Terra"",
   IF(
    REGEXMATCH($I38,""(?i)desenvolvimento""),""Desenvolvimento"&amp;""",
    IF(
     REGEXMATCH($I38,""(?i)remada""),""Remada"",
     IF(REGEXMATCH($I38,""(?i)arranco""),""Arranco"",IF(REGEXMATCH($I38,""(?i)arremesso""),""Arremesso"",""""))
    )
   )
  )
 )
),
prs!$A$18:$D$24,
4,
FALSE
)
,"""")"),"")</f>
        <v/>
      </c>
      <c r="N38" s="46"/>
      <c r="O38" s="49"/>
      <c r="P38" s="42"/>
      <c r="Q38" s="43"/>
      <c r="R38" s="43"/>
      <c r="S38" s="44"/>
      <c r="T38" s="46" t="str">
        <f>IFERROR(__xludf.DUMMYFUNCTION("IFERROR(
$S38/
VLOOKUP(
IF(
 REGEXMATCH($P38,""(?i)agachamento""),""Agachamento"",
 IF(
  REGEXMATCH($P38,""(?i)supino""),""Supino"",
  IF(
   REGEXMATCH($P38,""(?i)terra""),""Terra"",
   IF(
    REGEXMATCH($P38,""(?i)desenvolvimento""),""Desenvolvimento"&amp;""",
    IF(
     REGEXMATCH($P38,""(?i)remada""),""Remada"",
     IF(REGEXMATCH($P38,""(?i)arranco""),""Arranco"",IF(REGEXMATCH($P38,""(?i)arremesso""),""Arremesso"",""""))
    )
   )
  )
 )
),
prs!$A$18:$D$24,
4,
FALSE
)
,"""")"),"")</f>
        <v/>
      </c>
      <c r="U38" s="46"/>
      <c r="V38" s="49"/>
      <c r="W38" s="42"/>
      <c r="X38" s="43"/>
      <c r="Y38" s="43"/>
      <c r="Z38" s="44"/>
      <c r="AA38" s="46" t="str">
        <f>IFERROR(__xludf.DUMMYFUNCTION("IFERROR(
$Z38/
VLOOKUP(
IF(
 REGEXMATCH($W38,""(?i)agachamento""),""Agachamento"",
 IF(
  REGEXMATCH($W38,""(?i)supino""),""Supino"",
  IF(
   REGEXMATCH($W38,""(?i)terra""),""Terra"",
   IF(
    REGEXMATCH($W38,""(?i)desenvolvimento""),""Desenvolvimento"&amp;""",
    IF(
     REGEXMATCH($W38,""(?i)remada""),""Remada"",
     IF(REGEXMATCH($W38,""(?i)arranco""),""Arranco"",IF(REGEXMATCH($W38,""(?i)arremesso""),""Arremesso"",""""))
    )
   )
  )
 )
),
prs!$A$18:$D$24,
4,
FALSE
)
,"""")"),"")</f>
        <v/>
      </c>
      <c r="AB38" s="46"/>
      <c r="AC38" s="41"/>
    </row>
    <row r="39" ht="15.75" customHeight="1">
      <c r="A39" s="41"/>
      <c r="B39" s="42"/>
      <c r="C39" s="50"/>
      <c r="D39" s="50"/>
      <c r="E39" s="51"/>
      <c r="F39" s="46" t="str">
        <f>IFERROR(__xludf.DUMMYFUNCTION("IFERROR(
$E39/
VLOOKUP(
IF(
 REGEXMATCH($B39,""(?i)agachamento""),""Agachamento"",
 IF(
  REGEXMATCH($B39,""(?i)supino""),""Supino"",
  IF(
   REGEXMATCH($B39,""(?i)terra""),""Terra"",
   IF(
    REGEXMATCH($B39,""(?i)desenvolvimento""),""Desenvolvimento"&amp;""",
    IF(
     REGEXMATCH($B39,""(?i)remada""),""Remada"",
     IF(REGEXMATCH($B39,""(?i)arranco""),""Arranco"",IF(REGEXMATCH($B39,""(?i)arremesso""),""Arremesso"",""""))
    )
   )
  )
 )
),
prs!$A$18:$D$24,
4,
FALSE
)
,"""")"),"")</f>
        <v/>
      </c>
      <c r="G39" s="46"/>
      <c r="H39" s="47"/>
      <c r="I39" s="42"/>
      <c r="J39" s="50"/>
      <c r="K39" s="50"/>
      <c r="L39" s="51"/>
      <c r="M39" s="46" t="str">
        <f>IFERROR(__xludf.DUMMYFUNCTION("IFERROR(
$L39/
VLOOKUP(
IF(
 REGEXMATCH($I39,""(?i)agachamento""),""Agachamento"",
 IF(
  REGEXMATCH($I39,""(?i)supino""),""Supino"",
  IF(
   REGEXMATCH($I39,""(?i)terra""),""Terra"",
   IF(
    REGEXMATCH($I39,""(?i)desenvolvimento""),""Desenvolvimento"&amp;""",
    IF(
     REGEXMATCH($I39,""(?i)remada""),""Remada"",
     IF(REGEXMATCH($I39,""(?i)arranco""),""Arranco"",IF(REGEXMATCH($I39,""(?i)arremesso""),""Arremesso"",""""))
    )
   )
  )
 )
),
prs!$A$18:$D$24,
4,
FALSE
)
,"""")"),"")</f>
        <v/>
      </c>
      <c r="N39" s="46"/>
      <c r="O39" s="49"/>
      <c r="P39" s="42"/>
      <c r="Q39" s="50"/>
      <c r="R39" s="50"/>
      <c r="S39" s="51"/>
      <c r="T39" s="46" t="str">
        <f>IFERROR(__xludf.DUMMYFUNCTION("IFERROR(
$S39/
VLOOKUP(
IF(
 REGEXMATCH($P39,""(?i)agachamento""),""Agachamento"",
 IF(
  REGEXMATCH($P39,""(?i)supino""),""Supino"",
  IF(
   REGEXMATCH($P39,""(?i)terra""),""Terra"",
   IF(
    REGEXMATCH($P39,""(?i)desenvolvimento""),""Desenvolvimento"&amp;""",
    IF(
     REGEXMATCH($P39,""(?i)remada""),""Remada"",
     IF(REGEXMATCH($P39,""(?i)arranco""),""Arranco"",IF(REGEXMATCH($P39,""(?i)arremesso""),""Arremesso"",""""))
    )
   )
  )
 )
),
prs!$A$18:$D$24,
4,
FALSE
)
,"""")"),"")</f>
        <v/>
      </c>
      <c r="U39" s="46"/>
      <c r="V39" s="49"/>
      <c r="W39" s="42"/>
      <c r="X39" s="50"/>
      <c r="Y39" s="50"/>
      <c r="Z39" s="51"/>
      <c r="AA39" s="46" t="str">
        <f>IFERROR(__xludf.DUMMYFUNCTION("IFERROR(
$Z39/
VLOOKUP(
IF(
 REGEXMATCH($W39,""(?i)agachamento""),""Agachamento"",
 IF(
  REGEXMATCH($W39,""(?i)supino""),""Supino"",
  IF(
   REGEXMATCH($W39,""(?i)terra""),""Terra"",
   IF(
    REGEXMATCH($W39,""(?i)desenvolvimento""),""Desenvolvimento"&amp;""",
    IF(
     REGEXMATCH($W39,""(?i)remada""),""Remada"",
     IF(REGEXMATCH($W39,""(?i)arranco""),""Arranco"",IF(REGEXMATCH($W39,""(?i)arremesso""),""Arremesso"",""""))
    )
   )
  )
 )
),
prs!$A$18:$D$24,
4,
FALSE
)
,"""")"),"")</f>
        <v/>
      </c>
      <c r="AB39" s="46"/>
      <c r="AC39" s="41"/>
    </row>
    <row r="40" ht="15.75" customHeight="1">
      <c r="A40" s="41"/>
      <c r="B40" s="42"/>
      <c r="C40" s="50"/>
      <c r="D40" s="50"/>
      <c r="E40" s="51"/>
      <c r="F40" s="46" t="str">
        <f>IFERROR(__xludf.DUMMYFUNCTION("IFERROR(
$E40/
VLOOKUP(
IF(
 REGEXMATCH($B40,""(?i)agachamento""),""Agachamento"",
 IF(
  REGEXMATCH($B40,""(?i)supino""),""Supino"",
  IF(
   REGEXMATCH($B40,""(?i)terra""),""Terra"",
   IF(
    REGEXMATCH($B40,""(?i)desenvolvimento""),""Desenvolvimento"&amp;""",
    IF(
     REGEXMATCH($B40,""(?i)remada""),""Remada"",
     IF(REGEXMATCH($B40,""(?i)arranco""),""Arranco"",IF(REGEXMATCH($B40,""(?i)arremesso""),""Arremesso"",""""))
    )
   )
  )
 )
),
prs!$A$18:$D$24,
4,
FALSE
)
,"""")"),"")</f>
        <v/>
      </c>
      <c r="G40" s="46"/>
      <c r="H40" s="47"/>
      <c r="I40" s="42"/>
      <c r="J40" s="50"/>
      <c r="K40" s="50"/>
      <c r="L40" s="51"/>
      <c r="M40" s="46" t="str">
        <f>IFERROR(__xludf.DUMMYFUNCTION("IFERROR(
$L40/
VLOOKUP(
IF(
 REGEXMATCH($I40,""(?i)agachamento""),""Agachamento"",
 IF(
  REGEXMATCH($I40,""(?i)supino""),""Supino"",
  IF(
   REGEXMATCH($I40,""(?i)terra""),""Terra"",
   IF(
    REGEXMATCH($I40,""(?i)desenvolvimento""),""Desenvolvimento"&amp;""",
    IF(
     REGEXMATCH($I40,""(?i)remada""),""Remada"",
     IF(REGEXMATCH($I40,""(?i)arranco""),""Arranco"",IF(REGEXMATCH($I40,""(?i)arremesso""),""Arremesso"",""""))
    )
   )
  )
 )
),
prs!$A$18:$D$24,
4,
FALSE
)
,"""")"),"")</f>
        <v/>
      </c>
      <c r="N40" s="46"/>
      <c r="O40" s="49"/>
      <c r="P40" s="42"/>
      <c r="Q40" s="50"/>
      <c r="R40" s="50"/>
      <c r="S40" s="51"/>
      <c r="T40" s="46" t="str">
        <f>IFERROR(__xludf.DUMMYFUNCTION("IFERROR(
$S40/
VLOOKUP(
IF(
 REGEXMATCH($P40,""(?i)agachamento""),""Agachamento"",
 IF(
  REGEXMATCH($P40,""(?i)supino""),""Supino"",
  IF(
   REGEXMATCH($P40,""(?i)terra""),""Terra"",
   IF(
    REGEXMATCH($P40,""(?i)desenvolvimento""),""Desenvolvimento"&amp;""",
    IF(
     REGEXMATCH($P40,""(?i)remada""),""Remada"",
     IF(REGEXMATCH($P40,""(?i)arranco""),""Arranco"",IF(REGEXMATCH($P40,""(?i)arremesso""),""Arremesso"",""""))
    )
   )
  )
 )
),
prs!$A$18:$D$24,
4,
FALSE
)
,"""")"),"")</f>
        <v/>
      </c>
      <c r="U40" s="46"/>
      <c r="V40" s="49"/>
      <c r="W40" s="42"/>
      <c r="X40" s="50"/>
      <c r="Y40" s="50"/>
      <c r="Z40" s="51"/>
      <c r="AA40" s="46" t="str">
        <f>IFERROR(__xludf.DUMMYFUNCTION("IFERROR(
$Z40/
VLOOKUP(
IF(
 REGEXMATCH($W40,""(?i)agachamento""),""Agachamento"",
 IF(
  REGEXMATCH($W40,""(?i)supino""),""Supino"",
  IF(
   REGEXMATCH($W40,""(?i)terra""),""Terra"",
   IF(
    REGEXMATCH($W40,""(?i)desenvolvimento""),""Desenvolvimento"&amp;""",
    IF(
     REGEXMATCH($W40,""(?i)remada""),""Remada"",
     IF(REGEXMATCH($W40,""(?i)arranco""),""Arranco"",IF(REGEXMATCH($W40,""(?i)arremesso""),""Arremesso"",""""))
    )
   )
  )
 )
),
prs!$A$18:$D$24,
4,
FALSE
)
,"""")"),"")</f>
        <v/>
      </c>
      <c r="AB40" s="46"/>
      <c r="AC40" s="41"/>
    </row>
    <row r="41" ht="15.75" customHeight="1">
      <c r="A41" s="41"/>
      <c r="B41" s="42"/>
      <c r="C41" s="50"/>
      <c r="D41" s="50"/>
      <c r="E41" s="51"/>
      <c r="F41" s="46" t="str">
        <f>IFERROR(__xludf.DUMMYFUNCTION("IFERROR(
$E41/
VLOOKUP(
IF(
 REGEXMATCH($B41,""(?i)agachamento""),""Agachamento"",
 IF(
  REGEXMATCH($B41,""(?i)supino""),""Supino"",
  IF(
   REGEXMATCH($B41,""(?i)terra""),""Terra"",
   IF(
    REGEXMATCH($B41,""(?i)desenvolvimento""),""Desenvolvimento"&amp;""",
    IF(
     REGEXMATCH($B41,""(?i)remada""),""Remada"",
     IF(REGEXMATCH($B41,""(?i)arranco""),""Arranco"",IF(REGEXMATCH($B41,""(?i)arremesso""),""Arremesso"",""""))
    )
   )
  )
 )
),
prs!$A$18:$D$24,
4,
FALSE
)
,"""")"),"")</f>
        <v/>
      </c>
      <c r="G41" s="46"/>
      <c r="H41" s="47"/>
      <c r="I41" s="42"/>
      <c r="J41" s="50"/>
      <c r="K41" s="50"/>
      <c r="L41" s="51"/>
      <c r="M41" s="46" t="str">
        <f>IFERROR(__xludf.DUMMYFUNCTION("IFERROR(
$L41/
VLOOKUP(
IF(
 REGEXMATCH($I41,""(?i)agachamento""),""Agachamento"",
 IF(
  REGEXMATCH($I41,""(?i)supino""),""Supino"",
  IF(
   REGEXMATCH($I41,""(?i)terra""),""Terra"",
   IF(
    REGEXMATCH($I41,""(?i)desenvolvimento""),""Desenvolvimento"&amp;""",
    IF(
     REGEXMATCH($I41,""(?i)remada""),""Remada"",
     IF(REGEXMATCH($I41,""(?i)arranco""),""Arranco"",IF(REGEXMATCH($I41,""(?i)arremesso""),""Arremesso"",""""))
    )
   )
  )
 )
),
prs!$A$18:$D$24,
4,
FALSE
)
,"""")"),"")</f>
        <v/>
      </c>
      <c r="N41" s="46"/>
      <c r="O41" s="49"/>
      <c r="P41" s="42"/>
      <c r="Q41" s="50"/>
      <c r="R41" s="50"/>
      <c r="S41" s="51"/>
      <c r="T41" s="46" t="str">
        <f>IFERROR(__xludf.DUMMYFUNCTION("IFERROR(
$S41/
VLOOKUP(
IF(
 REGEXMATCH($P41,""(?i)agachamento""),""Agachamento"",
 IF(
  REGEXMATCH($P41,""(?i)supino""),""Supino"",
  IF(
   REGEXMATCH($P41,""(?i)terra""),""Terra"",
   IF(
    REGEXMATCH($P41,""(?i)desenvolvimento""),""Desenvolvimento"&amp;""",
    IF(
     REGEXMATCH($P41,""(?i)remada""),""Remada"",
     IF(REGEXMATCH($P41,""(?i)arranco""),""Arranco"",IF(REGEXMATCH($P41,""(?i)arremesso""),""Arremesso"",""""))
    )
   )
  )
 )
),
prs!$A$18:$D$24,
4,
FALSE
)
,"""")"),"")</f>
        <v/>
      </c>
      <c r="U41" s="46"/>
      <c r="V41" s="49"/>
      <c r="W41" s="42"/>
      <c r="X41" s="50"/>
      <c r="Y41" s="50"/>
      <c r="Z41" s="51"/>
      <c r="AA41" s="46" t="str">
        <f>IFERROR(__xludf.DUMMYFUNCTION("IFERROR(
$Z41/
VLOOKUP(
IF(
 REGEXMATCH($W41,""(?i)agachamento""),""Agachamento"",
 IF(
  REGEXMATCH($W41,""(?i)supino""),""Supino"",
  IF(
   REGEXMATCH($W41,""(?i)terra""),""Terra"",
   IF(
    REGEXMATCH($W41,""(?i)desenvolvimento""),""Desenvolvimento"&amp;""",
    IF(
     REGEXMATCH($W41,""(?i)remada""),""Remada"",
     IF(REGEXMATCH($W41,""(?i)arranco""),""Arranco"",IF(REGEXMATCH($W41,""(?i)arremesso""),""Arremesso"",""""))
    )
   )
  )
 )
),
prs!$A$18:$D$24,
4,
FALSE
)
,"""")"),"")</f>
        <v/>
      </c>
      <c r="AB41" s="46"/>
      <c r="AC41" s="41"/>
    </row>
    <row r="42" ht="15.75" customHeight="1">
      <c r="A42" s="41"/>
      <c r="B42" s="42"/>
      <c r="C42" s="50"/>
      <c r="D42" s="50"/>
      <c r="E42" s="51"/>
      <c r="F42" s="46" t="str">
        <f>IFERROR(__xludf.DUMMYFUNCTION("IFERROR(
$E42/
VLOOKUP(
IF(
 REGEXMATCH($B42,""(?i)agachamento""),""Agachamento"",
 IF(
  REGEXMATCH($B42,""(?i)supino""),""Supino"",
  IF(
   REGEXMATCH($B42,""(?i)terra""),""Terra"",
   IF(
    REGEXMATCH($B42,""(?i)desenvolvimento""),""Desenvolvimento"&amp;""",
    IF(
     REGEXMATCH($B42,""(?i)remada""),""Remada"",
     IF(REGEXMATCH($B42,""(?i)arranco""),""Arranco"",IF(REGEXMATCH($B42,""(?i)arremesso""),""Arremesso"",""""))
    )
   )
  )
 )
),
prs!$A$18:$D$24,
4,
FALSE
)
,"""")"),"")</f>
        <v/>
      </c>
      <c r="G42" s="46"/>
      <c r="H42" s="47"/>
      <c r="I42" s="42"/>
      <c r="J42" s="50"/>
      <c r="K42" s="50"/>
      <c r="L42" s="51"/>
      <c r="M42" s="46" t="str">
        <f>IFERROR(__xludf.DUMMYFUNCTION("IFERROR(
$L42/
VLOOKUP(
IF(
 REGEXMATCH($I42,""(?i)agachamento""),""Agachamento"",
 IF(
  REGEXMATCH($I42,""(?i)supino""),""Supino"",
  IF(
   REGEXMATCH($I42,""(?i)terra""),""Terra"",
   IF(
    REGEXMATCH($I42,""(?i)desenvolvimento""),""Desenvolvimento"&amp;""",
    IF(
     REGEXMATCH($I42,""(?i)remada""),""Remada"",
     IF(REGEXMATCH($I42,""(?i)arranco""),""Arranco"",IF(REGEXMATCH($I42,""(?i)arremesso""),""Arremesso"",""""))
    )
   )
  )
 )
),
prs!$A$18:$D$24,
4,
FALSE
)
,"""")"),"")</f>
        <v/>
      </c>
      <c r="N42" s="46"/>
      <c r="O42" s="49"/>
      <c r="P42" s="42"/>
      <c r="Q42" s="50"/>
      <c r="R42" s="50"/>
      <c r="S42" s="51"/>
      <c r="T42" s="46" t="str">
        <f>IFERROR(__xludf.DUMMYFUNCTION("IFERROR(
$S42/
VLOOKUP(
IF(
 REGEXMATCH($P42,""(?i)agachamento""),""Agachamento"",
 IF(
  REGEXMATCH($P42,""(?i)supino""),""Supino"",
  IF(
   REGEXMATCH($P42,""(?i)terra""),""Terra"",
   IF(
    REGEXMATCH($P42,""(?i)desenvolvimento""),""Desenvolvimento"&amp;""",
    IF(
     REGEXMATCH($P42,""(?i)remada""),""Remada"",
     IF(REGEXMATCH($P42,""(?i)arranco""),""Arranco"",IF(REGEXMATCH($P42,""(?i)arremesso""),""Arremesso"",""""))
    )
   )
  )
 )
),
prs!$A$18:$D$24,
4,
FALSE
)
,"""")"),"")</f>
        <v/>
      </c>
      <c r="U42" s="46"/>
      <c r="V42" s="49"/>
      <c r="W42" s="42"/>
      <c r="X42" s="50"/>
      <c r="Y42" s="50"/>
      <c r="Z42" s="51"/>
      <c r="AA42" s="46" t="str">
        <f>IFERROR(__xludf.DUMMYFUNCTION("IFERROR(
$Z42/
VLOOKUP(
IF(
 REGEXMATCH($W42,""(?i)agachamento""),""Agachamento"",
 IF(
  REGEXMATCH($W42,""(?i)supino""),""Supino"",
  IF(
   REGEXMATCH($W42,""(?i)terra""),""Terra"",
   IF(
    REGEXMATCH($W42,""(?i)desenvolvimento""),""Desenvolvimento"&amp;""",
    IF(
     REGEXMATCH($W42,""(?i)remada""),""Remada"",
     IF(REGEXMATCH($W42,""(?i)arranco""),""Arranco"",IF(REGEXMATCH($W42,""(?i)arremesso""),""Arremesso"",""""))
    )
   )
  )
 )
),
prs!$A$18:$D$24,
4,
FALSE
)
,"""")"),"")</f>
        <v/>
      </c>
      <c r="AB42" s="46"/>
      <c r="AC42" s="41"/>
    </row>
    <row r="43" ht="15.75" customHeight="1">
      <c r="A43" s="41"/>
      <c r="B43" s="42"/>
      <c r="C43" s="50"/>
      <c r="D43" s="50"/>
      <c r="E43" s="51"/>
      <c r="F43" s="46" t="str">
        <f>IFERROR(__xludf.DUMMYFUNCTION("IFERROR(
$E43/
VLOOKUP(
IF(
 REGEXMATCH($B43,""(?i)agachamento""),""Agachamento"",
 IF(
  REGEXMATCH($B43,""(?i)supino""),""Supino"",
  IF(
   REGEXMATCH($B43,""(?i)terra""),""Terra"",
   IF(
    REGEXMATCH($B43,""(?i)desenvolvimento""),""Desenvolvimento"&amp;""",
    IF(
     REGEXMATCH($B43,""(?i)remada""),""Remada"",
     IF(REGEXMATCH($B43,""(?i)arranco""),""Arranco"",IF(REGEXMATCH($B43,""(?i)arremesso""),""Arremesso"",""""))
    )
   )
  )
 )
),
prs!$A$18:$D$24,
4,
FALSE
)
,"""")"),"")</f>
        <v/>
      </c>
      <c r="G43" s="46"/>
      <c r="H43" s="47"/>
      <c r="I43" s="42"/>
      <c r="J43" s="50"/>
      <c r="K43" s="50"/>
      <c r="L43" s="51"/>
      <c r="M43" s="46" t="str">
        <f>IFERROR(__xludf.DUMMYFUNCTION("IFERROR(
$L43/
VLOOKUP(
IF(
 REGEXMATCH($I43,""(?i)agachamento""),""Agachamento"",
 IF(
  REGEXMATCH($I43,""(?i)supino""),""Supino"",
  IF(
   REGEXMATCH($I43,""(?i)terra""),""Terra"",
   IF(
    REGEXMATCH($I43,""(?i)desenvolvimento""),""Desenvolvimento"&amp;""",
    IF(
     REGEXMATCH($I43,""(?i)remada""),""Remada"",
     IF(REGEXMATCH($I43,""(?i)arranco""),""Arranco"",IF(REGEXMATCH($I43,""(?i)arremesso""),""Arremesso"",""""))
    )
   )
  )
 )
),
prs!$A$18:$D$24,
4,
FALSE
)
,"""")"),"")</f>
        <v/>
      </c>
      <c r="N43" s="46"/>
      <c r="O43" s="49"/>
      <c r="P43" s="42"/>
      <c r="Q43" s="50"/>
      <c r="R43" s="50"/>
      <c r="S43" s="51"/>
      <c r="T43" s="46" t="str">
        <f>IFERROR(__xludf.DUMMYFUNCTION("IFERROR(
$S43/
VLOOKUP(
IF(
 REGEXMATCH($P43,""(?i)agachamento""),""Agachamento"",
 IF(
  REGEXMATCH($P43,""(?i)supino""),""Supino"",
  IF(
   REGEXMATCH($P43,""(?i)terra""),""Terra"",
   IF(
    REGEXMATCH($P43,""(?i)desenvolvimento""),""Desenvolvimento"&amp;""",
    IF(
     REGEXMATCH($P43,""(?i)remada""),""Remada"",
     IF(REGEXMATCH($P43,""(?i)arranco""),""Arranco"",IF(REGEXMATCH($P43,""(?i)arremesso""),""Arremesso"",""""))
    )
   )
  )
 )
),
prs!$A$18:$D$24,
4,
FALSE
)
,"""")"),"")</f>
        <v/>
      </c>
      <c r="U43" s="46"/>
      <c r="V43" s="49"/>
      <c r="W43" s="42"/>
      <c r="X43" s="50"/>
      <c r="Y43" s="50"/>
      <c r="Z43" s="51"/>
      <c r="AA43" s="46" t="str">
        <f>IFERROR(__xludf.DUMMYFUNCTION("IFERROR(
$Z43/
VLOOKUP(
IF(
 REGEXMATCH($W43,""(?i)agachamento""),""Agachamento"",
 IF(
  REGEXMATCH($W43,""(?i)supino""),""Supino"",
  IF(
   REGEXMATCH($W43,""(?i)terra""),""Terra"",
   IF(
    REGEXMATCH($W43,""(?i)desenvolvimento""),""Desenvolvimento"&amp;""",
    IF(
     REGEXMATCH($W43,""(?i)remada""),""Remada"",
     IF(REGEXMATCH($W43,""(?i)arranco""),""Arranco"",IF(REGEXMATCH($W43,""(?i)arremesso""),""Arremesso"",""""))
    )
   )
  )
 )
),
prs!$A$18:$D$24,
4,
FALSE
)
,"""")"),"")</f>
        <v/>
      </c>
      <c r="AB43" s="46"/>
      <c r="AC43" s="41"/>
    </row>
    <row r="44" ht="15.75" customHeight="1">
      <c r="A44" s="41"/>
      <c r="B44" s="42"/>
      <c r="C44" s="50"/>
      <c r="D44" s="50"/>
      <c r="E44" s="51"/>
      <c r="F44" s="46" t="str">
        <f>IFERROR(__xludf.DUMMYFUNCTION("IFERROR(
$E44/
VLOOKUP(
IF(
 REGEXMATCH($B44,""(?i)agachamento""),""Agachamento"",
 IF(
  REGEXMATCH($B44,""(?i)supino""),""Supino"",
  IF(
   REGEXMATCH($B44,""(?i)terra""),""Terra"",
   IF(
    REGEXMATCH($B44,""(?i)desenvolvimento""),""Desenvolvimento"&amp;""",
    IF(
     REGEXMATCH($B44,""(?i)remada""),""Remada"",
     IF(REGEXMATCH($B44,""(?i)arranco""),""Arranco"",IF(REGEXMATCH($B44,""(?i)arremesso""),""Arremesso"",""""))
    )
   )
  )
 )
),
prs!$A$18:$D$24,
4,
FALSE
)
,"""")"),"")</f>
        <v/>
      </c>
      <c r="G44" s="46"/>
      <c r="H44" s="47"/>
      <c r="I44" s="42"/>
      <c r="J44" s="50"/>
      <c r="K44" s="50"/>
      <c r="L44" s="51"/>
      <c r="M44" s="46" t="str">
        <f>IFERROR(__xludf.DUMMYFUNCTION("IFERROR(
$L44/
VLOOKUP(
IF(
 REGEXMATCH($I44,""(?i)agachamento""),""Agachamento"",
 IF(
  REGEXMATCH($I44,""(?i)supino""),""Supino"",
  IF(
   REGEXMATCH($I44,""(?i)terra""),""Terra"",
   IF(
    REGEXMATCH($I44,""(?i)desenvolvimento""),""Desenvolvimento"&amp;""",
    IF(
     REGEXMATCH($I44,""(?i)remada""),""Remada"",
     IF(REGEXMATCH($I44,""(?i)arranco""),""Arranco"",IF(REGEXMATCH($I44,""(?i)arremesso""),""Arremesso"",""""))
    )
   )
  )
 )
),
prs!$A$18:$D$24,
4,
FALSE
)
,"""")"),"")</f>
        <v/>
      </c>
      <c r="N44" s="46"/>
      <c r="O44" s="49"/>
      <c r="P44" s="42"/>
      <c r="Q44" s="50"/>
      <c r="R44" s="50"/>
      <c r="S44" s="51"/>
      <c r="T44" s="46" t="str">
        <f>IFERROR(__xludf.DUMMYFUNCTION("IFERROR(
$S44/
VLOOKUP(
IF(
 REGEXMATCH($P44,""(?i)agachamento""),""Agachamento"",
 IF(
  REGEXMATCH($P44,""(?i)supino""),""Supino"",
  IF(
   REGEXMATCH($P44,""(?i)terra""),""Terra"",
   IF(
    REGEXMATCH($P44,""(?i)desenvolvimento""),""Desenvolvimento"&amp;""",
    IF(
     REGEXMATCH($P44,""(?i)remada""),""Remada"",
     IF(REGEXMATCH($P44,""(?i)arranco""),""Arranco"",IF(REGEXMATCH($P44,""(?i)arremesso""),""Arremesso"",""""))
    )
   )
  )
 )
),
prs!$A$18:$D$24,
4,
FALSE
)
,"""")"),"")</f>
        <v/>
      </c>
      <c r="U44" s="46"/>
      <c r="V44" s="49"/>
      <c r="W44" s="42"/>
      <c r="X44" s="50"/>
      <c r="Y44" s="50"/>
      <c r="Z44" s="51"/>
      <c r="AA44" s="46" t="str">
        <f>IFERROR(__xludf.DUMMYFUNCTION("IFERROR(
$Z44/
VLOOKUP(
IF(
 REGEXMATCH($W44,""(?i)agachamento""),""Agachamento"",
 IF(
  REGEXMATCH($W44,""(?i)supino""),""Supino"",
  IF(
   REGEXMATCH($W44,""(?i)terra""),""Terra"",
   IF(
    REGEXMATCH($W44,""(?i)desenvolvimento""),""Desenvolvimento"&amp;""",
    IF(
     REGEXMATCH($W44,""(?i)remada""),""Remada"",
     IF(REGEXMATCH($W44,""(?i)arranco""),""Arranco"",IF(REGEXMATCH($W44,""(?i)arremesso""),""Arremesso"",""""))
    )
   )
  )
 )
),
prs!$A$18:$D$24,
4,
FALSE
)
,"""")"),"")</f>
        <v/>
      </c>
      <c r="AB44" s="46"/>
      <c r="AC44" s="41"/>
    </row>
    <row r="45" ht="15.75" customHeight="1">
      <c r="A45" s="41"/>
      <c r="B45" s="42"/>
      <c r="C45" s="50"/>
      <c r="D45" s="50"/>
      <c r="E45" s="51"/>
      <c r="F45" s="46" t="str">
        <f>IFERROR(__xludf.DUMMYFUNCTION("IFERROR(
$E45/
VLOOKUP(
IF(
 REGEXMATCH($B45,""(?i)agachamento""),""Agachamento"",
 IF(
  REGEXMATCH($B45,""(?i)supino""),""Supino"",
  IF(
   REGEXMATCH($B45,""(?i)terra""),""Terra"",
   IF(
    REGEXMATCH($B45,""(?i)desenvolvimento""),""Desenvolvimento"&amp;""",
    IF(
     REGEXMATCH($B45,""(?i)remada""),""Remada"",
     IF(REGEXMATCH($B45,""(?i)arranco""),""Arranco"",IF(REGEXMATCH($B45,""(?i)arremesso""),""Arremesso"",""""))
    )
   )
  )
 )
),
prs!$A$18:$D$24,
4,
FALSE
)
,"""")"),"")</f>
        <v/>
      </c>
      <c r="G45" s="46"/>
      <c r="H45" s="47"/>
      <c r="I45" s="42"/>
      <c r="J45" s="50"/>
      <c r="K45" s="50"/>
      <c r="L45" s="51"/>
      <c r="M45" s="46" t="str">
        <f>IFERROR(__xludf.DUMMYFUNCTION("IFERROR(
$L45/
VLOOKUP(
IF(
 REGEXMATCH($I45,""(?i)agachamento""),""Agachamento"",
 IF(
  REGEXMATCH($I45,""(?i)supino""),""Supino"",
  IF(
   REGEXMATCH($I45,""(?i)terra""),""Terra"",
   IF(
    REGEXMATCH($I45,""(?i)desenvolvimento""),""Desenvolvimento"&amp;""",
    IF(
     REGEXMATCH($I45,""(?i)remada""),""Remada"",
     IF(REGEXMATCH($I45,""(?i)arranco""),""Arranco"",IF(REGEXMATCH($I45,""(?i)arremesso""),""Arremesso"",""""))
    )
   )
  )
 )
),
prs!$A$18:$D$24,
4,
FALSE
)
,"""")"),"")</f>
        <v/>
      </c>
      <c r="N45" s="46"/>
      <c r="O45" s="49"/>
      <c r="P45" s="42"/>
      <c r="Q45" s="50"/>
      <c r="R45" s="50"/>
      <c r="S45" s="51"/>
      <c r="T45" s="46" t="str">
        <f>IFERROR(__xludf.DUMMYFUNCTION("IFERROR(
$S45/
VLOOKUP(
IF(
 REGEXMATCH($P45,""(?i)agachamento""),""Agachamento"",
 IF(
  REGEXMATCH($P45,""(?i)supino""),""Supino"",
  IF(
   REGEXMATCH($P45,""(?i)terra""),""Terra"",
   IF(
    REGEXMATCH($P45,""(?i)desenvolvimento""),""Desenvolvimento"&amp;""",
    IF(
     REGEXMATCH($P45,""(?i)remada""),""Remada"",
     IF(REGEXMATCH($P45,""(?i)arranco""),""Arranco"",IF(REGEXMATCH($P45,""(?i)arremesso""),""Arremesso"",""""))
    )
   )
  )
 )
),
prs!$A$18:$D$24,
4,
FALSE
)
,"""")"),"")</f>
        <v/>
      </c>
      <c r="U45" s="46"/>
      <c r="V45" s="49"/>
      <c r="W45" s="42"/>
      <c r="X45" s="50"/>
      <c r="Y45" s="50"/>
      <c r="Z45" s="51"/>
      <c r="AA45" s="46" t="str">
        <f>IFERROR(__xludf.DUMMYFUNCTION("IFERROR(
$Z45/
VLOOKUP(
IF(
 REGEXMATCH($W45,""(?i)agachamento""),""Agachamento"",
 IF(
  REGEXMATCH($W45,""(?i)supino""),""Supino"",
  IF(
   REGEXMATCH($W45,""(?i)terra""),""Terra"",
   IF(
    REGEXMATCH($W45,""(?i)desenvolvimento""),""Desenvolvimento"&amp;""",
    IF(
     REGEXMATCH($W45,""(?i)remada""),""Remada"",
     IF(REGEXMATCH($W45,""(?i)arranco""),""Arranco"",IF(REGEXMATCH($W45,""(?i)arremesso""),""Arremesso"",""""))
    )
   )
  )
 )
),
prs!$A$18:$D$24,
4,
FALSE
)
,"""")"),"")</f>
        <v/>
      </c>
      <c r="AB45" s="46"/>
      <c r="AC45" s="41"/>
    </row>
    <row r="46" ht="15.75" customHeight="1">
      <c r="A46" s="31"/>
      <c r="B46" s="52"/>
      <c r="C46" s="32" t="s">
        <v>20</v>
      </c>
      <c r="H46" s="29"/>
      <c r="I46" s="52"/>
      <c r="J46" s="32" t="s">
        <v>23</v>
      </c>
      <c r="O46" s="29"/>
      <c r="P46" s="52"/>
      <c r="Q46" s="32" t="s">
        <v>24</v>
      </c>
      <c r="V46" s="29"/>
      <c r="W46" s="52"/>
      <c r="X46" s="32" t="s">
        <v>25</v>
      </c>
      <c r="AC46" s="29"/>
    </row>
    <row r="47" ht="15.75" customHeight="1">
      <c r="A47" s="47"/>
      <c r="B47" s="47"/>
      <c r="C47" s="47"/>
      <c r="D47" s="47"/>
      <c r="H47" s="47"/>
      <c r="I47" s="47"/>
      <c r="J47" s="47"/>
      <c r="K47" s="47"/>
      <c r="O47" s="47"/>
      <c r="P47" s="47"/>
      <c r="Q47" s="47"/>
      <c r="R47" s="47"/>
      <c r="V47" s="47"/>
      <c r="W47" s="47"/>
      <c r="X47" s="47"/>
      <c r="Y47" s="47"/>
      <c r="AC47" s="47"/>
    </row>
    <row r="48" ht="15.75" customHeight="1">
      <c r="A48" s="2" t="s">
        <v>27</v>
      </c>
      <c r="B48" s="20"/>
      <c r="C48" s="32"/>
      <c r="H48" s="29"/>
      <c r="I48" s="20"/>
      <c r="J48" s="32"/>
      <c r="O48" s="29"/>
      <c r="P48" s="20"/>
      <c r="Q48" s="32"/>
      <c r="V48" s="29"/>
      <c r="W48" s="20"/>
      <c r="X48" s="32"/>
      <c r="AC48" s="47"/>
    </row>
    <row r="49" ht="15.75" customHeight="1">
      <c r="A49" s="2"/>
      <c r="B49" s="52"/>
      <c r="C49" s="5" t="s">
        <v>13</v>
      </c>
      <c r="D49" s="5" t="s">
        <v>16</v>
      </c>
      <c r="E49" s="5" t="s">
        <v>15</v>
      </c>
      <c r="F49" s="5" t="s">
        <v>17</v>
      </c>
      <c r="G49" s="5" t="s">
        <v>11</v>
      </c>
      <c r="H49" s="29"/>
      <c r="I49" s="52"/>
      <c r="J49" s="5" t="s">
        <v>13</v>
      </c>
      <c r="K49" s="5" t="s">
        <v>16</v>
      </c>
      <c r="L49" s="5" t="s">
        <v>15</v>
      </c>
      <c r="M49" s="5" t="s">
        <v>17</v>
      </c>
      <c r="N49" s="5" t="s">
        <v>11</v>
      </c>
      <c r="O49" s="29"/>
      <c r="P49" s="52"/>
      <c r="Q49" s="5" t="s">
        <v>13</v>
      </c>
      <c r="R49" s="5" t="s">
        <v>16</v>
      </c>
      <c r="S49" s="5" t="s">
        <v>15</v>
      </c>
      <c r="T49" s="5" t="s">
        <v>17</v>
      </c>
      <c r="U49" s="5" t="s">
        <v>11</v>
      </c>
      <c r="V49" s="29"/>
      <c r="W49" s="52"/>
      <c r="X49" s="5" t="s">
        <v>13</v>
      </c>
      <c r="Y49" s="5" t="s">
        <v>16</v>
      </c>
      <c r="Z49" s="5" t="s">
        <v>15</v>
      </c>
      <c r="AA49" s="5" t="s">
        <v>17</v>
      </c>
      <c r="AB49" s="5" t="s">
        <v>11</v>
      </c>
      <c r="AC49" s="47"/>
    </row>
    <row r="50" ht="15.75" customHeight="1">
      <c r="A50" s="2"/>
      <c r="B50" s="2" t="s">
        <v>18</v>
      </c>
      <c r="C50" s="38"/>
      <c r="D50" s="5"/>
      <c r="E50" s="5"/>
      <c r="F50" s="5" t="s">
        <v>19</v>
      </c>
      <c r="G50" s="5"/>
      <c r="H50" s="29"/>
      <c r="I50" s="2" t="s">
        <v>18</v>
      </c>
      <c r="J50" s="38"/>
      <c r="K50" s="5"/>
      <c r="L50" s="5"/>
      <c r="M50" s="5" t="s">
        <v>19</v>
      </c>
      <c r="N50" s="5"/>
      <c r="O50" s="29"/>
      <c r="P50" s="2" t="s">
        <v>18</v>
      </c>
      <c r="Q50" s="38"/>
      <c r="R50" s="5"/>
      <c r="S50" s="5"/>
      <c r="T50" s="5" t="s">
        <v>19</v>
      </c>
      <c r="U50" s="5"/>
      <c r="V50" s="29"/>
      <c r="W50" s="2" t="s">
        <v>18</v>
      </c>
      <c r="X50" s="38"/>
      <c r="Y50" s="5"/>
      <c r="Z50" s="5"/>
      <c r="AA50" s="5" t="s">
        <v>19</v>
      </c>
      <c r="AB50" s="5"/>
      <c r="AC50" s="47"/>
    </row>
    <row r="51" ht="15.75" customHeight="1">
      <c r="A51" s="49"/>
      <c r="B51" s="53"/>
      <c r="C51" s="43"/>
      <c r="D51" s="43"/>
      <c r="E51" s="44"/>
      <c r="F51" s="46" t="str">
        <f>IFERROR(__xludf.DUMMYFUNCTION("IFERROR(
$E51/
VLOOKUP(
IF(
 REGEXMATCH($B51,""(?i)agachamento""),""Agachamento"",
 IF(
  REGEXMATCH($B51,""(?i)supino""),""Supino"",
  IF(
   REGEXMATCH($B51,""(?i)terra""),""Terra"",
   IF(
    REGEXMATCH($B51,""(?i)desenvolvimento""),""Desenvolvimento"&amp;""",
    IF(
     REGEXMATCH($B51,""(?i)remada""),""Remada"",
     IF(REGEXMATCH($B51,""(?i)arranco""),""Arranco"",IF(REGEXMATCH($B51,""(?i)arremesso""),""Arremesso"",""""))
    )
   )
  )
 )
),
prs!$A$18:$D$24,
4,
FALSE
)
,"""")"),"")</f>
        <v/>
      </c>
      <c r="G51" s="46"/>
      <c r="H51" s="47"/>
      <c r="I51" s="53"/>
      <c r="J51" s="43"/>
      <c r="K51" s="43"/>
      <c r="L51" s="44"/>
      <c r="M51" s="46" t="str">
        <f>IFERROR(__xludf.DUMMYFUNCTION("IFERROR(
$L51/
VLOOKUP(
IF(
 REGEXMATCH($I51,""(?i)agachamento""),""Agachamento"",
 IF(
  REGEXMATCH($I51,""(?i)supino""),""Supino"",
  IF(
   REGEXMATCH($I51,""(?i)terra""),""Terra"",
   IF(
    REGEXMATCH($I51,""(?i)desenvolvimento""),""Desenvolvimento"&amp;""",
    IF(
     REGEXMATCH($I51,""(?i)remada""),""Remada"",
     IF(REGEXMATCH($I51,""(?i)arranco""),""Arranco"",IF(REGEXMATCH($I51,""(?i)arremesso""),""Arremesso"",""""))
    )
   )
  )
 )
),
prs!$A$18:$D$24,
4,
FALSE
)
,"""")"),"")</f>
        <v/>
      </c>
      <c r="N51" s="46"/>
      <c r="O51" s="49"/>
      <c r="P51" s="53"/>
      <c r="Q51" s="43"/>
      <c r="R51" s="43"/>
      <c r="S51" s="44"/>
      <c r="T51" s="46" t="str">
        <f>IFERROR(__xludf.DUMMYFUNCTION("IFERROR(
$S51/
VLOOKUP(
IF(
 REGEXMATCH($P51,""(?i)agachamento""),""Agachamento"",
 IF(
  REGEXMATCH($P51,""(?i)supino""),""Supino"",
  IF(
   REGEXMATCH($P51,""(?i)terra""),""Terra"",
   IF(
    REGEXMATCH($P51,""(?i)desenvolvimento""),""Desenvolvimento"&amp;""",
    IF(
     REGEXMATCH($P51,""(?i)remada""),""Remada"",
     IF(REGEXMATCH($P51,""(?i)arranco""),""Arranco"",IF(REGEXMATCH($P51,""(?i)arremesso""),""Arremesso"",""""))
    )
   )
  )
 )
),
prs!$A$18:$D$24,
4,
FALSE
)
,"""")"),"")</f>
        <v/>
      </c>
      <c r="U51" s="46"/>
      <c r="V51" s="49"/>
      <c r="W51" s="53"/>
      <c r="X51" s="43"/>
      <c r="Y51" s="43"/>
      <c r="Z51" s="44"/>
      <c r="AA51" s="46" t="str">
        <f>IFERROR(__xludf.DUMMYFUNCTION("IFERROR(
$Z51/
VLOOKUP(
IF(
 REGEXMATCH($W51,""(?i)agachamento""),""Agachamento"",
 IF(
  REGEXMATCH($W51,""(?i)supino""),""Supino"",
  IF(
   REGEXMATCH($W51,""(?i)terra""),""Terra"",
   IF(
    REGEXMATCH($W51,""(?i)desenvolvimento""),""Desenvolvimento"&amp;""",
    IF(
     REGEXMATCH($W51,""(?i)remada""),""Remada"",
     IF(REGEXMATCH($W51,""(?i)arranco""),""Arranco"",IF(REGEXMATCH($W51,""(?i)arremesso""),""Arremesso"",""""))
    )
   )
  )
 )
),
prs!$A$18:$D$24,
4,
FALSE
)
,"""")"),"")</f>
        <v/>
      </c>
      <c r="AB51" s="46"/>
      <c r="AC51" s="49"/>
    </row>
    <row r="52" ht="15.75" customHeight="1">
      <c r="A52" s="49"/>
      <c r="B52" s="53"/>
      <c r="C52" s="43"/>
      <c r="D52" s="43"/>
      <c r="E52" s="44"/>
      <c r="F52" s="46" t="str">
        <f>IFERROR(__xludf.DUMMYFUNCTION("IFERROR(
$E52/
VLOOKUP(
IF(
 REGEXMATCH($B52,""(?i)agachamento""),""Agachamento"",
 IF(
  REGEXMATCH($B52,""(?i)supino""),""Supino"",
  IF(
   REGEXMATCH($B52,""(?i)terra""),""Terra"",
   IF(
    REGEXMATCH($B52,""(?i)desenvolvimento""),""Desenvolvimento"&amp;""",
    IF(
     REGEXMATCH($B52,""(?i)remada""),""Remada"",
     IF(REGEXMATCH($B52,""(?i)arranco""),""Arranco"",IF(REGEXMATCH($B52,""(?i)arremesso""),""Arremesso"",""""))
    )
   )
  )
 )
),
prs!$A$18:$D$24,
4,
FALSE
)
,"""")"),"")</f>
        <v/>
      </c>
      <c r="G52" s="46"/>
      <c r="H52" s="47"/>
      <c r="I52" s="53"/>
      <c r="J52" s="43"/>
      <c r="K52" s="43"/>
      <c r="L52" s="44"/>
      <c r="M52" s="46" t="str">
        <f>IFERROR(__xludf.DUMMYFUNCTION("IFERROR(
$L52/
VLOOKUP(
IF(
 REGEXMATCH($I52,""(?i)agachamento""),""Agachamento"",
 IF(
  REGEXMATCH($I52,""(?i)supino""),""Supino"",
  IF(
   REGEXMATCH($I52,""(?i)terra""),""Terra"",
   IF(
    REGEXMATCH($I52,""(?i)desenvolvimento""),""Desenvolvimento"&amp;""",
    IF(
     REGEXMATCH($I52,""(?i)remada""),""Remada"",
     IF(REGEXMATCH($I52,""(?i)arranco""),""Arranco"",IF(REGEXMATCH($I52,""(?i)arremesso""),""Arremesso"",""""))
    )
   )
  )
 )
),
prs!$A$18:$D$24,
4,
FALSE
)
,"""")"),"")</f>
        <v/>
      </c>
      <c r="N52" s="46"/>
      <c r="O52" s="49"/>
      <c r="P52" s="53"/>
      <c r="Q52" s="43"/>
      <c r="R52" s="43"/>
      <c r="S52" s="44"/>
      <c r="T52" s="46" t="str">
        <f>IFERROR(__xludf.DUMMYFUNCTION("IFERROR(
$S52/
VLOOKUP(
IF(
 REGEXMATCH($P52,""(?i)agachamento""),""Agachamento"",
 IF(
  REGEXMATCH($P52,""(?i)supino""),""Supino"",
  IF(
   REGEXMATCH($P52,""(?i)terra""),""Terra"",
   IF(
    REGEXMATCH($P52,""(?i)desenvolvimento""),""Desenvolvimento"&amp;""",
    IF(
     REGEXMATCH($P52,""(?i)remada""),""Remada"",
     IF(REGEXMATCH($P52,""(?i)arranco""),""Arranco"",IF(REGEXMATCH($P52,""(?i)arremesso""),""Arremesso"",""""))
    )
   )
  )
 )
),
prs!$A$18:$D$24,
4,
FALSE
)
,"""")"),"")</f>
        <v/>
      </c>
      <c r="U52" s="46"/>
      <c r="V52" s="49"/>
      <c r="W52" s="53"/>
      <c r="X52" s="43"/>
      <c r="Y52" s="43"/>
      <c r="Z52" s="44"/>
      <c r="AA52" s="46" t="str">
        <f>IFERROR(__xludf.DUMMYFUNCTION("IFERROR(
$Z52/
VLOOKUP(
IF(
 REGEXMATCH($W52,""(?i)agachamento""),""Agachamento"",
 IF(
  REGEXMATCH($W52,""(?i)supino""),""Supino"",
  IF(
   REGEXMATCH($W52,""(?i)terra""),""Terra"",
   IF(
    REGEXMATCH($W52,""(?i)desenvolvimento""),""Desenvolvimento"&amp;""",
    IF(
     REGEXMATCH($W52,""(?i)remada""),""Remada"",
     IF(REGEXMATCH($W52,""(?i)arranco""),""Arranco"",IF(REGEXMATCH($W52,""(?i)arremesso""),""Arremesso"",""""))
    )
   )
  )
 )
),
prs!$A$18:$D$24,
4,
FALSE
)
,"""")"),"")</f>
        <v/>
      </c>
      <c r="AB52" s="46"/>
      <c r="AC52" s="49"/>
    </row>
    <row r="53" ht="15.75" customHeight="1">
      <c r="A53" s="49"/>
      <c r="B53" s="53"/>
      <c r="C53" s="43"/>
      <c r="D53" s="43"/>
      <c r="E53" s="44"/>
      <c r="F53" s="46" t="str">
        <f>IFERROR(__xludf.DUMMYFUNCTION("IFERROR(
$E53/
VLOOKUP(
IF(
 REGEXMATCH($B53,""(?i)agachamento""),""Agachamento"",
 IF(
  REGEXMATCH($B53,""(?i)supino""),""Supino"",
  IF(
   REGEXMATCH($B53,""(?i)terra""),""Terra"",
   IF(
    REGEXMATCH($B53,""(?i)desenvolvimento""),""Desenvolvimento"&amp;""",
    IF(
     REGEXMATCH($B53,""(?i)remada""),""Remada"",
     IF(REGEXMATCH($B53,""(?i)arranco""),""Arranco"",IF(REGEXMATCH($B53,""(?i)arremesso""),""Arremesso"",""""))
    )
   )
  )
 )
),
prs!$A$18:$D$24,
4,
FALSE
)
,"""")"),"")</f>
        <v/>
      </c>
      <c r="G53" s="46"/>
      <c r="H53" s="47"/>
      <c r="I53" s="53"/>
      <c r="J53" s="43"/>
      <c r="K53" s="43"/>
      <c r="L53" s="44"/>
      <c r="M53" s="46" t="str">
        <f>IFERROR(__xludf.DUMMYFUNCTION("IFERROR(
$L53/
VLOOKUP(
IF(
 REGEXMATCH($I53,""(?i)agachamento""),""Agachamento"",
 IF(
  REGEXMATCH($I53,""(?i)supino""),""Supino"",
  IF(
   REGEXMATCH($I53,""(?i)terra""),""Terra"",
   IF(
    REGEXMATCH($I53,""(?i)desenvolvimento""),""Desenvolvimento"&amp;""",
    IF(
     REGEXMATCH($I53,""(?i)remada""),""Remada"",
     IF(REGEXMATCH($I53,""(?i)arranco""),""Arranco"",IF(REGEXMATCH($I53,""(?i)arremesso""),""Arremesso"",""""))
    )
   )
  )
 )
),
prs!$A$18:$D$24,
4,
FALSE
)
,"""")"),"")</f>
        <v/>
      </c>
      <c r="N53" s="46"/>
      <c r="O53" s="49"/>
      <c r="P53" s="53"/>
      <c r="Q53" s="43"/>
      <c r="R53" s="43"/>
      <c r="S53" s="44"/>
      <c r="T53" s="46" t="str">
        <f>IFERROR(__xludf.DUMMYFUNCTION("IFERROR(
$S53/
VLOOKUP(
IF(
 REGEXMATCH($P53,""(?i)agachamento""),""Agachamento"",
 IF(
  REGEXMATCH($P53,""(?i)supino""),""Supino"",
  IF(
   REGEXMATCH($P53,""(?i)terra""),""Terra"",
   IF(
    REGEXMATCH($P53,""(?i)desenvolvimento""),""Desenvolvimento"&amp;""",
    IF(
     REGEXMATCH($P53,""(?i)remada""),""Remada"",
     IF(REGEXMATCH($P53,""(?i)arranco""),""Arranco"",IF(REGEXMATCH($P53,""(?i)arremesso""),""Arremesso"",""""))
    )
   )
  )
 )
),
prs!$A$18:$D$24,
4,
FALSE
)
,"""")"),"")</f>
        <v/>
      </c>
      <c r="U53" s="46"/>
      <c r="V53" s="49"/>
      <c r="W53" s="53"/>
      <c r="X53" s="43"/>
      <c r="Y53" s="43"/>
      <c r="Z53" s="44"/>
      <c r="AA53" s="46" t="str">
        <f>IFERROR(__xludf.DUMMYFUNCTION("IFERROR(
$Z53/
VLOOKUP(
IF(
 REGEXMATCH($W53,""(?i)agachamento""),""Agachamento"",
 IF(
  REGEXMATCH($W53,""(?i)supino""),""Supino"",
  IF(
   REGEXMATCH($W53,""(?i)terra""),""Terra"",
   IF(
    REGEXMATCH($W53,""(?i)desenvolvimento""),""Desenvolvimento"&amp;""",
    IF(
     REGEXMATCH($W53,""(?i)remada""),""Remada"",
     IF(REGEXMATCH($W53,""(?i)arranco""),""Arranco"",IF(REGEXMATCH($W53,""(?i)arremesso""),""Arremesso"",""""))
    )
   )
  )
 )
),
prs!$A$18:$D$24,
4,
FALSE
)
,"""")"),"")</f>
        <v/>
      </c>
      <c r="AB53" s="46"/>
      <c r="AC53" s="49"/>
    </row>
    <row r="54" ht="15.75" customHeight="1">
      <c r="A54" s="49"/>
      <c r="B54" s="53"/>
      <c r="C54" s="50"/>
      <c r="D54" s="50"/>
      <c r="E54" s="51"/>
      <c r="F54" s="46" t="str">
        <f>IFERROR(__xludf.DUMMYFUNCTION("IFERROR(
$E54/
VLOOKUP(
IF(
 REGEXMATCH($B54,""(?i)agachamento""),""Agachamento"",
 IF(
  REGEXMATCH($B54,""(?i)supino""),""Supino"",
  IF(
   REGEXMATCH($B54,""(?i)terra""),""Terra"",
   IF(
    REGEXMATCH($B54,""(?i)desenvolvimento""),""Desenvolvimento"&amp;""",
    IF(
     REGEXMATCH($B54,""(?i)remada""),""Remada"",
     IF(REGEXMATCH($B54,""(?i)arranco""),""Arranco"",IF(REGEXMATCH($B54,""(?i)arremesso""),""Arremesso"",""""))
    )
   )
  )
 )
),
prs!$A$18:$D$24,
4,
FALSE
)
,"""")"),"")</f>
        <v/>
      </c>
      <c r="G54" s="46"/>
      <c r="H54" s="47"/>
      <c r="I54" s="53"/>
      <c r="J54" s="50"/>
      <c r="K54" s="50"/>
      <c r="L54" s="51"/>
      <c r="M54" s="46" t="str">
        <f>IFERROR(__xludf.DUMMYFUNCTION("IFERROR(
$L54/
VLOOKUP(
IF(
 REGEXMATCH($I54,""(?i)agachamento""),""Agachamento"",
 IF(
  REGEXMATCH($I54,""(?i)supino""),""Supino"",
  IF(
   REGEXMATCH($I54,""(?i)terra""),""Terra"",
   IF(
    REGEXMATCH($I54,""(?i)desenvolvimento""),""Desenvolvimento"&amp;""",
    IF(
     REGEXMATCH($I54,""(?i)remada""),""Remada"",
     IF(REGEXMATCH($I54,""(?i)arranco""),""Arranco"",IF(REGEXMATCH($I54,""(?i)arremesso""),""Arremesso"",""""))
    )
   )
  )
 )
),
prs!$A$18:$D$24,
4,
FALSE
)
,"""")"),"")</f>
        <v/>
      </c>
      <c r="N54" s="46"/>
      <c r="O54" s="49"/>
      <c r="P54" s="53"/>
      <c r="Q54" s="50"/>
      <c r="R54" s="50"/>
      <c r="S54" s="51"/>
      <c r="T54" s="46" t="str">
        <f>IFERROR(__xludf.DUMMYFUNCTION("IFERROR(
$S54/
VLOOKUP(
IF(
 REGEXMATCH($P54,""(?i)agachamento""),""Agachamento"",
 IF(
  REGEXMATCH($P54,""(?i)supino""),""Supino"",
  IF(
   REGEXMATCH($P54,""(?i)terra""),""Terra"",
   IF(
    REGEXMATCH($P54,""(?i)desenvolvimento""),""Desenvolvimento"&amp;""",
    IF(
     REGEXMATCH($P54,""(?i)remada""),""Remada"",
     IF(REGEXMATCH($P54,""(?i)arranco""),""Arranco"",IF(REGEXMATCH($P54,""(?i)arremesso""),""Arremesso"",""""))
    )
   )
  )
 )
),
prs!$A$18:$D$24,
4,
FALSE
)
,"""")"),"")</f>
        <v/>
      </c>
      <c r="U54" s="46"/>
      <c r="V54" s="49"/>
      <c r="W54" s="53"/>
      <c r="X54" s="50"/>
      <c r="Y54" s="50"/>
      <c r="Z54" s="51"/>
      <c r="AA54" s="46" t="str">
        <f>IFERROR(__xludf.DUMMYFUNCTION("IFERROR(
$Z54/
VLOOKUP(
IF(
 REGEXMATCH($W54,""(?i)agachamento""),""Agachamento"",
 IF(
  REGEXMATCH($W54,""(?i)supino""),""Supino"",
  IF(
   REGEXMATCH($W54,""(?i)terra""),""Terra"",
   IF(
    REGEXMATCH($W54,""(?i)desenvolvimento""),""Desenvolvimento"&amp;""",
    IF(
     REGEXMATCH($W54,""(?i)remada""),""Remada"",
     IF(REGEXMATCH($W54,""(?i)arranco""),""Arranco"",IF(REGEXMATCH($W54,""(?i)arremesso""),""Arremesso"",""""))
    )
   )
  )
 )
),
prs!$A$18:$D$24,
4,
FALSE
)
,"""")"),"")</f>
        <v/>
      </c>
      <c r="AB54" s="46"/>
      <c r="AC54" s="49"/>
    </row>
    <row r="55" ht="15.75" customHeight="1">
      <c r="A55" s="49"/>
      <c r="B55" s="53"/>
      <c r="C55" s="50"/>
      <c r="D55" s="50"/>
      <c r="E55" s="51"/>
      <c r="F55" s="46" t="str">
        <f>IFERROR(__xludf.DUMMYFUNCTION("IFERROR(
$E55/
VLOOKUP(
IF(
 REGEXMATCH($B55,""(?i)agachamento""),""Agachamento"",
 IF(
  REGEXMATCH($B55,""(?i)supino""),""Supino"",
  IF(
   REGEXMATCH($B55,""(?i)terra""),""Terra"",
   IF(
    REGEXMATCH($B55,""(?i)desenvolvimento""),""Desenvolvimento"&amp;""",
    IF(
     REGEXMATCH($B55,""(?i)remada""),""Remada"",
     IF(REGEXMATCH($B55,""(?i)arranco""),""Arranco"",IF(REGEXMATCH($B55,""(?i)arremesso""),""Arremesso"",""""))
    )
   )
  )
 )
),
prs!$A$18:$D$24,
4,
FALSE
)
,"""")"),"")</f>
        <v/>
      </c>
      <c r="G55" s="46"/>
      <c r="H55" s="47"/>
      <c r="I55" s="53"/>
      <c r="J55" s="50"/>
      <c r="K55" s="50"/>
      <c r="L55" s="51"/>
      <c r="M55" s="46" t="str">
        <f>IFERROR(__xludf.DUMMYFUNCTION("IFERROR(
$L55/
VLOOKUP(
IF(
 REGEXMATCH($I55,""(?i)agachamento""),""Agachamento"",
 IF(
  REGEXMATCH($I55,""(?i)supino""),""Supino"",
  IF(
   REGEXMATCH($I55,""(?i)terra""),""Terra"",
   IF(
    REGEXMATCH($I55,""(?i)desenvolvimento""),""Desenvolvimento"&amp;""",
    IF(
     REGEXMATCH($I55,""(?i)remada""),""Remada"",
     IF(REGEXMATCH($I55,""(?i)arranco""),""Arranco"",IF(REGEXMATCH($I55,""(?i)arremesso""),""Arremesso"",""""))
    )
   )
  )
 )
),
prs!$A$18:$D$24,
4,
FALSE
)
,"""")"),"")</f>
        <v/>
      </c>
      <c r="N55" s="46"/>
      <c r="O55" s="49"/>
      <c r="P55" s="53"/>
      <c r="Q55" s="50"/>
      <c r="R55" s="50"/>
      <c r="S55" s="51"/>
      <c r="T55" s="46" t="str">
        <f>IFERROR(__xludf.DUMMYFUNCTION("IFERROR(
$S55/
VLOOKUP(
IF(
 REGEXMATCH($P55,""(?i)agachamento""),""Agachamento"",
 IF(
  REGEXMATCH($P55,""(?i)supino""),""Supino"",
  IF(
   REGEXMATCH($P55,""(?i)terra""),""Terra"",
   IF(
    REGEXMATCH($P55,""(?i)desenvolvimento""),""Desenvolvimento"&amp;""",
    IF(
     REGEXMATCH($P55,""(?i)remada""),""Remada"",
     IF(REGEXMATCH($P55,""(?i)arranco""),""Arranco"",IF(REGEXMATCH($P55,""(?i)arremesso""),""Arremesso"",""""))
    )
   )
  )
 )
),
prs!$A$18:$D$24,
4,
FALSE
)
,"""")"),"")</f>
        <v/>
      </c>
      <c r="U55" s="46"/>
      <c r="V55" s="49"/>
      <c r="W55" s="53"/>
      <c r="X55" s="50"/>
      <c r="Y55" s="50"/>
      <c r="Z55" s="51"/>
      <c r="AA55" s="46" t="str">
        <f>IFERROR(__xludf.DUMMYFUNCTION("IFERROR(
$Z55/
VLOOKUP(
IF(
 REGEXMATCH($W55,""(?i)agachamento""),""Agachamento"",
 IF(
  REGEXMATCH($W55,""(?i)supino""),""Supino"",
  IF(
   REGEXMATCH($W55,""(?i)terra""),""Terra"",
   IF(
    REGEXMATCH($W55,""(?i)desenvolvimento""),""Desenvolvimento"&amp;""",
    IF(
     REGEXMATCH($W55,""(?i)remada""),""Remada"",
     IF(REGEXMATCH($W55,""(?i)arranco""),""Arranco"",IF(REGEXMATCH($W55,""(?i)arremesso""),""Arremesso"",""""))
    )
   )
  )
 )
),
prs!$A$18:$D$24,
4,
FALSE
)
,"""")"),"")</f>
        <v/>
      </c>
      <c r="AB55" s="46"/>
      <c r="AC55" s="49"/>
    </row>
    <row r="56" ht="15.75" customHeight="1">
      <c r="A56" s="49"/>
      <c r="B56" s="53"/>
      <c r="C56" s="50"/>
      <c r="D56" s="50"/>
      <c r="E56" s="51"/>
      <c r="F56" s="46" t="str">
        <f>IFERROR(__xludf.DUMMYFUNCTION("IFERROR(
$E56/
VLOOKUP(
IF(
 REGEXMATCH($B56,""(?i)agachamento""),""Agachamento"",
 IF(
  REGEXMATCH($B56,""(?i)supino""),""Supino"",
  IF(
   REGEXMATCH($B56,""(?i)terra""),""Terra"",
   IF(
    REGEXMATCH($B56,""(?i)desenvolvimento""),""Desenvolvimento"&amp;""",
    IF(
     REGEXMATCH($B56,""(?i)remada""),""Remada"",
     IF(REGEXMATCH($B56,""(?i)arranco""),""Arranco"",IF(REGEXMATCH($B56,""(?i)arremesso""),""Arremesso"",""""))
    )
   )
  )
 )
),
prs!$A$18:$D$24,
4,
FALSE
)
,"""")"),"")</f>
        <v/>
      </c>
      <c r="G56" s="46"/>
      <c r="H56" s="47"/>
      <c r="I56" s="53"/>
      <c r="J56" s="50"/>
      <c r="K56" s="50"/>
      <c r="L56" s="51"/>
      <c r="M56" s="46" t="str">
        <f>IFERROR(__xludf.DUMMYFUNCTION("IFERROR(
$L56/
VLOOKUP(
IF(
 REGEXMATCH($I56,""(?i)agachamento""),""Agachamento"",
 IF(
  REGEXMATCH($I56,""(?i)supino""),""Supino"",
  IF(
   REGEXMATCH($I56,""(?i)terra""),""Terra"",
   IF(
    REGEXMATCH($I56,""(?i)desenvolvimento""),""Desenvolvimento"&amp;""",
    IF(
     REGEXMATCH($I56,""(?i)remada""),""Remada"",
     IF(REGEXMATCH($I56,""(?i)arranco""),""Arranco"",IF(REGEXMATCH($I56,""(?i)arremesso""),""Arremesso"",""""))
    )
   )
  )
 )
),
prs!$A$18:$D$24,
4,
FALSE
)
,"""")"),"")</f>
        <v/>
      </c>
      <c r="N56" s="46"/>
      <c r="O56" s="49"/>
      <c r="P56" s="53"/>
      <c r="Q56" s="50"/>
      <c r="R56" s="50"/>
      <c r="S56" s="51"/>
      <c r="T56" s="46" t="str">
        <f>IFERROR(__xludf.DUMMYFUNCTION("IFERROR(
$S56/
VLOOKUP(
IF(
 REGEXMATCH($P56,""(?i)agachamento""),""Agachamento"",
 IF(
  REGEXMATCH($P56,""(?i)supino""),""Supino"",
  IF(
   REGEXMATCH($P56,""(?i)terra""),""Terra"",
   IF(
    REGEXMATCH($P56,""(?i)desenvolvimento""),""Desenvolvimento"&amp;""",
    IF(
     REGEXMATCH($P56,""(?i)remada""),""Remada"",
     IF(REGEXMATCH($P56,""(?i)arranco""),""Arranco"",IF(REGEXMATCH($P56,""(?i)arremesso""),""Arremesso"",""""))
    )
   )
  )
 )
),
prs!$A$18:$D$24,
4,
FALSE
)
,"""")"),"")</f>
        <v/>
      </c>
      <c r="U56" s="46"/>
      <c r="V56" s="49"/>
      <c r="W56" s="53"/>
      <c r="X56" s="50"/>
      <c r="Y56" s="50"/>
      <c r="Z56" s="51"/>
      <c r="AA56" s="46" t="str">
        <f>IFERROR(__xludf.DUMMYFUNCTION("IFERROR(
$Z56/
VLOOKUP(
IF(
 REGEXMATCH($W56,""(?i)agachamento""),""Agachamento"",
 IF(
  REGEXMATCH($W56,""(?i)supino""),""Supino"",
  IF(
   REGEXMATCH($W56,""(?i)terra""),""Terra"",
   IF(
    REGEXMATCH($W56,""(?i)desenvolvimento""),""Desenvolvimento"&amp;""",
    IF(
     REGEXMATCH($W56,""(?i)remada""),""Remada"",
     IF(REGEXMATCH($W56,""(?i)arranco""),""Arranco"",IF(REGEXMATCH($W56,""(?i)arremesso""),""Arremesso"",""""))
    )
   )
  )
 )
),
prs!$A$18:$D$24,
4,
FALSE
)
,"""")"),"")</f>
        <v/>
      </c>
      <c r="AB56" s="46"/>
      <c r="AC56" s="49"/>
    </row>
    <row r="57" ht="15.75" customHeight="1">
      <c r="A57" s="49"/>
      <c r="B57" s="53"/>
      <c r="C57" s="50"/>
      <c r="D57" s="50"/>
      <c r="E57" s="51"/>
      <c r="F57" s="46" t="str">
        <f>IFERROR(__xludf.DUMMYFUNCTION("IFERROR(
$E57/
VLOOKUP(
IF(
 REGEXMATCH($B57,""(?i)agachamento""),""Agachamento"",
 IF(
  REGEXMATCH($B57,""(?i)supino""),""Supino"",
  IF(
   REGEXMATCH($B57,""(?i)terra""),""Terra"",
   IF(
    REGEXMATCH($B57,""(?i)desenvolvimento""),""Desenvolvimento"&amp;""",
    IF(
     REGEXMATCH($B57,""(?i)remada""),""Remada"",
     IF(REGEXMATCH($B57,""(?i)arranco""),""Arranco"",IF(REGEXMATCH($B57,""(?i)arremesso""),""Arremesso"",""""))
    )
   )
  )
 )
),
prs!$A$18:$D$24,
4,
FALSE
)
,"""")"),"")</f>
        <v/>
      </c>
      <c r="G57" s="46"/>
      <c r="H57" s="47"/>
      <c r="I57" s="53"/>
      <c r="J57" s="50"/>
      <c r="K57" s="50"/>
      <c r="L57" s="51"/>
      <c r="M57" s="46" t="str">
        <f>IFERROR(__xludf.DUMMYFUNCTION("IFERROR(
$L57/
VLOOKUP(
IF(
 REGEXMATCH($I57,""(?i)agachamento""),""Agachamento"",
 IF(
  REGEXMATCH($I57,""(?i)supino""),""Supino"",
  IF(
   REGEXMATCH($I57,""(?i)terra""),""Terra"",
   IF(
    REGEXMATCH($I57,""(?i)desenvolvimento""),""Desenvolvimento"&amp;""",
    IF(
     REGEXMATCH($I57,""(?i)remada""),""Remada"",
     IF(REGEXMATCH($I57,""(?i)arranco""),""Arranco"",IF(REGEXMATCH($I57,""(?i)arremesso""),""Arremesso"",""""))
    )
   )
  )
 )
),
prs!$A$18:$D$24,
4,
FALSE
)
,"""")"),"")</f>
        <v/>
      </c>
      <c r="N57" s="46"/>
      <c r="O57" s="49"/>
      <c r="P57" s="53"/>
      <c r="Q57" s="50"/>
      <c r="R57" s="50"/>
      <c r="S57" s="51"/>
      <c r="T57" s="46" t="str">
        <f>IFERROR(__xludf.DUMMYFUNCTION("IFERROR(
$S57/
VLOOKUP(
IF(
 REGEXMATCH($P57,""(?i)agachamento""),""Agachamento"",
 IF(
  REGEXMATCH($P57,""(?i)supino""),""Supino"",
  IF(
   REGEXMATCH($P57,""(?i)terra""),""Terra"",
   IF(
    REGEXMATCH($P57,""(?i)desenvolvimento""),""Desenvolvimento"&amp;""",
    IF(
     REGEXMATCH($P57,""(?i)remada""),""Remada"",
     IF(REGEXMATCH($P57,""(?i)arranco""),""Arranco"",IF(REGEXMATCH($P57,""(?i)arremesso""),""Arremesso"",""""))
    )
   )
  )
 )
),
prs!$A$18:$D$24,
4,
FALSE
)
,"""")"),"")</f>
        <v/>
      </c>
      <c r="U57" s="46"/>
      <c r="V57" s="49"/>
      <c r="W57" s="53"/>
      <c r="X57" s="50"/>
      <c r="Y57" s="50"/>
      <c r="Z57" s="51"/>
      <c r="AA57" s="46" t="str">
        <f>IFERROR(__xludf.DUMMYFUNCTION("IFERROR(
$Z57/
VLOOKUP(
IF(
 REGEXMATCH($W57,""(?i)agachamento""),""Agachamento"",
 IF(
  REGEXMATCH($W57,""(?i)supino""),""Supino"",
  IF(
   REGEXMATCH($W57,""(?i)terra""),""Terra"",
   IF(
    REGEXMATCH($W57,""(?i)desenvolvimento""),""Desenvolvimento"&amp;""",
    IF(
     REGEXMATCH($W57,""(?i)remada""),""Remada"",
     IF(REGEXMATCH($W57,""(?i)arranco""),""Arranco"",IF(REGEXMATCH($W57,""(?i)arremesso""),""Arremesso"",""""))
    )
   )
  )
 )
),
prs!$A$18:$D$24,
4,
FALSE
)
,"""")"),"")</f>
        <v/>
      </c>
      <c r="AB57" s="46"/>
      <c r="AC57" s="49"/>
    </row>
    <row r="58" ht="15.75" customHeight="1">
      <c r="A58" s="49"/>
      <c r="B58" s="53"/>
      <c r="C58" s="50"/>
      <c r="D58" s="50"/>
      <c r="E58" s="51"/>
      <c r="F58" s="46" t="str">
        <f>IFERROR(__xludf.DUMMYFUNCTION("IFERROR(
$E58/
VLOOKUP(
IF(
 REGEXMATCH($B58,""(?i)agachamento""),""Agachamento"",
 IF(
  REGEXMATCH($B58,""(?i)supino""),""Supino"",
  IF(
   REGEXMATCH($B58,""(?i)terra""),""Terra"",
   IF(
    REGEXMATCH($B58,""(?i)desenvolvimento""),""Desenvolvimento"&amp;""",
    IF(
     REGEXMATCH($B58,""(?i)remada""),""Remada"",
     IF(REGEXMATCH($B58,""(?i)arranco""),""Arranco"",IF(REGEXMATCH($B58,""(?i)arremesso""),""Arremesso"",""""))
    )
   )
  )
 )
),
prs!$A$18:$D$24,
4,
FALSE
)
,"""")"),"")</f>
        <v/>
      </c>
      <c r="G58" s="46"/>
      <c r="H58" s="47"/>
      <c r="I58" s="53"/>
      <c r="J58" s="50"/>
      <c r="K58" s="50"/>
      <c r="L58" s="51"/>
      <c r="M58" s="46" t="str">
        <f>IFERROR(__xludf.DUMMYFUNCTION("IFERROR(
$L58/
VLOOKUP(
IF(
 REGEXMATCH($I58,""(?i)agachamento""),""Agachamento"",
 IF(
  REGEXMATCH($I58,""(?i)supino""),""Supino"",
  IF(
   REGEXMATCH($I58,""(?i)terra""),""Terra"",
   IF(
    REGEXMATCH($I58,""(?i)desenvolvimento""),""Desenvolvimento"&amp;""",
    IF(
     REGEXMATCH($I58,""(?i)remada""),""Remada"",
     IF(REGEXMATCH($I58,""(?i)arranco""),""Arranco"",IF(REGEXMATCH($I58,""(?i)arremesso""),""Arremesso"",""""))
    )
   )
  )
 )
),
prs!$A$18:$D$24,
4,
FALSE
)
,"""")"),"")</f>
        <v/>
      </c>
      <c r="N58" s="46"/>
      <c r="O58" s="49"/>
      <c r="P58" s="53"/>
      <c r="Q58" s="50"/>
      <c r="R58" s="50"/>
      <c r="S58" s="51"/>
      <c r="T58" s="46" t="str">
        <f>IFERROR(__xludf.DUMMYFUNCTION("IFERROR(
$S58/
VLOOKUP(
IF(
 REGEXMATCH($P58,""(?i)agachamento""),""Agachamento"",
 IF(
  REGEXMATCH($P58,""(?i)supino""),""Supino"",
  IF(
   REGEXMATCH($P58,""(?i)terra""),""Terra"",
   IF(
    REGEXMATCH($P58,""(?i)desenvolvimento""),""Desenvolvimento"&amp;""",
    IF(
     REGEXMATCH($P58,""(?i)remada""),""Remada"",
     IF(REGEXMATCH($P58,""(?i)arranco""),""Arranco"",IF(REGEXMATCH($P58,""(?i)arremesso""),""Arremesso"",""""))
    )
   )
  )
 )
),
prs!$A$18:$D$24,
4,
FALSE
)
,"""")"),"")</f>
        <v/>
      </c>
      <c r="U58" s="46"/>
      <c r="V58" s="49"/>
      <c r="W58" s="53"/>
      <c r="X58" s="50"/>
      <c r="Y58" s="50"/>
      <c r="Z58" s="51"/>
      <c r="AA58" s="46" t="str">
        <f>IFERROR(__xludf.DUMMYFUNCTION("IFERROR(
$Z58/
VLOOKUP(
IF(
 REGEXMATCH($W58,""(?i)agachamento""),""Agachamento"",
 IF(
  REGEXMATCH($W58,""(?i)supino""),""Supino"",
  IF(
   REGEXMATCH($W58,""(?i)terra""),""Terra"",
   IF(
    REGEXMATCH($W58,""(?i)desenvolvimento""),""Desenvolvimento"&amp;""",
    IF(
     REGEXMATCH($W58,""(?i)remada""),""Remada"",
     IF(REGEXMATCH($W58,""(?i)arranco""),""Arranco"",IF(REGEXMATCH($W58,""(?i)arremesso""),""Arremesso"",""""))
    )
   )
  )
 )
),
prs!$A$18:$D$24,
4,
FALSE
)
,"""")"),"")</f>
        <v/>
      </c>
      <c r="AB58" s="46"/>
      <c r="AC58" s="49"/>
    </row>
    <row r="59" ht="15.75" customHeight="1">
      <c r="A59" s="49"/>
      <c r="B59" s="53"/>
      <c r="C59" s="50"/>
      <c r="D59" s="50"/>
      <c r="E59" s="51"/>
      <c r="F59" s="46" t="str">
        <f>IFERROR(__xludf.DUMMYFUNCTION("IFERROR(
$E59/
VLOOKUP(
IF(
 REGEXMATCH($B59,""(?i)agachamento""),""Agachamento"",
 IF(
  REGEXMATCH($B59,""(?i)supino""),""Supino"",
  IF(
   REGEXMATCH($B59,""(?i)terra""),""Terra"",
   IF(
    REGEXMATCH($B59,""(?i)desenvolvimento""),""Desenvolvimento"&amp;""",
    IF(
     REGEXMATCH($B59,""(?i)remada""),""Remada"",
     IF(REGEXMATCH($B59,""(?i)arranco""),""Arranco"",IF(REGEXMATCH($B59,""(?i)arremesso""),""Arremesso"",""""))
    )
   )
  )
 )
),
prs!$A$18:$D$24,
4,
FALSE
)
,"""")"),"")</f>
        <v/>
      </c>
      <c r="G59" s="46"/>
      <c r="H59" s="47"/>
      <c r="I59" s="53"/>
      <c r="J59" s="50"/>
      <c r="K59" s="50"/>
      <c r="L59" s="51"/>
      <c r="M59" s="46" t="str">
        <f>IFERROR(__xludf.DUMMYFUNCTION("IFERROR(
$L59/
VLOOKUP(
IF(
 REGEXMATCH($I59,""(?i)agachamento""),""Agachamento"",
 IF(
  REGEXMATCH($I59,""(?i)supino""),""Supino"",
  IF(
   REGEXMATCH($I59,""(?i)terra""),""Terra"",
   IF(
    REGEXMATCH($I59,""(?i)desenvolvimento""),""Desenvolvimento"&amp;""",
    IF(
     REGEXMATCH($I59,""(?i)remada""),""Remada"",
     IF(REGEXMATCH($I59,""(?i)arranco""),""Arranco"",IF(REGEXMATCH($I59,""(?i)arremesso""),""Arremesso"",""""))
    )
   )
  )
 )
),
prs!$A$18:$D$24,
4,
FALSE
)
,"""")"),"")</f>
        <v/>
      </c>
      <c r="N59" s="46"/>
      <c r="O59" s="49"/>
      <c r="P59" s="53"/>
      <c r="Q59" s="50"/>
      <c r="R59" s="50"/>
      <c r="S59" s="51"/>
      <c r="T59" s="46" t="str">
        <f>IFERROR(__xludf.DUMMYFUNCTION("IFERROR(
$S59/
VLOOKUP(
IF(
 REGEXMATCH($P59,""(?i)agachamento""),""Agachamento"",
 IF(
  REGEXMATCH($P59,""(?i)supino""),""Supino"",
  IF(
   REGEXMATCH($P59,""(?i)terra""),""Terra"",
   IF(
    REGEXMATCH($P59,""(?i)desenvolvimento""),""Desenvolvimento"&amp;""",
    IF(
     REGEXMATCH($P59,""(?i)remada""),""Remada"",
     IF(REGEXMATCH($P59,""(?i)arranco""),""Arranco"",IF(REGEXMATCH($P59,""(?i)arremesso""),""Arremesso"",""""))
    )
   )
  )
 )
),
prs!$A$18:$D$24,
4,
FALSE
)
,"""")"),"")</f>
        <v/>
      </c>
      <c r="U59" s="46"/>
      <c r="V59" s="49"/>
      <c r="W59" s="53"/>
      <c r="X59" s="50"/>
      <c r="Y59" s="50"/>
      <c r="Z59" s="51"/>
      <c r="AA59" s="46" t="str">
        <f>IFERROR(__xludf.DUMMYFUNCTION("IFERROR(
$Z59/
VLOOKUP(
IF(
 REGEXMATCH($W59,""(?i)agachamento""),""Agachamento"",
 IF(
  REGEXMATCH($W59,""(?i)supino""),""Supino"",
  IF(
   REGEXMATCH($W59,""(?i)terra""),""Terra"",
   IF(
    REGEXMATCH($W59,""(?i)desenvolvimento""),""Desenvolvimento"&amp;""",
    IF(
     REGEXMATCH($W59,""(?i)remada""),""Remada"",
     IF(REGEXMATCH($W59,""(?i)arranco""),""Arranco"",IF(REGEXMATCH($W59,""(?i)arremesso""),""Arremesso"",""""))
    )
   )
  )
 )
),
prs!$A$18:$D$24,
4,
FALSE
)
,"""")"),"")</f>
        <v/>
      </c>
      <c r="AB59" s="46"/>
      <c r="AC59" s="49"/>
    </row>
    <row r="60" ht="15.75" customHeight="1">
      <c r="A60" s="49"/>
      <c r="B60" s="53"/>
      <c r="C60" s="50"/>
      <c r="D60" s="50"/>
      <c r="E60" s="51"/>
      <c r="F60" s="46" t="str">
        <f>IFERROR(__xludf.DUMMYFUNCTION("IFERROR(
$E60/
VLOOKUP(
IF(
 REGEXMATCH($B60,""(?i)agachamento""),""Agachamento"",
 IF(
  REGEXMATCH($B60,""(?i)supino""),""Supino"",
  IF(
   REGEXMATCH($B60,""(?i)terra""),""Terra"",
   IF(
    REGEXMATCH($B60,""(?i)desenvolvimento""),""Desenvolvimento"&amp;""",
    IF(
     REGEXMATCH($B60,""(?i)remada""),""Remada"",
     IF(REGEXMATCH($B60,""(?i)arranco""),""Arranco"",IF(REGEXMATCH($B60,""(?i)arremesso""),""Arremesso"",""""))
    )
   )
  )
 )
),
prs!$A$18:$D$24,
4,
FALSE
)
,"""")"),"")</f>
        <v/>
      </c>
      <c r="G60" s="46"/>
      <c r="H60" s="47"/>
      <c r="I60" s="53"/>
      <c r="J60" s="50"/>
      <c r="K60" s="50"/>
      <c r="L60" s="51"/>
      <c r="M60" s="46" t="str">
        <f>IFERROR(__xludf.DUMMYFUNCTION("IFERROR(
$L60/
VLOOKUP(
IF(
 REGEXMATCH($I60,""(?i)agachamento""),""Agachamento"",
 IF(
  REGEXMATCH($I60,""(?i)supino""),""Supino"",
  IF(
   REGEXMATCH($I60,""(?i)terra""),""Terra"",
   IF(
    REGEXMATCH($I60,""(?i)desenvolvimento""),""Desenvolvimento"&amp;""",
    IF(
     REGEXMATCH($I60,""(?i)remada""),""Remada"",
     IF(REGEXMATCH($I60,""(?i)arranco""),""Arranco"",IF(REGEXMATCH($I60,""(?i)arremesso""),""Arremesso"",""""))
    )
   )
  )
 )
),
prs!$A$18:$D$24,
4,
FALSE
)
,"""")"),"")</f>
        <v/>
      </c>
      <c r="N60" s="46"/>
      <c r="O60" s="49"/>
      <c r="P60" s="53"/>
      <c r="Q60" s="50"/>
      <c r="R60" s="50"/>
      <c r="S60" s="51"/>
      <c r="T60" s="46" t="str">
        <f>IFERROR(__xludf.DUMMYFUNCTION("IFERROR(
$S60/
VLOOKUP(
IF(
 REGEXMATCH($P60,""(?i)agachamento""),""Agachamento"",
 IF(
  REGEXMATCH($P60,""(?i)supino""),""Supino"",
  IF(
   REGEXMATCH($P60,""(?i)terra""),""Terra"",
   IF(
    REGEXMATCH($P60,""(?i)desenvolvimento""),""Desenvolvimento"&amp;""",
    IF(
     REGEXMATCH($P60,""(?i)remada""),""Remada"",
     IF(REGEXMATCH($P60,""(?i)arranco""),""Arranco"",IF(REGEXMATCH($P60,""(?i)arremesso""),""Arremesso"",""""))
    )
   )
  )
 )
),
prs!$A$18:$D$24,
4,
FALSE
)
,"""")"),"")</f>
        <v/>
      </c>
      <c r="U60" s="46"/>
      <c r="V60" s="49"/>
      <c r="W60" s="53"/>
      <c r="X60" s="50"/>
      <c r="Y60" s="50"/>
      <c r="Z60" s="51"/>
      <c r="AA60" s="46" t="str">
        <f>IFERROR(__xludf.DUMMYFUNCTION("IFERROR(
$Z60/
VLOOKUP(
IF(
 REGEXMATCH($W60,""(?i)agachamento""),""Agachamento"",
 IF(
  REGEXMATCH($W60,""(?i)supino""),""Supino"",
  IF(
   REGEXMATCH($W60,""(?i)terra""),""Terra"",
   IF(
    REGEXMATCH($W60,""(?i)desenvolvimento""),""Desenvolvimento"&amp;""",
    IF(
     REGEXMATCH($W60,""(?i)remada""),""Remada"",
     IF(REGEXMATCH($W60,""(?i)arranco""),""Arranco"",IF(REGEXMATCH($W60,""(?i)arremesso""),""Arremesso"",""""))
    )
   )
  )
 )
),
prs!$A$18:$D$24,
4,
FALSE
)
,"""")"),"")</f>
        <v/>
      </c>
      <c r="AB60" s="46"/>
      <c r="AC60" s="49"/>
    </row>
    <row r="61" ht="15.75" customHeight="1">
      <c r="A61" s="31"/>
      <c r="B61" s="52"/>
      <c r="C61" s="32" t="s">
        <v>20</v>
      </c>
      <c r="H61" s="29"/>
      <c r="I61" s="52"/>
      <c r="J61" s="32" t="s">
        <v>23</v>
      </c>
      <c r="O61" s="29"/>
      <c r="P61" s="52"/>
      <c r="Q61" s="32" t="s">
        <v>24</v>
      </c>
      <c r="V61" s="29"/>
      <c r="W61" s="52"/>
      <c r="X61" s="32" t="s">
        <v>25</v>
      </c>
      <c r="AC61" s="47"/>
    </row>
    <row r="62" ht="15.75" customHeight="1">
      <c r="A62" s="47"/>
      <c r="B62" s="47"/>
      <c r="C62" s="47"/>
      <c r="D62" s="47"/>
      <c r="H62" s="47"/>
      <c r="I62" s="47"/>
      <c r="J62" s="47"/>
      <c r="K62" s="47"/>
      <c r="O62" s="47"/>
      <c r="P62" s="47"/>
      <c r="Q62" s="47"/>
      <c r="R62" s="47"/>
      <c r="V62" s="47"/>
      <c r="W62" s="47"/>
      <c r="X62" s="47"/>
      <c r="Y62" s="47"/>
      <c r="AC62" s="47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2">
    <mergeCell ref="D2:G2"/>
    <mergeCell ref="K2:N2"/>
    <mergeCell ref="R2:U2"/>
    <mergeCell ref="Y2:AB2"/>
    <mergeCell ref="J3:N3"/>
    <mergeCell ref="Q3:U3"/>
    <mergeCell ref="X3:AB3"/>
    <mergeCell ref="C3:G3"/>
    <mergeCell ref="C16:G16"/>
    <mergeCell ref="J16:N16"/>
    <mergeCell ref="Q16:U16"/>
    <mergeCell ref="D17:G17"/>
    <mergeCell ref="R17:U17"/>
    <mergeCell ref="C18:G18"/>
    <mergeCell ref="Q18:U18"/>
    <mergeCell ref="K17:N17"/>
    <mergeCell ref="J18:N18"/>
    <mergeCell ref="C31:G31"/>
    <mergeCell ref="J31:N31"/>
    <mergeCell ref="Q31:U31"/>
    <mergeCell ref="K32:N32"/>
    <mergeCell ref="R32:U32"/>
    <mergeCell ref="J46:N46"/>
    <mergeCell ref="K47:N47"/>
    <mergeCell ref="J48:N48"/>
    <mergeCell ref="J61:N61"/>
    <mergeCell ref="Q61:U61"/>
    <mergeCell ref="K62:N62"/>
    <mergeCell ref="R62:U62"/>
    <mergeCell ref="D47:G47"/>
    <mergeCell ref="C48:G48"/>
    <mergeCell ref="C61:G61"/>
    <mergeCell ref="D62:G62"/>
    <mergeCell ref="D32:G32"/>
    <mergeCell ref="C33:G33"/>
    <mergeCell ref="J33:N33"/>
    <mergeCell ref="Q33:U33"/>
    <mergeCell ref="C46:G46"/>
    <mergeCell ref="Q46:U46"/>
    <mergeCell ref="R47:U47"/>
    <mergeCell ref="Q48:U48"/>
    <mergeCell ref="Y47:AB47"/>
    <mergeCell ref="X48:AB48"/>
    <mergeCell ref="X61:AB61"/>
    <mergeCell ref="Y62:AB62"/>
    <mergeCell ref="X16:AB16"/>
    <mergeCell ref="Y17:AB17"/>
    <mergeCell ref="X18:AB18"/>
    <mergeCell ref="X31:AB31"/>
    <mergeCell ref="Y32:AB32"/>
    <mergeCell ref="X33:AB33"/>
    <mergeCell ref="X46:AB46"/>
  </mergeCells>
  <conditionalFormatting sqref="B6:B15 B36:B4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36:I4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36:P4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36:W45">
    <cfRule type="colorScale" priority="4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8"/>
      <c r="B1" s="9" t="s">
        <v>2</v>
      </c>
    </row>
    <row r="2" ht="15.75" customHeight="1">
      <c r="B2" s="10" t="s">
        <v>3</v>
      </c>
      <c r="C2" s="18" t="str">
        <f>'aluno 01'!C2</f>
        <v/>
      </c>
    </row>
    <row r="3" ht="15.75" customHeight="1">
      <c r="B3" s="10" t="s">
        <v>4</v>
      </c>
      <c r="C3" s="18" t="str">
        <f>'aluno 01'!C3</f>
        <v/>
      </c>
    </row>
    <row r="4" ht="15.75" customHeight="1">
      <c r="A4" s="14"/>
      <c r="B4" s="15"/>
      <c r="C4" s="16"/>
      <c r="D4" s="17"/>
      <c r="E4" s="19"/>
      <c r="F4" s="21"/>
      <c r="G4" s="21"/>
    </row>
    <row r="5" ht="15.75" customHeight="1">
      <c r="A5" s="22"/>
      <c r="B5" s="23" t="s">
        <v>6</v>
      </c>
      <c r="C5" s="23" t="s">
        <v>7</v>
      </c>
      <c r="D5" s="23" t="s">
        <v>8</v>
      </c>
      <c r="E5" s="23" t="s">
        <v>9</v>
      </c>
      <c r="F5" s="23" t="s">
        <v>10</v>
      </c>
      <c r="G5" s="5"/>
    </row>
    <row r="6" ht="15.75" customHeight="1">
      <c r="A6" s="24"/>
      <c r="B6" s="25" t="str">
        <f>'aluno 01'!B6</f>
        <v/>
      </c>
      <c r="C6" s="25" t="str">
        <f>'aluno 01'!C6</f>
        <v/>
      </c>
      <c r="D6" s="25" t="str">
        <f>'aluno 01'!D6</f>
        <v/>
      </c>
      <c r="E6" s="25" t="str">
        <f>'aluno 01'!E6</f>
        <v/>
      </c>
      <c r="F6" s="25" t="str">
        <f>'aluno 01'!F6</f>
        <v/>
      </c>
      <c r="G6" s="5"/>
    </row>
    <row r="7" ht="15.75" customHeight="1">
      <c r="A7" s="24"/>
      <c r="B7" s="26"/>
      <c r="C7" s="26"/>
      <c r="D7" s="26"/>
      <c r="E7" s="26"/>
      <c r="F7" s="26"/>
      <c r="G7" s="26"/>
    </row>
    <row r="8" ht="15.75" customHeight="1">
      <c r="A8" s="28" t="s">
        <v>11</v>
      </c>
    </row>
    <row r="9" ht="15.75" customHeight="1">
      <c r="A9" s="35" t="str">
        <f>'aluno 01'!A9</f>
        <v/>
      </c>
    </row>
    <row r="10" ht="15.75" customHeight="1"/>
    <row r="11" ht="15.75" customHeight="1">
      <c r="A11" s="28" t="s">
        <v>12</v>
      </c>
    </row>
    <row r="12" ht="15.75" customHeight="1">
      <c r="A12" s="2"/>
      <c r="B12" s="31" t="s">
        <v>13</v>
      </c>
      <c r="C12" s="31" t="s">
        <v>14</v>
      </c>
      <c r="D12" s="32" t="s">
        <v>15</v>
      </c>
      <c r="E12" s="32" t="s">
        <v>11</v>
      </c>
    </row>
    <row r="13" ht="15.75" customHeight="1">
      <c r="A13" s="33"/>
      <c r="B13" s="34"/>
      <c r="C13" s="34"/>
      <c r="D13" s="34"/>
      <c r="E13" s="35"/>
    </row>
    <row r="14" ht="15.75" customHeight="1">
      <c r="A14" s="36"/>
      <c r="B14" s="37"/>
      <c r="C14" s="37"/>
      <c r="D14" s="34"/>
      <c r="E14" s="35"/>
    </row>
    <row r="15" ht="15.75" customHeight="1">
      <c r="A15" s="33"/>
      <c r="B15" s="34"/>
      <c r="C15" s="34"/>
      <c r="D15" s="34"/>
      <c r="E15" s="35"/>
    </row>
    <row r="16" ht="15.75" customHeight="1">
      <c r="A16" s="39">
        <f>'bloco 03'!C3</f>
        <v>46352</v>
      </c>
    </row>
    <row r="17" ht="15.75" customHeight="1">
      <c r="A17" s="40" t="s">
        <v>20</v>
      </c>
    </row>
    <row r="18" ht="15.75" customHeight="1">
      <c r="A18" s="28" t="s">
        <v>5</v>
      </c>
    </row>
    <row r="19" ht="15.75" customHeight="1">
      <c r="A19" s="31"/>
      <c r="B19" s="31" t="s">
        <v>13</v>
      </c>
      <c r="C19" s="32" t="s">
        <v>16</v>
      </c>
      <c r="D19" s="32" t="s">
        <v>15</v>
      </c>
      <c r="E19" s="32" t="s">
        <v>21</v>
      </c>
      <c r="F19" s="32" t="s">
        <v>11</v>
      </c>
    </row>
    <row r="20" ht="15.75" customHeight="1">
      <c r="A20" s="13" t="str">
        <f>'bloco 03'!$B6</f>
        <v/>
      </c>
      <c r="B20" s="45" t="str">
        <f>'bloco 03'!C6</f>
        <v/>
      </c>
      <c r="C20" s="45" t="str">
        <f>'bloco 03'!D6</f>
        <v/>
      </c>
      <c r="D20" s="45" t="str">
        <f>'bloco 03'!E6</f>
        <v/>
      </c>
      <c r="E20" s="46" t="str">
        <f>IFERROR(('bloco 03'!F6),"")</f>
        <v/>
      </c>
      <c r="F20" s="48" t="str">
        <f>'bloco 03'!G6</f>
        <v/>
      </c>
    </row>
    <row r="21" ht="15.75" customHeight="1">
      <c r="A21" s="13" t="str">
        <f>'bloco 03'!$B7</f>
        <v/>
      </c>
      <c r="B21" s="45" t="str">
        <f>'bloco 03'!C7</f>
        <v/>
      </c>
      <c r="C21" s="45" t="str">
        <f>'bloco 03'!D7</f>
        <v/>
      </c>
      <c r="D21" s="45" t="str">
        <f>'bloco 03'!E7</f>
        <v/>
      </c>
      <c r="E21" s="46" t="str">
        <f>IFERROR(('bloco 03'!F7),"")</f>
        <v/>
      </c>
      <c r="F21" s="48" t="str">
        <f>'bloco 03'!G7</f>
        <v/>
      </c>
    </row>
    <row r="22" ht="15.75" customHeight="1">
      <c r="A22" s="13" t="str">
        <f>'bloco 03'!$B8</f>
        <v/>
      </c>
      <c r="B22" s="45" t="str">
        <f>'bloco 03'!C8</f>
        <v/>
      </c>
      <c r="C22" s="45" t="str">
        <f>'bloco 03'!D8</f>
        <v/>
      </c>
      <c r="D22" s="45" t="str">
        <f>'bloco 03'!E8</f>
        <v/>
      </c>
      <c r="E22" s="46" t="str">
        <f>IFERROR(('bloco 03'!F8),"")</f>
        <v/>
      </c>
      <c r="F22" s="48" t="str">
        <f>'bloco 03'!G8</f>
        <v/>
      </c>
    </row>
    <row r="23" ht="15.75" customHeight="1">
      <c r="A23" s="13" t="str">
        <f>'bloco 03'!$B9</f>
        <v/>
      </c>
      <c r="B23" s="45" t="str">
        <f>'bloco 03'!C9</f>
        <v/>
      </c>
      <c r="C23" s="45" t="str">
        <f>'bloco 03'!D9</f>
        <v/>
      </c>
      <c r="D23" s="45" t="str">
        <f>'bloco 03'!E9</f>
        <v/>
      </c>
      <c r="E23" s="46" t="str">
        <f>IFERROR(('bloco 03'!F9),"")</f>
        <v/>
      </c>
      <c r="F23" s="48" t="str">
        <f>'bloco 03'!G9</f>
        <v/>
      </c>
    </row>
    <row r="24" ht="15.75" customHeight="1">
      <c r="A24" s="13" t="str">
        <f>'bloco 03'!$B10</f>
        <v/>
      </c>
      <c r="B24" s="45" t="str">
        <f>'bloco 03'!C10</f>
        <v/>
      </c>
      <c r="C24" s="45" t="str">
        <f>'bloco 03'!D10</f>
        <v/>
      </c>
      <c r="D24" s="45" t="str">
        <f>'bloco 03'!E10</f>
        <v/>
      </c>
      <c r="E24" s="46" t="str">
        <f>IFERROR(('bloco 03'!F10),"")</f>
        <v/>
      </c>
      <c r="F24" s="48" t="str">
        <f>'bloco 03'!G10</f>
        <v/>
      </c>
    </row>
    <row r="25" ht="15.75" customHeight="1">
      <c r="A25" s="13" t="str">
        <f>'bloco 03'!$B11</f>
        <v/>
      </c>
      <c r="B25" s="45" t="str">
        <f>'bloco 03'!C11</f>
        <v/>
      </c>
      <c r="C25" s="45" t="str">
        <f>'bloco 03'!D11</f>
        <v/>
      </c>
      <c r="D25" s="45" t="str">
        <f>'bloco 03'!E11</f>
        <v/>
      </c>
      <c r="E25" s="46" t="str">
        <f>IFERROR(('bloco 03'!F11),"")</f>
        <v/>
      </c>
      <c r="F25" s="48" t="str">
        <f>'bloco 03'!G11</f>
        <v/>
      </c>
    </row>
    <row r="26" ht="15.75" customHeight="1">
      <c r="A26" s="13" t="str">
        <f>'bloco 03'!$B12</f>
        <v/>
      </c>
      <c r="B26" s="45" t="str">
        <f>'bloco 03'!C12</f>
        <v/>
      </c>
      <c r="C26" s="45" t="str">
        <f>'bloco 03'!D12</f>
        <v/>
      </c>
      <c r="D26" s="45" t="str">
        <f>'bloco 03'!E12</f>
        <v/>
      </c>
      <c r="E26" s="46" t="str">
        <f>IFERROR(('bloco 03'!F12),"")</f>
        <v/>
      </c>
      <c r="F26" s="48" t="str">
        <f>'bloco 03'!G12</f>
        <v/>
      </c>
    </row>
    <row r="27" ht="15.75" customHeight="1">
      <c r="A27" s="13" t="str">
        <f>'bloco 03'!$B13</f>
        <v/>
      </c>
      <c r="B27" s="45" t="str">
        <f>'bloco 03'!C13</f>
        <v/>
      </c>
      <c r="C27" s="45" t="str">
        <f>'bloco 03'!D13</f>
        <v/>
      </c>
      <c r="D27" s="45" t="str">
        <f>'bloco 03'!E13</f>
        <v/>
      </c>
      <c r="E27" s="46" t="str">
        <f>IFERROR(('bloco 03'!F13),"")</f>
        <v/>
      </c>
      <c r="F27" s="48" t="str">
        <f>'bloco 03'!G13</f>
        <v/>
      </c>
    </row>
    <row r="28" ht="15.75" customHeight="1">
      <c r="A28" s="13" t="str">
        <f>'bloco 03'!$B14</f>
        <v/>
      </c>
      <c r="B28" s="45" t="str">
        <f>'bloco 03'!C14</f>
        <v/>
      </c>
      <c r="C28" s="45" t="str">
        <f>'bloco 03'!D14</f>
        <v/>
      </c>
      <c r="D28" s="45" t="str">
        <f>'bloco 03'!E14</f>
        <v/>
      </c>
      <c r="E28" s="46" t="str">
        <f>IFERROR(('bloco 03'!F14),"")</f>
        <v/>
      </c>
      <c r="F28" s="48" t="str">
        <f>'bloco 03'!G14</f>
        <v/>
      </c>
    </row>
    <row r="29" ht="15.75" customHeight="1">
      <c r="A29" s="13" t="str">
        <f>'bloco 03'!$B15</f>
        <v/>
      </c>
      <c r="B29" s="45" t="str">
        <f>'bloco 03'!C15</f>
        <v/>
      </c>
      <c r="C29" s="45" t="str">
        <f>'bloco 03'!D15</f>
        <v/>
      </c>
      <c r="D29" s="45" t="str">
        <f>'bloco 03'!E15</f>
        <v/>
      </c>
      <c r="E29" s="46" t="str">
        <f>IFERROR(('bloco 03'!F15),"")</f>
        <v/>
      </c>
      <c r="F29" s="48" t="str">
        <f>'bloco 03'!G15</f>
        <v/>
      </c>
    </row>
    <row r="30" ht="15.75" customHeight="1">
      <c r="A30" s="28" t="s">
        <v>22</v>
      </c>
    </row>
    <row r="31" ht="15.75" customHeight="1">
      <c r="A31" s="31"/>
      <c r="B31" s="31" t="s">
        <v>13</v>
      </c>
      <c r="C31" s="32" t="s">
        <v>16</v>
      </c>
      <c r="D31" s="32" t="s">
        <v>15</v>
      </c>
      <c r="E31" s="32" t="s">
        <v>21</v>
      </c>
      <c r="F31" s="32" t="s">
        <v>11</v>
      </c>
    </row>
    <row r="32" ht="15.75" customHeight="1">
      <c r="A32" s="13" t="str">
        <f>'bloco 03'!$B21</f>
        <v/>
      </c>
      <c r="B32" s="45" t="str">
        <f>'bloco 03'!C21</f>
        <v/>
      </c>
      <c r="C32" s="45" t="str">
        <f>'bloco 03'!D21</f>
        <v/>
      </c>
      <c r="D32" s="45" t="str">
        <f>'bloco 03'!E21</f>
        <v/>
      </c>
      <c r="E32" s="46" t="str">
        <f>IFERROR(('bloco 03'!F21),"")</f>
        <v/>
      </c>
      <c r="F32" s="48" t="str">
        <f>'bloco 03'!G21</f>
        <v/>
      </c>
    </row>
    <row r="33" ht="15.75" customHeight="1">
      <c r="A33" s="13" t="str">
        <f>'bloco 03'!$B22</f>
        <v/>
      </c>
      <c r="B33" s="45" t="str">
        <f>'bloco 03'!C22</f>
        <v/>
      </c>
      <c r="C33" s="45" t="str">
        <f>'bloco 03'!D22</f>
        <v/>
      </c>
      <c r="D33" s="45" t="str">
        <f>'bloco 03'!E22</f>
        <v/>
      </c>
      <c r="E33" s="46" t="str">
        <f>IFERROR(('bloco 03'!F22),"")</f>
        <v/>
      </c>
      <c r="F33" s="48" t="str">
        <f>'bloco 03'!G22</f>
        <v/>
      </c>
    </row>
    <row r="34" ht="15.75" customHeight="1">
      <c r="A34" s="13" t="str">
        <f>'bloco 03'!$B23</f>
        <v/>
      </c>
      <c r="B34" s="45" t="str">
        <f>'bloco 03'!C23</f>
        <v/>
      </c>
      <c r="C34" s="45" t="str">
        <f>'bloco 03'!D23</f>
        <v/>
      </c>
      <c r="D34" s="45" t="str">
        <f>'bloco 03'!E23</f>
        <v/>
      </c>
      <c r="E34" s="46" t="str">
        <f>IFERROR(('bloco 03'!F23),"")</f>
        <v/>
      </c>
      <c r="F34" s="48" t="str">
        <f>'bloco 03'!G23</f>
        <v/>
      </c>
    </row>
    <row r="35" ht="15.75" customHeight="1">
      <c r="A35" s="13" t="str">
        <f>'bloco 03'!$B24</f>
        <v/>
      </c>
      <c r="B35" s="45" t="str">
        <f>'bloco 03'!C24</f>
        <v/>
      </c>
      <c r="C35" s="45" t="str">
        <f>'bloco 03'!D24</f>
        <v/>
      </c>
      <c r="D35" s="45" t="str">
        <f>'bloco 03'!E24</f>
        <v/>
      </c>
      <c r="E35" s="46" t="str">
        <f>IFERROR(('bloco 03'!F24),"")</f>
        <v/>
      </c>
      <c r="F35" s="48" t="str">
        <f>'bloco 03'!G24</f>
        <v/>
      </c>
    </row>
    <row r="36" ht="15.75" customHeight="1">
      <c r="A36" s="13" t="str">
        <f>'bloco 03'!$B25</f>
        <v/>
      </c>
      <c r="B36" s="45" t="str">
        <f>'bloco 03'!C25</f>
        <v/>
      </c>
      <c r="C36" s="45" t="str">
        <f>'bloco 03'!D25</f>
        <v/>
      </c>
      <c r="D36" s="45" t="str">
        <f>'bloco 03'!E25</f>
        <v/>
      </c>
      <c r="E36" s="46" t="str">
        <f>IFERROR(('bloco 03'!F25),"")</f>
        <v/>
      </c>
      <c r="F36" s="48" t="str">
        <f>'bloco 03'!G25</f>
        <v/>
      </c>
    </row>
    <row r="37" ht="15.75" customHeight="1">
      <c r="A37" s="13" t="str">
        <f>'bloco 03'!$B26</f>
        <v/>
      </c>
      <c r="B37" s="45" t="str">
        <f>'bloco 03'!C26</f>
        <v/>
      </c>
      <c r="C37" s="45" t="str">
        <f>'bloco 03'!D26</f>
        <v/>
      </c>
      <c r="D37" s="45" t="str">
        <f>'bloco 03'!E26</f>
        <v/>
      </c>
      <c r="E37" s="46" t="str">
        <f>IFERROR(('bloco 03'!F26),"")</f>
        <v/>
      </c>
      <c r="F37" s="48" t="str">
        <f>'bloco 03'!G26</f>
        <v/>
      </c>
    </row>
    <row r="38" ht="15.75" customHeight="1">
      <c r="A38" s="13" t="str">
        <f>'bloco 03'!$B27</f>
        <v/>
      </c>
      <c r="B38" s="45" t="str">
        <f>'bloco 03'!C27</f>
        <v/>
      </c>
      <c r="C38" s="45" t="str">
        <f>'bloco 03'!D27</f>
        <v/>
      </c>
      <c r="D38" s="45" t="str">
        <f>'bloco 03'!E27</f>
        <v/>
      </c>
      <c r="E38" s="46" t="str">
        <f>IFERROR(('bloco 03'!F27),"")</f>
        <v/>
      </c>
      <c r="F38" s="48" t="str">
        <f>'bloco 03'!G27</f>
        <v/>
      </c>
    </row>
    <row r="39" ht="15.75" customHeight="1">
      <c r="A39" s="13" t="str">
        <f>'bloco 03'!$B28</f>
        <v/>
      </c>
      <c r="B39" s="45" t="str">
        <f>'bloco 03'!C28</f>
        <v/>
      </c>
      <c r="C39" s="45" t="str">
        <f>'bloco 03'!D28</f>
        <v/>
      </c>
      <c r="D39" s="45" t="str">
        <f>'bloco 03'!E28</f>
        <v/>
      </c>
      <c r="E39" s="46" t="str">
        <f>IFERROR(('bloco 03'!F28),"")</f>
        <v/>
      </c>
      <c r="F39" s="48" t="str">
        <f>'bloco 03'!G28</f>
        <v/>
      </c>
    </row>
    <row r="40" ht="15.75" customHeight="1">
      <c r="A40" s="13" t="str">
        <f>'bloco 03'!$B29</f>
        <v/>
      </c>
      <c r="B40" s="45" t="str">
        <f>'bloco 03'!C29</f>
        <v/>
      </c>
      <c r="C40" s="45" t="str">
        <f>'bloco 03'!D29</f>
        <v/>
      </c>
      <c r="D40" s="45" t="str">
        <f>'bloco 03'!E29</f>
        <v/>
      </c>
      <c r="E40" s="46" t="str">
        <f>IFERROR(('bloco 03'!F29),"")</f>
        <v/>
      </c>
      <c r="F40" s="48" t="str">
        <f>'bloco 03'!G29</f>
        <v/>
      </c>
    </row>
    <row r="41" ht="15.75" customHeight="1">
      <c r="A41" s="13" t="str">
        <f>'bloco 03'!$B30</f>
        <v/>
      </c>
      <c r="B41" s="45" t="str">
        <f>'bloco 03'!C30</f>
        <v/>
      </c>
      <c r="C41" s="45" t="str">
        <f>'bloco 03'!D30</f>
        <v/>
      </c>
      <c r="D41" s="45" t="str">
        <f>'bloco 03'!E30</f>
        <v/>
      </c>
      <c r="E41" s="46" t="str">
        <f>IFERROR(('bloco 03'!F30),"")</f>
        <v/>
      </c>
      <c r="F41" s="48" t="str">
        <f>'bloco 03'!G30</f>
        <v/>
      </c>
    </row>
    <row r="42" ht="15.75" customHeight="1">
      <c r="A42" s="28" t="s">
        <v>26</v>
      </c>
    </row>
    <row r="43" ht="15.75" customHeight="1">
      <c r="A43" s="31"/>
      <c r="B43" s="31" t="s">
        <v>13</v>
      </c>
      <c r="C43" s="32" t="s">
        <v>16</v>
      </c>
      <c r="D43" s="32" t="s">
        <v>15</v>
      </c>
      <c r="E43" s="32" t="s">
        <v>21</v>
      </c>
      <c r="F43" s="32" t="s">
        <v>11</v>
      </c>
    </row>
    <row r="44" ht="15.75" customHeight="1">
      <c r="A44" s="13" t="str">
        <f>'bloco 03'!$B36</f>
        <v/>
      </c>
      <c r="B44" s="45" t="str">
        <f>'bloco 03'!C36</f>
        <v/>
      </c>
      <c r="C44" s="45" t="str">
        <f>'bloco 03'!D36</f>
        <v/>
      </c>
      <c r="D44" s="45" t="str">
        <f>'bloco 03'!E36</f>
        <v/>
      </c>
      <c r="E44" s="46" t="str">
        <f>IFERROR(('bloco 03'!F36),"")</f>
        <v/>
      </c>
      <c r="F44" s="48" t="str">
        <f>'bloco 03'!G36</f>
        <v/>
      </c>
    </row>
    <row r="45" ht="15.75" customHeight="1">
      <c r="A45" s="13" t="str">
        <f>'bloco 03'!$B37</f>
        <v/>
      </c>
      <c r="B45" s="45" t="str">
        <f>'bloco 03'!C37</f>
        <v/>
      </c>
      <c r="C45" s="45" t="str">
        <f>'bloco 03'!D37</f>
        <v/>
      </c>
      <c r="D45" s="45" t="str">
        <f>'bloco 03'!E37</f>
        <v/>
      </c>
      <c r="E45" s="46" t="str">
        <f>IFERROR(('bloco 03'!F37),"")</f>
        <v/>
      </c>
      <c r="F45" s="48" t="str">
        <f>'bloco 03'!G37</f>
        <v/>
      </c>
    </row>
    <row r="46" ht="15.75" customHeight="1">
      <c r="A46" s="13" t="str">
        <f>'bloco 03'!$B38</f>
        <v/>
      </c>
      <c r="B46" s="45" t="str">
        <f>'bloco 03'!C38</f>
        <v/>
      </c>
      <c r="C46" s="45" t="str">
        <f>'bloco 03'!D38</f>
        <v/>
      </c>
      <c r="D46" s="45" t="str">
        <f>'bloco 03'!E38</f>
        <v/>
      </c>
      <c r="E46" s="46" t="str">
        <f>IFERROR(('bloco 03'!F38),"")</f>
        <v/>
      </c>
      <c r="F46" s="48" t="str">
        <f>'bloco 03'!G38</f>
        <v/>
      </c>
    </row>
    <row r="47" ht="15.75" customHeight="1">
      <c r="A47" s="13" t="str">
        <f>'bloco 03'!$B39</f>
        <v/>
      </c>
      <c r="B47" s="45" t="str">
        <f>'bloco 03'!C39</f>
        <v/>
      </c>
      <c r="C47" s="45" t="str">
        <f>'bloco 03'!D39</f>
        <v/>
      </c>
      <c r="D47" s="45" t="str">
        <f>'bloco 03'!E39</f>
        <v/>
      </c>
      <c r="E47" s="46" t="str">
        <f>IFERROR(('bloco 03'!F39),"")</f>
        <v/>
      </c>
      <c r="F47" s="48" t="str">
        <f>'bloco 03'!G39</f>
        <v/>
      </c>
    </row>
    <row r="48" ht="15.75" customHeight="1">
      <c r="A48" s="13" t="str">
        <f>'bloco 03'!$B40</f>
        <v/>
      </c>
      <c r="B48" s="45" t="str">
        <f>'bloco 03'!C40</f>
        <v/>
      </c>
      <c r="C48" s="45" t="str">
        <f>'bloco 03'!D40</f>
        <v/>
      </c>
      <c r="D48" s="45" t="str">
        <f>'bloco 03'!E40</f>
        <v/>
      </c>
      <c r="E48" s="46" t="str">
        <f>IFERROR(('bloco 03'!F40),"")</f>
        <v/>
      </c>
      <c r="F48" s="48" t="str">
        <f>'bloco 03'!G40</f>
        <v/>
      </c>
    </row>
    <row r="49" ht="15.75" customHeight="1">
      <c r="A49" s="13" t="str">
        <f>'bloco 03'!$B41</f>
        <v/>
      </c>
      <c r="B49" s="45" t="str">
        <f>'bloco 03'!C41</f>
        <v/>
      </c>
      <c r="C49" s="45" t="str">
        <f>'bloco 03'!D41</f>
        <v/>
      </c>
      <c r="D49" s="45" t="str">
        <f>'bloco 03'!E41</f>
        <v/>
      </c>
      <c r="E49" s="46" t="str">
        <f>IFERROR(('bloco 03'!F41),"")</f>
        <v/>
      </c>
      <c r="F49" s="48" t="str">
        <f>'bloco 03'!G41</f>
        <v/>
      </c>
    </row>
    <row r="50" ht="15.75" customHeight="1">
      <c r="A50" s="13" t="str">
        <f>'bloco 03'!$B42</f>
        <v/>
      </c>
      <c r="B50" s="45" t="str">
        <f>'bloco 03'!C42</f>
        <v/>
      </c>
      <c r="C50" s="45" t="str">
        <f>'bloco 03'!D42</f>
        <v/>
      </c>
      <c r="D50" s="45" t="str">
        <f>'bloco 03'!E42</f>
        <v/>
      </c>
      <c r="E50" s="46" t="str">
        <f>IFERROR(('bloco 03'!F42),"")</f>
        <v/>
      </c>
      <c r="F50" s="48" t="str">
        <f>'bloco 03'!G42</f>
        <v/>
      </c>
    </row>
    <row r="51" ht="15.75" customHeight="1">
      <c r="A51" s="13" t="str">
        <f>'bloco 03'!$B43</f>
        <v/>
      </c>
      <c r="B51" s="45" t="str">
        <f>'bloco 03'!C43</f>
        <v/>
      </c>
      <c r="C51" s="45" t="str">
        <f>'bloco 03'!D43</f>
        <v/>
      </c>
      <c r="D51" s="45" t="str">
        <f>'bloco 03'!E43</f>
        <v/>
      </c>
      <c r="E51" s="46" t="str">
        <f>IFERROR(('bloco 03'!F43),"")</f>
        <v/>
      </c>
      <c r="F51" s="48" t="str">
        <f>'bloco 03'!G43</f>
        <v/>
      </c>
    </row>
    <row r="52" ht="15.75" customHeight="1">
      <c r="A52" s="13" t="str">
        <f>'bloco 03'!$B44</f>
        <v/>
      </c>
      <c r="B52" s="45" t="str">
        <f>'bloco 03'!C44</f>
        <v/>
      </c>
      <c r="C52" s="45" t="str">
        <f>'bloco 03'!D44</f>
        <v/>
      </c>
      <c r="D52" s="45" t="str">
        <f>'bloco 03'!E44</f>
        <v/>
      </c>
      <c r="E52" s="46" t="str">
        <f>IFERROR(('bloco 03'!F44),"")</f>
        <v/>
      </c>
      <c r="F52" s="48" t="str">
        <f>'bloco 03'!G44</f>
        <v/>
      </c>
    </row>
    <row r="53" ht="15.75" customHeight="1">
      <c r="A53" s="13" t="str">
        <f>'bloco 03'!$B45</f>
        <v/>
      </c>
      <c r="B53" s="45" t="str">
        <f>'bloco 03'!C45</f>
        <v/>
      </c>
      <c r="C53" s="45" t="str">
        <f>'bloco 03'!D45</f>
        <v/>
      </c>
      <c r="D53" s="45" t="str">
        <f>'bloco 03'!E45</f>
        <v/>
      </c>
      <c r="E53" s="46" t="str">
        <f>IFERROR(('bloco 03'!F45),"")</f>
        <v/>
      </c>
      <c r="F53" s="48" t="str">
        <f>'bloco 03'!G45</f>
        <v/>
      </c>
    </row>
    <row r="54" ht="15.75" customHeight="1">
      <c r="A54" s="28" t="s">
        <v>27</v>
      </c>
    </row>
    <row r="55" ht="15.75" customHeight="1">
      <c r="A55" s="31"/>
      <c r="B55" s="31" t="s">
        <v>13</v>
      </c>
      <c r="C55" s="32" t="s">
        <v>16</v>
      </c>
      <c r="D55" s="32" t="s">
        <v>15</v>
      </c>
      <c r="E55" s="32" t="s">
        <v>21</v>
      </c>
      <c r="F55" s="32" t="s">
        <v>11</v>
      </c>
    </row>
    <row r="56" ht="15.75" customHeight="1">
      <c r="A56" s="13" t="str">
        <f>'bloco 03'!$B51</f>
        <v/>
      </c>
      <c r="B56" s="45" t="str">
        <f>'bloco 03'!C51</f>
        <v/>
      </c>
      <c r="C56" s="45" t="str">
        <f>'bloco 03'!D51</f>
        <v/>
      </c>
      <c r="D56" s="45" t="str">
        <f>'bloco 03'!E51</f>
        <v/>
      </c>
      <c r="E56" s="46" t="str">
        <f>IFERROR(('bloco 03'!F51),"")</f>
        <v/>
      </c>
      <c r="F56" s="48" t="str">
        <f>'bloco 03'!G51</f>
        <v/>
      </c>
    </row>
    <row r="57" ht="15.75" customHeight="1">
      <c r="A57" s="13" t="str">
        <f>'bloco 03'!$B52</f>
        <v/>
      </c>
      <c r="B57" s="45" t="str">
        <f>'bloco 03'!C52</f>
        <v/>
      </c>
      <c r="C57" s="45" t="str">
        <f>'bloco 03'!D52</f>
        <v/>
      </c>
      <c r="D57" s="45" t="str">
        <f>'bloco 03'!E52</f>
        <v/>
      </c>
      <c r="E57" s="46" t="str">
        <f>IFERROR(('bloco 03'!F52),"")</f>
        <v/>
      </c>
      <c r="F57" s="48" t="str">
        <f>'bloco 03'!G52</f>
        <v/>
      </c>
    </row>
    <row r="58" ht="15.75" customHeight="1">
      <c r="A58" s="13" t="str">
        <f>'bloco 03'!$B53</f>
        <v/>
      </c>
      <c r="B58" s="45" t="str">
        <f>'bloco 03'!C53</f>
        <v/>
      </c>
      <c r="C58" s="45" t="str">
        <f>'bloco 03'!D53</f>
        <v/>
      </c>
      <c r="D58" s="45" t="str">
        <f>'bloco 03'!E53</f>
        <v/>
      </c>
      <c r="E58" s="46" t="str">
        <f>IFERROR(('bloco 03'!F53),"")</f>
        <v/>
      </c>
      <c r="F58" s="48" t="str">
        <f>'bloco 03'!G53</f>
        <v/>
      </c>
    </row>
    <row r="59" ht="15.75" customHeight="1">
      <c r="A59" s="13" t="str">
        <f>'bloco 03'!$B54</f>
        <v/>
      </c>
      <c r="B59" s="45" t="str">
        <f>'bloco 03'!C54</f>
        <v/>
      </c>
      <c r="C59" s="45" t="str">
        <f>'bloco 03'!D54</f>
        <v/>
      </c>
      <c r="D59" s="45" t="str">
        <f>'bloco 03'!E54</f>
        <v/>
      </c>
      <c r="E59" s="46" t="str">
        <f>IFERROR(('bloco 03'!F54),"")</f>
        <v/>
      </c>
      <c r="F59" s="48" t="str">
        <f>'bloco 03'!G54</f>
        <v/>
      </c>
    </row>
    <row r="60" ht="15.75" customHeight="1">
      <c r="A60" s="13" t="str">
        <f>'bloco 03'!$B55</f>
        <v/>
      </c>
      <c r="B60" s="45" t="str">
        <f>'bloco 03'!C55</f>
        <v/>
      </c>
      <c r="C60" s="45" t="str">
        <f>'bloco 03'!D55</f>
        <v/>
      </c>
      <c r="D60" s="45" t="str">
        <f>'bloco 03'!E55</f>
        <v/>
      </c>
      <c r="E60" s="46" t="str">
        <f>IFERROR(('bloco 03'!F55),"")</f>
        <v/>
      </c>
      <c r="F60" s="48" t="str">
        <f>'bloco 03'!G55</f>
        <v/>
      </c>
    </row>
    <row r="61" ht="15.75" customHeight="1">
      <c r="A61" s="13" t="str">
        <f>'bloco 03'!$B56</f>
        <v/>
      </c>
      <c r="B61" s="45" t="str">
        <f>'bloco 03'!C56</f>
        <v/>
      </c>
      <c r="C61" s="45" t="str">
        <f>'bloco 03'!D56</f>
        <v/>
      </c>
      <c r="D61" s="45" t="str">
        <f>'bloco 03'!E56</f>
        <v/>
      </c>
      <c r="E61" s="46" t="str">
        <f>IFERROR(('bloco 03'!F56),"")</f>
        <v/>
      </c>
      <c r="F61" s="48" t="str">
        <f>'bloco 03'!G56</f>
        <v/>
      </c>
    </row>
    <row r="62" ht="15.75" customHeight="1">
      <c r="A62" s="13" t="str">
        <f>'bloco 03'!$B57</f>
        <v/>
      </c>
      <c r="B62" s="45" t="str">
        <f>'bloco 03'!C57</f>
        <v/>
      </c>
      <c r="C62" s="45" t="str">
        <f>'bloco 03'!D57</f>
        <v/>
      </c>
      <c r="D62" s="45" t="str">
        <f>'bloco 03'!E57</f>
        <v/>
      </c>
      <c r="E62" s="46" t="str">
        <f>IFERROR(('bloco 03'!F57),"")</f>
        <v/>
      </c>
      <c r="F62" s="48" t="str">
        <f>'bloco 03'!G57</f>
        <v/>
      </c>
    </row>
    <row r="63" ht="15.75" customHeight="1">
      <c r="A63" s="13" t="str">
        <f>'bloco 03'!$B58</f>
        <v/>
      </c>
      <c r="B63" s="45" t="str">
        <f>'bloco 03'!C58</f>
        <v/>
      </c>
      <c r="C63" s="45" t="str">
        <f>'bloco 03'!D58</f>
        <v/>
      </c>
      <c r="D63" s="45" t="str">
        <f>'bloco 03'!E58</f>
        <v/>
      </c>
      <c r="E63" s="46" t="str">
        <f>IFERROR(('bloco 03'!F58),"")</f>
        <v/>
      </c>
      <c r="F63" s="48" t="str">
        <f>'bloco 03'!G58</f>
        <v/>
      </c>
    </row>
    <row r="64" ht="15.75" customHeight="1">
      <c r="A64" s="13" t="str">
        <f>'bloco 03'!$B59</f>
        <v/>
      </c>
      <c r="B64" s="45" t="str">
        <f>'bloco 03'!C59</f>
        <v/>
      </c>
      <c r="C64" s="45" t="str">
        <f>'bloco 03'!D59</f>
        <v/>
      </c>
      <c r="D64" s="45" t="str">
        <f>'bloco 03'!E59</f>
        <v/>
      </c>
      <c r="E64" s="46" t="str">
        <f>IFERROR(('bloco 03'!F59),"")</f>
        <v/>
      </c>
      <c r="F64" s="48" t="str">
        <f>'bloco 03'!G59</f>
        <v/>
      </c>
    </row>
    <row r="65" ht="15.75" customHeight="1">
      <c r="A65" s="13" t="str">
        <f>'bloco 03'!$B60</f>
        <v/>
      </c>
      <c r="B65" s="45" t="str">
        <f>'bloco 03'!C60</f>
        <v/>
      </c>
      <c r="C65" s="45" t="str">
        <f>'bloco 03'!D60</f>
        <v/>
      </c>
      <c r="D65" s="45" t="str">
        <f>'bloco 03'!E60</f>
        <v/>
      </c>
      <c r="E65" s="46" t="str">
        <f>IFERROR(('bloco 03'!F60),"")</f>
        <v/>
      </c>
      <c r="F65" s="48" t="str">
        <f>'bloco 03'!G60</f>
        <v/>
      </c>
    </row>
    <row r="66" ht="15.75" customHeight="1">
      <c r="A66" s="39">
        <f>'bloco 03'!J3</f>
        <v>46359</v>
      </c>
    </row>
    <row r="67" ht="15.75" customHeight="1">
      <c r="A67" s="40" t="s">
        <v>23</v>
      </c>
    </row>
    <row r="68" ht="15.75" customHeight="1">
      <c r="A68" s="28" t="s">
        <v>5</v>
      </c>
    </row>
    <row r="69" ht="15.75" customHeight="1">
      <c r="A69" s="31"/>
      <c r="B69" s="31" t="s">
        <v>13</v>
      </c>
      <c r="C69" s="32" t="s">
        <v>16</v>
      </c>
      <c r="D69" s="32" t="s">
        <v>15</v>
      </c>
      <c r="E69" s="80" t="s">
        <v>21</v>
      </c>
      <c r="F69" s="32" t="s">
        <v>11</v>
      </c>
    </row>
    <row r="70" ht="15.75" customHeight="1">
      <c r="A70" s="13" t="str">
        <f>'bloco 03'!$I6</f>
        <v/>
      </c>
      <c r="B70" s="45" t="str">
        <f>'bloco 03'!J6</f>
        <v/>
      </c>
      <c r="C70" s="45" t="str">
        <f>'bloco 03'!K6</f>
        <v/>
      </c>
      <c r="D70" s="45" t="str">
        <f>'bloco 03'!L6</f>
        <v/>
      </c>
      <c r="E70" s="46" t="str">
        <f>IFERROR(('bloco 03'!M6),"")</f>
        <v/>
      </c>
      <c r="F70" s="48" t="str">
        <f>'bloco 03'!N6</f>
        <v/>
      </c>
    </row>
    <row r="71" ht="15.75" customHeight="1">
      <c r="A71" s="13" t="str">
        <f>'bloco 03'!$I7</f>
        <v/>
      </c>
      <c r="B71" s="45" t="str">
        <f>'bloco 03'!J7</f>
        <v/>
      </c>
      <c r="C71" s="45" t="str">
        <f>'bloco 03'!K7</f>
        <v/>
      </c>
      <c r="D71" s="45" t="str">
        <f>'bloco 03'!L7</f>
        <v/>
      </c>
      <c r="E71" s="46" t="str">
        <f>IFERROR(('bloco 03'!M7),"")</f>
        <v/>
      </c>
      <c r="F71" s="48" t="str">
        <f>'bloco 03'!N7</f>
        <v/>
      </c>
    </row>
    <row r="72" ht="15.75" customHeight="1">
      <c r="A72" s="13" t="str">
        <f>'bloco 03'!$I8</f>
        <v/>
      </c>
      <c r="B72" s="45" t="str">
        <f>'bloco 03'!J8</f>
        <v/>
      </c>
      <c r="C72" s="45" t="str">
        <f>'bloco 03'!K8</f>
        <v/>
      </c>
      <c r="D72" s="45" t="str">
        <f>'bloco 03'!L8</f>
        <v/>
      </c>
      <c r="E72" s="46" t="str">
        <f>IFERROR(('bloco 03'!M8),"")</f>
        <v/>
      </c>
      <c r="F72" s="48" t="str">
        <f>'bloco 03'!N8</f>
        <v/>
      </c>
    </row>
    <row r="73" ht="15.75" customHeight="1">
      <c r="A73" s="13" t="str">
        <f>'bloco 03'!$I9</f>
        <v/>
      </c>
      <c r="B73" s="45" t="str">
        <f>'bloco 03'!J9</f>
        <v/>
      </c>
      <c r="C73" s="45" t="str">
        <f>'bloco 03'!K9</f>
        <v/>
      </c>
      <c r="D73" s="45" t="str">
        <f>'bloco 03'!L9</f>
        <v/>
      </c>
      <c r="E73" s="46" t="str">
        <f>IFERROR(('bloco 03'!M9),"")</f>
        <v/>
      </c>
      <c r="F73" s="48" t="str">
        <f>'bloco 03'!N9</f>
        <v/>
      </c>
    </row>
    <row r="74" ht="15.75" customHeight="1">
      <c r="A74" s="13" t="str">
        <f>'bloco 03'!$I10</f>
        <v/>
      </c>
      <c r="B74" s="45" t="str">
        <f>'bloco 03'!J10</f>
        <v/>
      </c>
      <c r="C74" s="45" t="str">
        <f>'bloco 03'!K10</f>
        <v/>
      </c>
      <c r="D74" s="45" t="str">
        <f>'bloco 03'!L10</f>
        <v/>
      </c>
      <c r="E74" s="46" t="str">
        <f>IFERROR(('bloco 03'!M10),"")</f>
        <v/>
      </c>
      <c r="F74" s="48" t="str">
        <f>'bloco 03'!N10</f>
        <v/>
      </c>
    </row>
    <row r="75" ht="15.75" customHeight="1">
      <c r="A75" s="13" t="str">
        <f>'bloco 03'!$I11</f>
        <v/>
      </c>
      <c r="B75" s="45" t="str">
        <f>'bloco 03'!J11</f>
        <v/>
      </c>
      <c r="C75" s="45" t="str">
        <f>'bloco 03'!K11</f>
        <v/>
      </c>
      <c r="D75" s="45" t="str">
        <f>'bloco 03'!L11</f>
        <v/>
      </c>
      <c r="E75" s="46" t="str">
        <f>IFERROR(('bloco 03'!M11),"")</f>
        <v/>
      </c>
      <c r="F75" s="48" t="str">
        <f>'bloco 03'!N11</f>
        <v/>
      </c>
    </row>
    <row r="76" ht="15.75" customHeight="1">
      <c r="A76" s="13" t="str">
        <f>'bloco 03'!$I12</f>
        <v/>
      </c>
      <c r="B76" s="45" t="str">
        <f>'bloco 03'!J12</f>
        <v/>
      </c>
      <c r="C76" s="45" t="str">
        <f>'bloco 03'!K12</f>
        <v/>
      </c>
      <c r="D76" s="45" t="str">
        <f>'bloco 03'!L12</f>
        <v/>
      </c>
      <c r="E76" s="46" t="str">
        <f>IFERROR(('bloco 03'!M12),"")</f>
        <v/>
      </c>
      <c r="F76" s="48" t="str">
        <f>'bloco 03'!N12</f>
        <v/>
      </c>
    </row>
    <row r="77" ht="15.75" customHeight="1">
      <c r="A77" s="13" t="str">
        <f>'bloco 03'!$I13</f>
        <v/>
      </c>
      <c r="B77" s="45" t="str">
        <f>'bloco 03'!J13</f>
        <v/>
      </c>
      <c r="C77" s="45" t="str">
        <f>'bloco 03'!K13</f>
        <v/>
      </c>
      <c r="D77" s="45" t="str">
        <f>'bloco 03'!L13</f>
        <v/>
      </c>
      <c r="E77" s="46" t="str">
        <f>IFERROR(('bloco 03'!M13),"")</f>
        <v/>
      </c>
      <c r="F77" s="48" t="str">
        <f>'bloco 03'!N13</f>
        <v/>
      </c>
    </row>
    <row r="78" ht="15.75" customHeight="1">
      <c r="A78" s="13" t="str">
        <f>'bloco 03'!$I14</f>
        <v/>
      </c>
      <c r="B78" s="45" t="str">
        <f>'bloco 03'!J14</f>
        <v/>
      </c>
      <c r="C78" s="45" t="str">
        <f>'bloco 03'!K14</f>
        <v/>
      </c>
      <c r="D78" s="45" t="str">
        <f>'bloco 03'!L14</f>
        <v/>
      </c>
      <c r="E78" s="46" t="str">
        <f>IFERROR(('bloco 03'!M14),"")</f>
        <v/>
      </c>
      <c r="F78" s="48" t="str">
        <f>'bloco 03'!N14</f>
        <v/>
      </c>
    </row>
    <row r="79" ht="15.75" customHeight="1">
      <c r="A79" s="13" t="str">
        <f>'bloco 03'!$I15</f>
        <v/>
      </c>
      <c r="B79" s="45" t="str">
        <f>'bloco 03'!J15</f>
        <v/>
      </c>
      <c r="C79" s="45" t="str">
        <f>'bloco 03'!K15</f>
        <v/>
      </c>
      <c r="D79" s="45" t="str">
        <f>'bloco 03'!L15</f>
        <v/>
      </c>
      <c r="E79" s="46" t="str">
        <f>IFERROR(('bloco 03'!M15),"")</f>
        <v/>
      </c>
      <c r="F79" s="48" t="str">
        <f>'bloco 03'!N15</f>
        <v/>
      </c>
    </row>
    <row r="80" ht="15.75" customHeight="1">
      <c r="A80" s="28" t="s">
        <v>22</v>
      </c>
    </row>
    <row r="81" ht="15.75" customHeight="1">
      <c r="A81" s="31"/>
      <c r="B81" s="31" t="s">
        <v>13</v>
      </c>
      <c r="C81" s="32" t="s">
        <v>16</v>
      </c>
      <c r="D81" s="32" t="s">
        <v>15</v>
      </c>
      <c r="E81" s="32" t="s">
        <v>21</v>
      </c>
      <c r="F81" s="32" t="s">
        <v>11</v>
      </c>
    </row>
    <row r="82" ht="15.75" customHeight="1">
      <c r="A82" s="13" t="str">
        <f>'bloco 03'!$I21</f>
        <v/>
      </c>
      <c r="B82" s="45" t="str">
        <f>'bloco 03'!J21</f>
        <v/>
      </c>
      <c r="C82" s="45" t="str">
        <f>'bloco 03'!K21</f>
        <v/>
      </c>
      <c r="D82" s="45" t="str">
        <f>'bloco 03'!L21</f>
        <v/>
      </c>
      <c r="E82" s="46" t="str">
        <f>IFERROR(('bloco 03'!M21),"")</f>
        <v/>
      </c>
      <c r="F82" s="48" t="str">
        <f>'bloco 03'!N21</f>
        <v/>
      </c>
    </row>
    <row r="83" ht="15.75" customHeight="1">
      <c r="A83" s="13" t="str">
        <f>'bloco 03'!$I22</f>
        <v/>
      </c>
      <c r="B83" s="45" t="str">
        <f>'bloco 03'!J22</f>
        <v/>
      </c>
      <c r="C83" s="45" t="str">
        <f>'bloco 03'!K22</f>
        <v/>
      </c>
      <c r="D83" s="45" t="str">
        <f>'bloco 03'!L22</f>
        <v/>
      </c>
      <c r="E83" s="46" t="str">
        <f>IFERROR(('bloco 03'!M22),"")</f>
        <v/>
      </c>
      <c r="F83" s="48" t="str">
        <f>'bloco 03'!N22</f>
        <v/>
      </c>
    </row>
    <row r="84" ht="15.75" customHeight="1">
      <c r="A84" s="13" t="str">
        <f>'bloco 03'!$I23</f>
        <v/>
      </c>
      <c r="B84" s="45" t="str">
        <f>'bloco 03'!J23</f>
        <v/>
      </c>
      <c r="C84" s="45" t="str">
        <f>'bloco 03'!K23</f>
        <v/>
      </c>
      <c r="D84" s="45" t="str">
        <f>'bloco 03'!L23</f>
        <v/>
      </c>
      <c r="E84" s="46" t="str">
        <f>IFERROR(('bloco 03'!M23),"")</f>
        <v/>
      </c>
      <c r="F84" s="48" t="str">
        <f>'bloco 03'!N23</f>
        <v/>
      </c>
    </row>
    <row r="85" ht="15.75" customHeight="1">
      <c r="A85" s="13" t="str">
        <f>'bloco 03'!$I24</f>
        <v/>
      </c>
      <c r="B85" s="45" t="str">
        <f>'bloco 03'!J24</f>
        <v/>
      </c>
      <c r="C85" s="45" t="str">
        <f>'bloco 03'!K24</f>
        <v/>
      </c>
      <c r="D85" s="45" t="str">
        <f>'bloco 03'!L24</f>
        <v/>
      </c>
      <c r="E85" s="46" t="str">
        <f>IFERROR(('bloco 03'!M24),"")</f>
        <v/>
      </c>
      <c r="F85" s="48" t="str">
        <f>'bloco 03'!N24</f>
        <v/>
      </c>
    </row>
    <row r="86" ht="15.75" customHeight="1">
      <c r="A86" s="13" t="str">
        <f>'bloco 03'!$I25</f>
        <v/>
      </c>
      <c r="B86" s="45" t="str">
        <f>'bloco 03'!J25</f>
        <v/>
      </c>
      <c r="C86" s="45" t="str">
        <f>'bloco 03'!K25</f>
        <v/>
      </c>
      <c r="D86" s="45" t="str">
        <f>'bloco 03'!L25</f>
        <v/>
      </c>
      <c r="E86" s="46" t="str">
        <f>IFERROR(('bloco 03'!M25),"")</f>
        <v/>
      </c>
      <c r="F86" s="48" t="str">
        <f>'bloco 03'!N25</f>
        <v/>
      </c>
    </row>
    <row r="87" ht="15.75" customHeight="1">
      <c r="A87" s="13" t="str">
        <f>'bloco 03'!$I26</f>
        <v/>
      </c>
      <c r="B87" s="45" t="str">
        <f>'bloco 03'!J26</f>
        <v/>
      </c>
      <c r="C87" s="45" t="str">
        <f>'bloco 03'!K26</f>
        <v/>
      </c>
      <c r="D87" s="45" t="str">
        <f>'bloco 03'!L26</f>
        <v/>
      </c>
      <c r="E87" s="46" t="str">
        <f>IFERROR(('bloco 03'!M26),"")</f>
        <v/>
      </c>
      <c r="F87" s="48" t="str">
        <f>'bloco 03'!N26</f>
        <v/>
      </c>
    </row>
    <row r="88" ht="15.75" customHeight="1">
      <c r="A88" s="13" t="str">
        <f>'bloco 03'!$I27</f>
        <v/>
      </c>
      <c r="B88" s="45" t="str">
        <f>'bloco 03'!J27</f>
        <v/>
      </c>
      <c r="C88" s="45" t="str">
        <f>'bloco 03'!K27</f>
        <v/>
      </c>
      <c r="D88" s="45" t="str">
        <f>'bloco 03'!L27</f>
        <v/>
      </c>
      <c r="E88" s="46" t="str">
        <f>IFERROR(('bloco 03'!M27),"")</f>
        <v/>
      </c>
      <c r="F88" s="48" t="str">
        <f>'bloco 03'!N27</f>
        <v/>
      </c>
    </row>
    <row r="89" ht="15.75" customHeight="1">
      <c r="A89" s="13" t="str">
        <f>'bloco 03'!$I28</f>
        <v/>
      </c>
      <c r="B89" s="45" t="str">
        <f>'bloco 03'!J28</f>
        <v/>
      </c>
      <c r="C89" s="45" t="str">
        <f>'bloco 03'!K28</f>
        <v/>
      </c>
      <c r="D89" s="45" t="str">
        <f>'bloco 03'!L28</f>
        <v/>
      </c>
      <c r="E89" s="46" t="str">
        <f>IFERROR(('bloco 03'!M28),"")</f>
        <v/>
      </c>
      <c r="F89" s="48" t="str">
        <f>'bloco 03'!N28</f>
        <v/>
      </c>
    </row>
    <row r="90" ht="15.75" customHeight="1">
      <c r="A90" s="13" t="str">
        <f>'bloco 03'!$I29</f>
        <v/>
      </c>
      <c r="B90" s="45" t="str">
        <f>'bloco 03'!J29</f>
        <v/>
      </c>
      <c r="C90" s="45" t="str">
        <f>'bloco 03'!K29</f>
        <v/>
      </c>
      <c r="D90" s="45" t="str">
        <f>'bloco 03'!L29</f>
        <v/>
      </c>
      <c r="E90" s="46" t="str">
        <f>IFERROR(('bloco 03'!M29),"")</f>
        <v/>
      </c>
      <c r="F90" s="48" t="str">
        <f>'bloco 03'!N29</f>
        <v/>
      </c>
    </row>
    <row r="91" ht="15.75" customHeight="1">
      <c r="A91" s="13" t="str">
        <f>'bloco 03'!$I30</f>
        <v/>
      </c>
      <c r="B91" s="45" t="str">
        <f>'bloco 03'!J30</f>
        <v/>
      </c>
      <c r="C91" s="45" t="str">
        <f>'bloco 03'!K30</f>
        <v/>
      </c>
      <c r="D91" s="45" t="str">
        <f>'bloco 03'!L30</f>
        <v/>
      </c>
      <c r="E91" s="46" t="str">
        <f>IFERROR(('bloco 03'!M30),"")</f>
        <v/>
      </c>
      <c r="F91" s="48" t="str">
        <f>'bloco 03'!N30</f>
        <v/>
      </c>
    </row>
    <row r="92" ht="15.75" customHeight="1">
      <c r="A92" s="28" t="s">
        <v>26</v>
      </c>
    </row>
    <row r="93" ht="15.75" customHeight="1">
      <c r="A93" s="31"/>
      <c r="B93" s="31" t="s">
        <v>13</v>
      </c>
      <c r="C93" s="32" t="s">
        <v>16</v>
      </c>
      <c r="D93" s="32" t="s">
        <v>15</v>
      </c>
      <c r="E93" s="32" t="s">
        <v>21</v>
      </c>
      <c r="F93" s="32" t="s">
        <v>11</v>
      </c>
    </row>
    <row r="94" ht="15.75" customHeight="1">
      <c r="A94" s="13" t="str">
        <f>'bloco 03'!$I36</f>
        <v/>
      </c>
      <c r="B94" s="45" t="str">
        <f>'bloco 03'!J36</f>
        <v/>
      </c>
      <c r="C94" s="45" t="str">
        <f>'bloco 03'!K36</f>
        <v/>
      </c>
      <c r="D94" s="45" t="str">
        <f>'bloco 03'!L36</f>
        <v/>
      </c>
      <c r="E94" s="46" t="str">
        <f>IFERROR(('bloco 03'!M36),"")</f>
        <v/>
      </c>
      <c r="F94" s="48" t="str">
        <f>'bloco 03'!N36</f>
        <v/>
      </c>
    </row>
    <row r="95" ht="15.75" customHeight="1">
      <c r="A95" s="13" t="str">
        <f>'bloco 03'!$I37</f>
        <v/>
      </c>
      <c r="B95" s="45" t="str">
        <f>'bloco 03'!J37</f>
        <v/>
      </c>
      <c r="C95" s="45" t="str">
        <f>'bloco 03'!K37</f>
        <v/>
      </c>
      <c r="D95" s="45" t="str">
        <f>'bloco 03'!L37</f>
        <v/>
      </c>
      <c r="E95" s="46" t="str">
        <f>IFERROR(('bloco 03'!M37),"")</f>
        <v/>
      </c>
      <c r="F95" s="48" t="str">
        <f>'bloco 03'!N37</f>
        <v/>
      </c>
    </row>
    <row r="96" ht="15.75" customHeight="1">
      <c r="A96" s="13" t="str">
        <f>'bloco 03'!$I38</f>
        <v/>
      </c>
      <c r="B96" s="45" t="str">
        <f>'bloco 03'!J38</f>
        <v/>
      </c>
      <c r="C96" s="45" t="str">
        <f>'bloco 03'!K38</f>
        <v/>
      </c>
      <c r="D96" s="45" t="str">
        <f>'bloco 03'!L38</f>
        <v/>
      </c>
      <c r="E96" s="46" t="str">
        <f>IFERROR(('bloco 03'!M38),"")</f>
        <v/>
      </c>
      <c r="F96" s="48" t="str">
        <f>'bloco 03'!N38</f>
        <v/>
      </c>
    </row>
    <row r="97" ht="15.75" customHeight="1">
      <c r="A97" s="13" t="str">
        <f>'bloco 03'!$I39</f>
        <v/>
      </c>
      <c r="B97" s="45" t="str">
        <f>'bloco 03'!J39</f>
        <v/>
      </c>
      <c r="C97" s="45" t="str">
        <f>'bloco 03'!K39</f>
        <v/>
      </c>
      <c r="D97" s="45" t="str">
        <f>'bloco 03'!L39</f>
        <v/>
      </c>
      <c r="E97" s="46" t="str">
        <f>IFERROR(('bloco 03'!M39),"")</f>
        <v/>
      </c>
      <c r="F97" s="48" t="str">
        <f>'bloco 03'!N39</f>
        <v/>
      </c>
    </row>
    <row r="98" ht="15.75" customHeight="1">
      <c r="A98" s="13" t="str">
        <f>'bloco 03'!$I40</f>
        <v/>
      </c>
      <c r="B98" s="45" t="str">
        <f>'bloco 03'!J40</f>
        <v/>
      </c>
      <c r="C98" s="45" t="str">
        <f>'bloco 03'!K40</f>
        <v/>
      </c>
      <c r="D98" s="45" t="str">
        <f>'bloco 03'!L40</f>
        <v/>
      </c>
      <c r="E98" s="46" t="str">
        <f>IFERROR(('bloco 03'!M40),"")</f>
        <v/>
      </c>
      <c r="F98" s="48" t="str">
        <f>'bloco 03'!N40</f>
        <v/>
      </c>
    </row>
    <row r="99" ht="15.75" customHeight="1">
      <c r="A99" s="13" t="str">
        <f>'bloco 03'!$I41</f>
        <v/>
      </c>
      <c r="B99" s="45" t="str">
        <f>'bloco 03'!J41</f>
        <v/>
      </c>
      <c r="C99" s="45" t="str">
        <f>'bloco 03'!K41</f>
        <v/>
      </c>
      <c r="D99" s="45" t="str">
        <f>'bloco 03'!L41</f>
        <v/>
      </c>
      <c r="E99" s="46" t="str">
        <f>IFERROR(('bloco 03'!M41),"")</f>
        <v/>
      </c>
      <c r="F99" s="48" t="str">
        <f>'bloco 03'!N41</f>
        <v/>
      </c>
    </row>
    <row r="100" ht="15.75" customHeight="1">
      <c r="A100" s="13" t="str">
        <f>'bloco 03'!$I42</f>
        <v/>
      </c>
      <c r="B100" s="45" t="str">
        <f>'bloco 03'!J42</f>
        <v/>
      </c>
      <c r="C100" s="45" t="str">
        <f>'bloco 03'!K42</f>
        <v/>
      </c>
      <c r="D100" s="45" t="str">
        <f>'bloco 03'!L42</f>
        <v/>
      </c>
      <c r="E100" s="46" t="str">
        <f>IFERROR(('bloco 03'!M42),"")</f>
        <v/>
      </c>
      <c r="F100" s="48" t="str">
        <f>'bloco 03'!N42</f>
        <v/>
      </c>
    </row>
    <row r="101" ht="15.75" customHeight="1">
      <c r="A101" s="13" t="str">
        <f>'bloco 03'!$I43</f>
        <v/>
      </c>
      <c r="B101" s="45" t="str">
        <f>'bloco 03'!J43</f>
        <v/>
      </c>
      <c r="C101" s="45" t="str">
        <f>'bloco 03'!K43</f>
        <v/>
      </c>
      <c r="D101" s="45" t="str">
        <f>'bloco 03'!L43</f>
        <v/>
      </c>
      <c r="E101" s="46" t="str">
        <f>IFERROR(('bloco 03'!M43),"")</f>
        <v/>
      </c>
      <c r="F101" s="48" t="str">
        <f>'bloco 03'!N43</f>
        <v/>
      </c>
    </row>
    <row r="102" ht="15.75" customHeight="1">
      <c r="A102" s="13" t="str">
        <f>'bloco 03'!$I44</f>
        <v/>
      </c>
      <c r="B102" s="45" t="str">
        <f>'bloco 03'!J44</f>
        <v/>
      </c>
      <c r="C102" s="45" t="str">
        <f>'bloco 03'!K44</f>
        <v/>
      </c>
      <c r="D102" s="45" t="str">
        <f>'bloco 03'!L44</f>
        <v/>
      </c>
      <c r="E102" s="46" t="str">
        <f>IFERROR(('bloco 03'!M44),"")</f>
        <v/>
      </c>
      <c r="F102" s="48" t="str">
        <f>'bloco 03'!N44</f>
        <v/>
      </c>
    </row>
    <row r="103" ht="15.75" customHeight="1">
      <c r="A103" s="13" t="str">
        <f>'bloco 03'!$I45</f>
        <v/>
      </c>
      <c r="B103" s="45" t="str">
        <f>'bloco 03'!J45</f>
        <v/>
      </c>
      <c r="C103" s="45" t="str">
        <f>'bloco 03'!K45</f>
        <v/>
      </c>
      <c r="D103" s="45" t="str">
        <f>'bloco 03'!L45</f>
        <v/>
      </c>
      <c r="E103" s="46" t="str">
        <f>IFERROR(('bloco 03'!M45),"")</f>
        <v/>
      </c>
      <c r="F103" s="48" t="str">
        <f>'bloco 03'!N45</f>
        <v/>
      </c>
    </row>
    <row r="104" ht="15.75" customHeight="1">
      <c r="A104" s="28" t="s">
        <v>27</v>
      </c>
    </row>
    <row r="105" ht="15.75" customHeight="1">
      <c r="A105" s="31"/>
      <c r="B105" s="31" t="s">
        <v>13</v>
      </c>
      <c r="C105" s="32" t="s">
        <v>16</v>
      </c>
      <c r="D105" s="32" t="s">
        <v>15</v>
      </c>
      <c r="E105" s="32" t="s">
        <v>21</v>
      </c>
      <c r="F105" s="32" t="s">
        <v>11</v>
      </c>
    </row>
    <row r="106" ht="15.75" customHeight="1">
      <c r="A106" s="13" t="str">
        <f>'bloco 03'!$I51</f>
        <v/>
      </c>
      <c r="B106" s="45" t="str">
        <f>'bloco 03'!J51</f>
        <v/>
      </c>
      <c r="C106" s="45" t="str">
        <f>'bloco 03'!K51</f>
        <v/>
      </c>
      <c r="D106" s="45" t="str">
        <f>'bloco 03'!L51</f>
        <v/>
      </c>
      <c r="E106" s="46" t="str">
        <f>IFERROR(('bloco 03'!M51),"")</f>
        <v/>
      </c>
      <c r="F106" s="48" t="str">
        <f>'bloco 03'!N51</f>
        <v/>
      </c>
    </row>
    <row r="107" ht="15.75" customHeight="1">
      <c r="A107" s="13" t="str">
        <f>'bloco 03'!$I52</f>
        <v/>
      </c>
      <c r="B107" s="45" t="str">
        <f>'bloco 03'!J52</f>
        <v/>
      </c>
      <c r="C107" s="45" t="str">
        <f>'bloco 03'!K52</f>
        <v/>
      </c>
      <c r="D107" s="45" t="str">
        <f>'bloco 03'!L52</f>
        <v/>
      </c>
      <c r="E107" s="46" t="str">
        <f>IFERROR(('bloco 03'!M52),"")</f>
        <v/>
      </c>
      <c r="F107" s="48" t="str">
        <f>'bloco 03'!N52</f>
        <v/>
      </c>
    </row>
    <row r="108" ht="15.75" customHeight="1">
      <c r="A108" s="13" t="str">
        <f>'bloco 03'!$I53</f>
        <v/>
      </c>
      <c r="B108" s="45" t="str">
        <f>'bloco 03'!J53</f>
        <v/>
      </c>
      <c r="C108" s="45" t="str">
        <f>'bloco 03'!K53</f>
        <v/>
      </c>
      <c r="D108" s="45" t="str">
        <f>'bloco 03'!L53</f>
        <v/>
      </c>
      <c r="E108" s="46" t="str">
        <f>IFERROR(('bloco 03'!M53),"")</f>
        <v/>
      </c>
      <c r="F108" s="48" t="str">
        <f>'bloco 03'!N53</f>
        <v/>
      </c>
    </row>
    <row r="109" ht="15.75" customHeight="1">
      <c r="A109" s="13" t="str">
        <f>'bloco 03'!$I54</f>
        <v/>
      </c>
      <c r="B109" s="45" t="str">
        <f>'bloco 03'!J54</f>
        <v/>
      </c>
      <c r="C109" s="45" t="str">
        <f>'bloco 03'!K54</f>
        <v/>
      </c>
      <c r="D109" s="45" t="str">
        <f>'bloco 03'!L54</f>
        <v/>
      </c>
      <c r="E109" s="46" t="str">
        <f>IFERROR(('bloco 03'!M54),"")</f>
        <v/>
      </c>
      <c r="F109" s="48" t="str">
        <f>'bloco 03'!N54</f>
        <v/>
      </c>
    </row>
    <row r="110" ht="15.75" customHeight="1">
      <c r="A110" s="13" t="str">
        <f>'bloco 03'!$I55</f>
        <v/>
      </c>
      <c r="B110" s="45" t="str">
        <f>'bloco 03'!J55</f>
        <v/>
      </c>
      <c r="C110" s="45" t="str">
        <f>'bloco 03'!K55</f>
        <v/>
      </c>
      <c r="D110" s="45" t="str">
        <f>'bloco 03'!L55</f>
        <v/>
      </c>
      <c r="E110" s="46" t="str">
        <f>IFERROR(('bloco 03'!M55),"")</f>
        <v/>
      </c>
      <c r="F110" s="48" t="str">
        <f>'bloco 03'!N55</f>
        <v/>
      </c>
    </row>
    <row r="111" ht="15.75" customHeight="1">
      <c r="A111" s="13" t="str">
        <f>'bloco 03'!$I56</f>
        <v/>
      </c>
      <c r="B111" s="45" t="str">
        <f>'bloco 03'!J56</f>
        <v/>
      </c>
      <c r="C111" s="45" t="str">
        <f>'bloco 03'!K56</f>
        <v/>
      </c>
      <c r="D111" s="45" t="str">
        <f>'bloco 03'!L56</f>
        <v/>
      </c>
      <c r="E111" s="46" t="str">
        <f>IFERROR(('bloco 03'!M56),"")</f>
        <v/>
      </c>
      <c r="F111" s="48" t="str">
        <f>'bloco 03'!N56</f>
        <v/>
      </c>
    </row>
    <row r="112" ht="15.75" customHeight="1">
      <c r="A112" s="13" t="str">
        <f>'bloco 03'!$I57</f>
        <v/>
      </c>
      <c r="B112" s="45" t="str">
        <f>'bloco 03'!J57</f>
        <v/>
      </c>
      <c r="C112" s="45" t="str">
        <f>'bloco 03'!K57</f>
        <v/>
      </c>
      <c r="D112" s="45" t="str">
        <f>'bloco 03'!L57</f>
        <v/>
      </c>
      <c r="E112" s="46" t="str">
        <f>IFERROR(('bloco 03'!M57),"")</f>
        <v/>
      </c>
      <c r="F112" s="48" t="str">
        <f>'bloco 03'!N57</f>
        <v/>
      </c>
    </row>
    <row r="113" ht="15.75" customHeight="1">
      <c r="A113" s="13" t="str">
        <f>'bloco 03'!$I58</f>
        <v/>
      </c>
      <c r="B113" s="45" t="str">
        <f>'bloco 03'!J58</f>
        <v/>
      </c>
      <c r="C113" s="45" t="str">
        <f>'bloco 03'!K58</f>
        <v/>
      </c>
      <c r="D113" s="45" t="str">
        <f>'bloco 03'!L58</f>
        <v/>
      </c>
      <c r="E113" s="46" t="str">
        <f>IFERROR(('bloco 03'!M58),"")</f>
        <v/>
      </c>
      <c r="F113" s="48" t="str">
        <f>'bloco 03'!N58</f>
        <v/>
      </c>
    </row>
    <row r="114" ht="15.75" customHeight="1">
      <c r="A114" s="13" t="str">
        <f>'bloco 03'!$I59</f>
        <v/>
      </c>
      <c r="B114" s="45" t="str">
        <f>'bloco 03'!J59</f>
        <v/>
      </c>
      <c r="C114" s="45" t="str">
        <f>'bloco 03'!K59</f>
        <v/>
      </c>
      <c r="D114" s="45" t="str">
        <f>'bloco 03'!L59</f>
        <v/>
      </c>
      <c r="E114" s="46" t="str">
        <f>IFERROR(('bloco 03'!M59),"")</f>
        <v/>
      </c>
      <c r="F114" s="48" t="str">
        <f>'bloco 03'!N59</f>
        <v/>
      </c>
    </row>
    <row r="115" ht="15.75" customHeight="1">
      <c r="A115" s="13" t="str">
        <f>'bloco 03'!$I60</f>
        <v/>
      </c>
      <c r="B115" s="45" t="str">
        <f>'bloco 03'!J60</f>
        <v/>
      </c>
      <c r="C115" s="45" t="str">
        <f>'bloco 03'!K60</f>
        <v/>
      </c>
      <c r="D115" s="45" t="str">
        <f>'bloco 03'!L60</f>
        <v/>
      </c>
      <c r="E115" s="46" t="str">
        <f>IFERROR(('bloco 03'!M60),"")</f>
        <v/>
      </c>
      <c r="F115" s="48" t="str">
        <f>'bloco 03'!N60</f>
        <v/>
      </c>
    </row>
    <row r="116" ht="15.75" customHeight="1">
      <c r="A116" s="45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>
      <c r="A133" s="39">
        <f>'bloco 03'!Q3</f>
        <v>46366</v>
      </c>
    </row>
    <row r="134" ht="15.75" customHeight="1">
      <c r="A134" s="40" t="s">
        <v>24</v>
      </c>
    </row>
    <row r="135" ht="15.75" customHeight="1">
      <c r="A135" s="28" t="s">
        <v>5</v>
      </c>
    </row>
    <row r="136" ht="15.75" customHeight="1">
      <c r="A136" s="31"/>
      <c r="B136" s="31" t="s">
        <v>13</v>
      </c>
      <c r="C136" s="32" t="s">
        <v>16</v>
      </c>
      <c r="D136" s="32" t="s">
        <v>15</v>
      </c>
      <c r="E136" s="32" t="s">
        <v>21</v>
      </c>
      <c r="F136" s="32" t="s">
        <v>11</v>
      </c>
    </row>
    <row r="137" ht="15.75" customHeight="1">
      <c r="A137" s="13" t="str">
        <f>'bloco 03'!$P6</f>
        <v/>
      </c>
      <c r="B137" s="45" t="str">
        <f>'bloco 03'!Q6</f>
        <v/>
      </c>
      <c r="C137" s="45" t="str">
        <f>'bloco 03'!R6</f>
        <v/>
      </c>
      <c r="D137" s="45" t="str">
        <f>'bloco 03'!S6</f>
        <v/>
      </c>
      <c r="E137" s="46" t="str">
        <f>IFERROR(('bloco 03'!T6),"")</f>
        <v/>
      </c>
      <c r="F137" s="48" t="str">
        <f>'bloco 03'!U6</f>
        <v/>
      </c>
    </row>
    <row r="138" ht="15.75" customHeight="1">
      <c r="A138" s="13" t="str">
        <f>'bloco 03'!$P7</f>
        <v/>
      </c>
      <c r="B138" s="45" t="str">
        <f>'bloco 03'!Q7</f>
        <v/>
      </c>
      <c r="C138" s="45" t="str">
        <f>'bloco 03'!R7</f>
        <v/>
      </c>
      <c r="D138" s="45" t="str">
        <f>'bloco 03'!S7</f>
        <v/>
      </c>
      <c r="E138" s="46" t="str">
        <f>IFERROR(('bloco 03'!T7),"")</f>
        <v/>
      </c>
      <c r="F138" s="48" t="str">
        <f>'bloco 03'!U7</f>
        <v/>
      </c>
    </row>
    <row r="139" ht="15.75" customHeight="1">
      <c r="A139" s="13" t="str">
        <f>'bloco 03'!$P8</f>
        <v/>
      </c>
      <c r="B139" s="45" t="str">
        <f>'bloco 03'!Q8</f>
        <v/>
      </c>
      <c r="C139" s="45" t="str">
        <f>'bloco 03'!R8</f>
        <v/>
      </c>
      <c r="D139" s="45" t="str">
        <f>'bloco 03'!S8</f>
        <v/>
      </c>
      <c r="E139" s="46" t="str">
        <f>IFERROR(('bloco 03'!T8),"")</f>
        <v/>
      </c>
      <c r="F139" s="48" t="str">
        <f>'bloco 03'!U8</f>
        <v/>
      </c>
    </row>
    <row r="140" ht="15.75" customHeight="1">
      <c r="A140" s="13" t="str">
        <f>'bloco 03'!$P9</f>
        <v/>
      </c>
      <c r="B140" s="45" t="str">
        <f>'bloco 03'!Q9</f>
        <v/>
      </c>
      <c r="C140" s="45" t="str">
        <f>'bloco 03'!R9</f>
        <v/>
      </c>
      <c r="D140" s="45" t="str">
        <f>'bloco 03'!S9</f>
        <v/>
      </c>
      <c r="E140" s="46" t="str">
        <f>IFERROR(('bloco 03'!T9),"")</f>
        <v/>
      </c>
      <c r="F140" s="48" t="str">
        <f>'bloco 03'!U9</f>
        <v/>
      </c>
    </row>
    <row r="141" ht="15.75" customHeight="1">
      <c r="A141" s="13" t="str">
        <f>'bloco 03'!$P10</f>
        <v/>
      </c>
      <c r="B141" s="45" t="str">
        <f>'bloco 03'!Q10</f>
        <v/>
      </c>
      <c r="C141" s="45" t="str">
        <f>'bloco 03'!R10</f>
        <v/>
      </c>
      <c r="D141" s="45" t="str">
        <f>'bloco 03'!S10</f>
        <v/>
      </c>
      <c r="E141" s="46" t="str">
        <f>IFERROR(('bloco 03'!T10),"")</f>
        <v/>
      </c>
      <c r="F141" s="48" t="str">
        <f>'bloco 03'!U10</f>
        <v/>
      </c>
    </row>
    <row r="142" ht="15.75" customHeight="1">
      <c r="A142" s="13" t="str">
        <f>'bloco 03'!$P11</f>
        <v/>
      </c>
      <c r="B142" s="45" t="str">
        <f>'bloco 03'!Q11</f>
        <v/>
      </c>
      <c r="C142" s="45" t="str">
        <f>'bloco 03'!R11</f>
        <v/>
      </c>
      <c r="D142" s="45" t="str">
        <f>'bloco 03'!S11</f>
        <v/>
      </c>
      <c r="E142" s="46" t="str">
        <f>IFERROR(('bloco 03'!T11),"")</f>
        <v/>
      </c>
      <c r="F142" s="48" t="str">
        <f>'bloco 03'!U11</f>
        <v/>
      </c>
    </row>
    <row r="143" ht="15.75" customHeight="1">
      <c r="A143" s="13" t="str">
        <f>'bloco 03'!$P12</f>
        <v/>
      </c>
      <c r="B143" s="45" t="str">
        <f>'bloco 03'!Q12</f>
        <v/>
      </c>
      <c r="C143" s="45" t="str">
        <f>'bloco 03'!R12</f>
        <v/>
      </c>
      <c r="D143" s="45" t="str">
        <f>'bloco 03'!S12</f>
        <v/>
      </c>
      <c r="E143" s="46" t="str">
        <f>IFERROR(('bloco 03'!T12),"")</f>
        <v/>
      </c>
      <c r="F143" s="48" t="str">
        <f>'bloco 03'!U12</f>
        <v/>
      </c>
    </row>
    <row r="144" ht="15.75" customHeight="1">
      <c r="A144" s="13" t="str">
        <f>'bloco 03'!$P13</f>
        <v/>
      </c>
      <c r="B144" s="45" t="str">
        <f>'bloco 03'!Q13</f>
        <v/>
      </c>
      <c r="C144" s="45" t="str">
        <f>'bloco 03'!R13</f>
        <v/>
      </c>
      <c r="D144" s="45" t="str">
        <f>'bloco 03'!S13</f>
        <v/>
      </c>
      <c r="E144" s="46" t="str">
        <f>IFERROR(('bloco 03'!T13),"")</f>
        <v/>
      </c>
      <c r="F144" s="48" t="str">
        <f>'bloco 03'!U13</f>
        <v/>
      </c>
    </row>
    <row r="145" ht="15.75" customHeight="1">
      <c r="A145" s="13" t="str">
        <f>'bloco 03'!$P14</f>
        <v/>
      </c>
      <c r="B145" s="45" t="str">
        <f>'bloco 03'!Q14</f>
        <v/>
      </c>
      <c r="C145" s="45" t="str">
        <f>'bloco 03'!R14</f>
        <v/>
      </c>
      <c r="D145" s="45" t="str">
        <f>'bloco 03'!S14</f>
        <v/>
      </c>
      <c r="E145" s="46" t="str">
        <f>IFERROR(('bloco 03'!T14),"")</f>
        <v/>
      </c>
      <c r="F145" s="48" t="str">
        <f>'bloco 03'!U14</f>
        <v/>
      </c>
    </row>
    <row r="146" ht="15.75" customHeight="1">
      <c r="A146" s="13" t="str">
        <f>'bloco 03'!$P15</f>
        <v/>
      </c>
      <c r="B146" s="45" t="str">
        <f>'bloco 03'!Q15</f>
        <v/>
      </c>
      <c r="C146" s="45" t="str">
        <f>'bloco 03'!R15</f>
        <v/>
      </c>
      <c r="D146" s="45" t="str">
        <f>'bloco 03'!S15</f>
        <v/>
      </c>
      <c r="E146" s="46" t="str">
        <f>IFERROR(('bloco 03'!T15),"")</f>
        <v/>
      </c>
      <c r="F146" s="48" t="str">
        <f>'bloco 03'!U15</f>
        <v/>
      </c>
    </row>
    <row r="147" ht="15.75" customHeight="1">
      <c r="A147" s="28" t="s">
        <v>22</v>
      </c>
    </row>
    <row r="148" ht="15.75" customHeight="1">
      <c r="A148" s="31"/>
      <c r="B148" s="31" t="s">
        <v>13</v>
      </c>
      <c r="C148" s="32" t="s">
        <v>16</v>
      </c>
      <c r="D148" s="32" t="s">
        <v>15</v>
      </c>
      <c r="E148" s="32" t="s">
        <v>21</v>
      </c>
      <c r="F148" s="32" t="s">
        <v>11</v>
      </c>
    </row>
    <row r="149" ht="15.75" customHeight="1">
      <c r="A149" s="13" t="str">
        <f>'bloco 03'!$P21</f>
        <v/>
      </c>
      <c r="B149" s="45" t="str">
        <f>'bloco 03'!Q21</f>
        <v/>
      </c>
      <c r="C149" s="45" t="str">
        <f>'bloco 03'!R21</f>
        <v/>
      </c>
      <c r="D149" s="45" t="str">
        <f>'bloco 03'!S21</f>
        <v/>
      </c>
      <c r="E149" s="46" t="str">
        <f>IFERROR(('bloco 03'!T21),"")</f>
        <v/>
      </c>
      <c r="F149" s="48" t="str">
        <f>'bloco 03'!U21</f>
        <v/>
      </c>
    </row>
    <row r="150" ht="15.75" customHeight="1">
      <c r="A150" s="13" t="str">
        <f>'bloco 03'!$P22</f>
        <v/>
      </c>
      <c r="B150" s="45" t="str">
        <f>'bloco 03'!Q22</f>
        <v/>
      </c>
      <c r="C150" s="45" t="str">
        <f>'bloco 03'!R22</f>
        <v/>
      </c>
      <c r="D150" s="45" t="str">
        <f>'bloco 03'!S22</f>
        <v/>
      </c>
      <c r="E150" s="46" t="str">
        <f>IFERROR(('bloco 03'!T22),"")</f>
        <v/>
      </c>
      <c r="F150" s="48" t="str">
        <f>'bloco 03'!U22</f>
        <v/>
      </c>
    </row>
    <row r="151" ht="15.75" customHeight="1">
      <c r="A151" s="13" t="str">
        <f>'bloco 03'!$P23</f>
        <v/>
      </c>
      <c r="B151" s="45" t="str">
        <f>'bloco 03'!Q23</f>
        <v/>
      </c>
      <c r="C151" s="45" t="str">
        <f>'bloco 03'!R23</f>
        <v/>
      </c>
      <c r="D151" s="45" t="str">
        <f>'bloco 03'!S23</f>
        <v/>
      </c>
      <c r="E151" s="46" t="str">
        <f>IFERROR(('bloco 03'!T23),"")</f>
        <v/>
      </c>
      <c r="F151" s="48" t="str">
        <f>'bloco 03'!U23</f>
        <v/>
      </c>
    </row>
    <row r="152" ht="15.75" customHeight="1">
      <c r="A152" s="13" t="str">
        <f>'bloco 03'!$P24</f>
        <v/>
      </c>
      <c r="B152" s="45" t="str">
        <f>'bloco 03'!Q24</f>
        <v/>
      </c>
      <c r="C152" s="45" t="str">
        <f>'bloco 03'!R24</f>
        <v/>
      </c>
      <c r="D152" s="45" t="str">
        <f>'bloco 03'!S24</f>
        <v/>
      </c>
      <c r="E152" s="46" t="str">
        <f>IFERROR(('bloco 03'!T24),"")</f>
        <v/>
      </c>
      <c r="F152" s="48" t="str">
        <f>'bloco 03'!U24</f>
        <v/>
      </c>
    </row>
    <row r="153" ht="15.75" customHeight="1">
      <c r="A153" s="13" t="str">
        <f>'bloco 03'!$P25</f>
        <v/>
      </c>
      <c r="B153" s="45" t="str">
        <f>'bloco 03'!Q25</f>
        <v/>
      </c>
      <c r="C153" s="45" t="str">
        <f>'bloco 03'!R25</f>
        <v/>
      </c>
      <c r="D153" s="45" t="str">
        <f>'bloco 03'!S25</f>
        <v/>
      </c>
      <c r="E153" s="46" t="str">
        <f>IFERROR(('bloco 03'!T25),"")</f>
        <v/>
      </c>
      <c r="F153" s="48" t="str">
        <f>'bloco 03'!U25</f>
        <v/>
      </c>
    </row>
    <row r="154" ht="15.75" customHeight="1">
      <c r="A154" s="13" t="str">
        <f>'bloco 03'!$P26</f>
        <v/>
      </c>
      <c r="B154" s="45" t="str">
        <f>'bloco 03'!Q26</f>
        <v/>
      </c>
      <c r="C154" s="45" t="str">
        <f>'bloco 03'!R26</f>
        <v/>
      </c>
      <c r="D154" s="45" t="str">
        <f>'bloco 03'!S26</f>
        <v/>
      </c>
      <c r="E154" s="46" t="str">
        <f>IFERROR(('bloco 03'!T26),"")</f>
        <v/>
      </c>
      <c r="F154" s="48" t="str">
        <f>'bloco 03'!U26</f>
        <v/>
      </c>
    </row>
    <row r="155" ht="15.75" customHeight="1">
      <c r="A155" s="13" t="str">
        <f>'bloco 03'!$P27</f>
        <v/>
      </c>
      <c r="B155" s="45" t="str">
        <f>'bloco 03'!Q27</f>
        <v/>
      </c>
      <c r="C155" s="45" t="str">
        <f>'bloco 03'!R27</f>
        <v/>
      </c>
      <c r="D155" s="45" t="str">
        <f>'bloco 03'!S27</f>
        <v/>
      </c>
      <c r="E155" s="46" t="str">
        <f>IFERROR(('bloco 03'!T27),"")</f>
        <v/>
      </c>
      <c r="F155" s="48" t="str">
        <f>'bloco 03'!U27</f>
        <v/>
      </c>
    </row>
    <row r="156" ht="15.75" customHeight="1">
      <c r="A156" s="13" t="str">
        <f>'bloco 03'!$P28</f>
        <v/>
      </c>
      <c r="B156" s="45" t="str">
        <f>'bloco 03'!Q28</f>
        <v/>
      </c>
      <c r="C156" s="45" t="str">
        <f>'bloco 03'!R28</f>
        <v/>
      </c>
      <c r="D156" s="45" t="str">
        <f>'bloco 03'!S28</f>
        <v/>
      </c>
      <c r="E156" s="46" t="str">
        <f>IFERROR(('bloco 03'!T28),"")</f>
        <v/>
      </c>
      <c r="F156" s="48" t="str">
        <f>'bloco 03'!U28</f>
        <v/>
      </c>
    </row>
    <row r="157" ht="15.75" customHeight="1">
      <c r="A157" s="13" t="str">
        <f>'bloco 03'!$P29</f>
        <v/>
      </c>
      <c r="B157" s="45" t="str">
        <f>'bloco 03'!Q29</f>
        <v/>
      </c>
      <c r="C157" s="45" t="str">
        <f>'bloco 03'!R29</f>
        <v/>
      </c>
      <c r="D157" s="45" t="str">
        <f>'bloco 03'!S29</f>
        <v/>
      </c>
      <c r="E157" s="46" t="str">
        <f>IFERROR(('bloco 03'!T29),"")</f>
        <v/>
      </c>
      <c r="F157" s="48" t="str">
        <f>'bloco 03'!U29</f>
        <v/>
      </c>
    </row>
    <row r="158" ht="15.75" customHeight="1">
      <c r="A158" s="13" t="str">
        <f>'bloco 03'!$P30</f>
        <v/>
      </c>
      <c r="B158" s="45" t="str">
        <f>'bloco 03'!Q30</f>
        <v/>
      </c>
      <c r="C158" s="45" t="str">
        <f>'bloco 03'!R30</f>
        <v/>
      </c>
      <c r="D158" s="45" t="str">
        <f>'bloco 03'!S30</f>
        <v/>
      </c>
      <c r="E158" s="46" t="str">
        <f>IFERROR(('bloco 03'!T30),"")</f>
        <v/>
      </c>
      <c r="F158" s="48" t="str">
        <f>'bloco 03'!U30</f>
        <v/>
      </c>
    </row>
    <row r="159" ht="15.75" customHeight="1">
      <c r="A159" s="28" t="s">
        <v>26</v>
      </c>
    </row>
    <row r="160" ht="15.75" customHeight="1">
      <c r="A160" s="31"/>
      <c r="B160" s="31" t="s">
        <v>13</v>
      </c>
      <c r="C160" s="32" t="s">
        <v>16</v>
      </c>
      <c r="D160" s="32" t="s">
        <v>15</v>
      </c>
      <c r="E160" s="32" t="s">
        <v>21</v>
      </c>
      <c r="F160" s="32" t="s">
        <v>11</v>
      </c>
    </row>
    <row r="161" ht="15.75" customHeight="1">
      <c r="A161" s="13" t="str">
        <f>'bloco 03'!$P36</f>
        <v/>
      </c>
      <c r="B161" s="45" t="str">
        <f>'bloco 03'!Q36</f>
        <v/>
      </c>
      <c r="C161" s="45" t="str">
        <f>'bloco 03'!R36</f>
        <v/>
      </c>
      <c r="D161" s="45" t="str">
        <f>'bloco 03'!S36</f>
        <v/>
      </c>
      <c r="E161" s="46" t="str">
        <f>IFERROR(('bloco 03'!T36),"")</f>
        <v/>
      </c>
      <c r="F161" s="48" t="str">
        <f>'bloco 03'!U36</f>
        <v/>
      </c>
    </row>
    <row r="162" ht="15.75" customHeight="1">
      <c r="A162" s="13" t="str">
        <f>'bloco 03'!$P37</f>
        <v/>
      </c>
      <c r="B162" s="45" t="str">
        <f>'bloco 03'!Q37</f>
        <v/>
      </c>
      <c r="C162" s="45" t="str">
        <f>'bloco 03'!R37</f>
        <v/>
      </c>
      <c r="D162" s="45" t="str">
        <f>'bloco 03'!S37</f>
        <v/>
      </c>
      <c r="E162" s="46" t="str">
        <f>IFERROR(('bloco 03'!T37),"")</f>
        <v/>
      </c>
      <c r="F162" s="48" t="str">
        <f>'bloco 03'!U37</f>
        <v/>
      </c>
    </row>
    <row r="163" ht="15.75" customHeight="1">
      <c r="A163" s="13" t="str">
        <f>'bloco 03'!$P38</f>
        <v/>
      </c>
      <c r="B163" s="45" t="str">
        <f>'bloco 03'!Q38</f>
        <v/>
      </c>
      <c r="C163" s="45" t="str">
        <f>'bloco 03'!R38</f>
        <v/>
      </c>
      <c r="D163" s="45" t="str">
        <f>'bloco 03'!S38</f>
        <v/>
      </c>
      <c r="E163" s="46" t="str">
        <f>IFERROR(('bloco 03'!T38),"")</f>
        <v/>
      </c>
      <c r="F163" s="48" t="str">
        <f>'bloco 03'!U38</f>
        <v/>
      </c>
    </row>
    <row r="164" ht="15.75" customHeight="1">
      <c r="A164" s="13" t="str">
        <f>'bloco 03'!$P39</f>
        <v/>
      </c>
      <c r="B164" s="45" t="str">
        <f>'bloco 03'!Q39</f>
        <v/>
      </c>
      <c r="C164" s="45" t="str">
        <f>'bloco 03'!R39</f>
        <v/>
      </c>
      <c r="D164" s="45" t="str">
        <f>'bloco 03'!S39</f>
        <v/>
      </c>
      <c r="E164" s="46" t="str">
        <f>IFERROR(('bloco 03'!T39),"")</f>
        <v/>
      </c>
      <c r="F164" s="48" t="str">
        <f>'bloco 03'!U39</f>
        <v/>
      </c>
    </row>
    <row r="165" ht="15.75" customHeight="1">
      <c r="A165" s="13" t="str">
        <f>'bloco 03'!$P40</f>
        <v/>
      </c>
      <c r="B165" s="45" t="str">
        <f>'bloco 03'!Q40</f>
        <v/>
      </c>
      <c r="C165" s="45" t="str">
        <f>'bloco 03'!R40</f>
        <v/>
      </c>
      <c r="D165" s="45" t="str">
        <f>'bloco 03'!S40</f>
        <v/>
      </c>
      <c r="E165" s="46" t="str">
        <f>IFERROR(('bloco 03'!T40),"")</f>
        <v/>
      </c>
      <c r="F165" s="48" t="str">
        <f>'bloco 03'!U40</f>
        <v/>
      </c>
    </row>
    <row r="166" ht="15.75" customHeight="1">
      <c r="A166" s="13" t="str">
        <f>'bloco 03'!$P41</f>
        <v/>
      </c>
      <c r="B166" s="45" t="str">
        <f>'bloco 03'!Q41</f>
        <v/>
      </c>
      <c r="C166" s="45" t="str">
        <f>'bloco 03'!R41</f>
        <v/>
      </c>
      <c r="D166" s="45" t="str">
        <f>'bloco 03'!S41</f>
        <v/>
      </c>
      <c r="E166" s="46" t="str">
        <f>IFERROR(('bloco 03'!T41),"")</f>
        <v/>
      </c>
      <c r="F166" s="48" t="str">
        <f>'bloco 03'!U41</f>
        <v/>
      </c>
    </row>
    <row r="167" ht="15.75" customHeight="1">
      <c r="A167" s="13" t="str">
        <f>'bloco 03'!$P42</f>
        <v/>
      </c>
      <c r="B167" s="45" t="str">
        <f>'bloco 03'!Q42</f>
        <v/>
      </c>
      <c r="C167" s="45" t="str">
        <f>'bloco 03'!R42</f>
        <v/>
      </c>
      <c r="D167" s="45" t="str">
        <f>'bloco 03'!S42</f>
        <v/>
      </c>
      <c r="E167" s="46" t="str">
        <f>IFERROR(('bloco 03'!T42),"")</f>
        <v/>
      </c>
      <c r="F167" s="48" t="str">
        <f>'bloco 03'!U42</f>
        <v/>
      </c>
    </row>
    <row r="168" ht="15.75" customHeight="1">
      <c r="A168" s="13" t="str">
        <f>'bloco 03'!$P43</f>
        <v/>
      </c>
      <c r="B168" s="45" t="str">
        <f>'bloco 03'!Q43</f>
        <v/>
      </c>
      <c r="C168" s="45" t="str">
        <f>'bloco 03'!R43</f>
        <v/>
      </c>
      <c r="D168" s="45" t="str">
        <f>'bloco 03'!S43</f>
        <v/>
      </c>
      <c r="E168" s="46" t="str">
        <f>IFERROR(('bloco 03'!T43),"")</f>
        <v/>
      </c>
      <c r="F168" s="48" t="str">
        <f>'bloco 03'!U43</f>
        <v/>
      </c>
    </row>
    <row r="169" ht="15.75" customHeight="1">
      <c r="A169" s="13" t="str">
        <f>'bloco 03'!$P44</f>
        <v/>
      </c>
      <c r="B169" s="45" t="str">
        <f>'bloco 03'!Q44</f>
        <v/>
      </c>
      <c r="C169" s="45" t="str">
        <f>'bloco 03'!R44</f>
        <v/>
      </c>
      <c r="D169" s="45" t="str">
        <f>'bloco 03'!S44</f>
        <v/>
      </c>
      <c r="E169" s="46" t="str">
        <f>IFERROR(('bloco 03'!T44),"")</f>
        <v/>
      </c>
      <c r="F169" s="48" t="str">
        <f>'bloco 03'!U44</f>
        <v/>
      </c>
    </row>
    <row r="170" ht="15.75" customHeight="1">
      <c r="A170" s="13" t="str">
        <f>'bloco 03'!$P45</f>
        <v/>
      </c>
      <c r="B170" s="45" t="str">
        <f>'bloco 03'!Q45</f>
        <v/>
      </c>
      <c r="C170" s="45" t="str">
        <f>'bloco 03'!R45</f>
        <v/>
      </c>
      <c r="D170" s="45" t="str">
        <f>'bloco 03'!S45</f>
        <v/>
      </c>
      <c r="E170" s="46" t="str">
        <f>IFERROR(('bloco 03'!T45),"")</f>
        <v/>
      </c>
      <c r="F170" s="48" t="str">
        <f>'bloco 03'!U45</f>
        <v/>
      </c>
    </row>
    <row r="171" ht="15.75" customHeight="1">
      <c r="A171" s="28" t="s">
        <v>27</v>
      </c>
    </row>
    <row r="172" ht="15.75" customHeight="1">
      <c r="A172" s="31"/>
      <c r="B172" s="31" t="s">
        <v>13</v>
      </c>
      <c r="C172" s="32" t="s">
        <v>16</v>
      </c>
      <c r="D172" s="32" t="s">
        <v>15</v>
      </c>
      <c r="E172" s="32" t="s">
        <v>21</v>
      </c>
      <c r="F172" s="32" t="s">
        <v>11</v>
      </c>
    </row>
    <row r="173" ht="15.75" customHeight="1">
      <c r="A173" s="13" t="str">
        <f>'bloco 03'!$P51</f>
        <v/>
      </c>
      <c r="B173" s="45" t="str">
        <f>'bloco 03'!Q51</f>
        <v/>
      </c>
      <c r="C173" s="45" t="str">
        <f>'bloco 03'!R51</f>
        <v/>
      </c>
      <c r="D173" s="45" t="str">
        <f>'bloco 03'!S51</f>
        <v/>
      </c>
      <c r="E173" s="46" t="str">
        <f>IFERROR(('bloco 03'!T51),"")</f>
        <v/>
      </c>
      <c r="F173" s="48" t="str">
        <f>'bloco 03'!U51</f>
        <v/>
      </c>
    </row>
    <row r="174" ht="15.75" customHeight="1">
      <c r="A174" s="13" t="str">
        <f>'bloco 03'!$P52</f>
        <v/>
      </c>
      <c r="B174" s="45" t="str">
        <f>'bloco 03'!Q52</f>
        <v/>
      </c>
      <c r="C174" s="45" t="str">
        <f>'bloco 03'!R52</f>
        <v/>
      </c>
      <c r="D174" s="45" t="str">
        <f>'bloco 03'!S52</f>
        <v/>
      </c>
      <c r="E174" s="46" t="str">
        <f>IFERROR(('bloco 03'!T52),"")</f>
        <v/>
      </c>
      <c r="F174" s="48" t="str">
        <f>'bloco 03'!U52</f>
        <v/>
      </c>
    </row>
    <row r="175" ht="15.75" customHeight="1">
      <c r="A175" s="13" t="str">
        <f>'bloco 03'!$P53</f>
        <v/>
      </c>
      <c r="B175" s="45" t="str">
        <f>'bloco 03'!Q53</f>
        <v/>
      </c>
      <c r="C175" s="45" t="str">
        <f>'bloco 03'!R53</f>
        <v/>
      </c>
      <c r="D175" s="45" t="str">
        <f>'bloco 03'!S53</f>
        <v/>
      </c>
      <c r="E175" s="46" t="str">
        <f>IFERROR(('bloco 03'!T53),"")</f>
        <v/>
      </c>
      <c r="F175" s="48" t="str">
        <f>'bloco 03'!U53</f>
        <v/>
      </c>
    </row>
    <row r="176" ht="15.75" customHeight="1">
      <c r="A176" s="13" t="str">
        <f>'bloco 03'!$P54</f>
        <v/>
      </c>
      <c r="B176" s="45" t="str">
        <f>'bloco 03'!Q54</f>
        <v/>
      </c>
      <c r="C176" s="45" t="str">
        <f>'bloco 03'!R54</f>
        <v/>
      </c>
      <c r="D176" s="45" t="str">
        <f>'bloco 03'!S54</f>
        <v/>
      </c>
      <c r="E176" s="46" t="str">
        <f>IFERROR(('bloco 03'!T54),"")</f>
        <v/>
      </c>
      <c r="F176" s="48" t="str">
        <f>'bloco 03'!U54</f>
        <v/>
      </c>
    </row>
    <row r="177" ht="15.75" customHeight="1">
      <c r="A177" s="13" t="str">
        <f>'bloco 03'!$P55</f>
        <v/>
      </c>
      <c r="B177" s="45" t="str">
        <f>'bloco 03'!Q55</f>
        <v/>
      </c>
      <c r="C177" s="45" t="str">
        <f>'bloco 03'!R55</f>
        <v/>
      </c>
      <c r="D177" s="45" t="str">
        <f>'bloco 03'!S55</f>
        <v/>
      </c>
      <c r="E177" s="46" t="str">
        <f>IFERROR(('bloco 03'!T55),"")</f>
        <v/>
      </c>
      <c r="F177" s="48" t="str">
        <f>'bloco 03'!U55</f>
        <v/>
      </c>
    </row>
    <row r="178" ht="15.75" customHeight="1">
      <c r="A178" s="13" t="str">
        <f>'bloco 03'!$P56</f>
        <v/>
      </c>
      <c r="B178" s="45" t="str">
        <f>'bloco 03'!Q56</f>
        <v/>
      </c>
      <c r="C178" s="45" t="str">
        <f>'bloco 03'!R56</f>
        <v/>
      </c>
      <c r="D178" s="45" t="str">
        <f>'bloco 03'!S56</f>
        <v/>
      </c>
      <c r="E178" s="46" t="str">
        <f>IFERROR(('bloco 03'!T56),"")</f>
        <v/>
      </c>
      <c r="F178" s="48" t="str">
        <f>'bloco 03'!U56</f>
        <v/>
      </c>
    </row>
    <row r="179" ht="15.75" customHeight="1">
      <c r="A179" s="13" t="str">
        <f>'bloco 03'!$P57</f>
        <v/>
      </c>
      <c r="B179" s="45" t="str">
        <f>'bloco 03'!Q57</f>
        <v/>
      </c>
      <c r="C179" s="45" t="str">
        <f>'bloco 03'!R57</f>
        <v/>
      </c>
      <c r="D179" s="45" t="str">
        <f>'bloco 03'!S57</f>
        <v/>
      </c>
      <c r="E179" s="46" t="str">
        <f>IFERROR(('bloco 03'!T57),"")</f>
        <v/>
      </c>
      <c r="F179" s="48" t="str">
        <f>'bloco 03'!U57</f>
        <v/>
      </c>
    </row>
    <row r="180" ht="15.75" customHeight="1">
      <c r="A180" s="13" t="str">
        <f>'bloco 03'!$P58</f>
        <v/>
      </c>
      <c r="B180" s="45" t="str">
        <f>'bloco 03'!Q58</f>
        <v/>
      </c>
      <c r="C180" s="45" t="str">
        <f>'bloco 03'!R58</f>
        <v/>
      </c>
      <c r="D180" s="45" t="str">
        <f>'bloco 03'!S58</f>
        <v/>
      </c>
      <c r="E180" s="46" t="str">
        <f>IFERROR(('bloco 03'!T58),"")</f>
        <v/>
      </c>
      <c r="F180" s="48" t="str">
        <f>'bloco 03'!U58</f>
        <v/>
      </c>
    </row>
    <row r="181" ht="15.75" customHeight="1">
      <c r="A181" s="13" t="str">
        <f>'bloco 03'!$P59</f>
        <v/>
      </c>
      <c r="B181" s="45" t="str">
        <f>'bloco 03'!Q59</f>
        <v/>
      </c>
      <c r="C181" s="45" t="str">
        <f>'bloco 03'!R59</f>
        <v/>
      </c>
      <c r="D181" s="45" t="str">
        <f>'bloco 03'!S59</f>
        <v/>
      </c>
      <c r="E181" s="46" t="str">
        <f>IFERROR(('bloco 03'!T59),"")</f>
        <v/>
      </c>
      <c r="F181" s="48" t="str">
        <f>'bloco 03'!U59</f>
        <v/>
      </c>
    </row>
    <row r="182" ht="15.75" customHeight="1">
      <c r="A182" s="13" t="str">
        <f>'bloco 03'!$P60</f>
        <v/>
      </c>
      <c r="B182" s="45" t="str">
        <f>'bloco 03'!Q60</f>
        <v/>
      </c>
      <c r="C182" s="45" t="str">
        <f>'bloco 03'!R60</f>
        <v/>
      </c>
      <c r="D182" s="45" t="str">
        <f>'bloco 03'!S60</f>
        <v/>
      </c>
      <c r="E182" s="46" t="str">
        <f>IFERROR(('bloco 03'!T60),"")</f>
        <v/>
      </c>
      <c r="F182" s="48" t="str">
        <f>'bloco 03'!U60</f>
        <v/>
      </c>
    </row>
    <row r="183" ht="15.75" customHeight="1">
      <c r="A183" s="45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>
      <c r="A200" s="39">
        <f>'bloco 03'!X3</f>
        <v>46373</v>
      </c>
    </row>
    <row r="201" ht="15.75" customHeight="1">
      <c r="A201" s="40" t="s">
        <v>25</v>
      </c>
    </row>
    <row r="202" ht="15.75" customHeight="1">
      <c r="A202" s="28" t="s">
        <v>5</v>
      </c>
    </row>
    <row r="203" ht="15.75" customHeight="1">
      <c r="A203" s="31"/>
      <c r="B203" s="31" t="s">
        <v>13</v>
      </c>
      <c r="C203" s="32" t="s">
        <v>16</v>
      </c>
      <c r="D203" s="32" t="s">
        <v>15</v>
      </c>
      <c r="E203" s="32" t="s">
        <v>21</v>
      </c>
      <c r="F203" s="32" t="s">
        <v>11</v>
      </c>
    </row>
    <row r="204" ht="15.75" customHeight="1">
      <c r="A204" s="13" t="str">
        <f>'bloco 03'!$W6</f>
        <v/>
      </c>
      <c r="B204" s="45" t="str">
        <f>'bloco 03'!X6</f>
        <v/>
      </c>
      <c r="C204" s="45" t="str">
        <f>'bloco 03'!Y6</f>
        <v/>
      </c>
      <c r="D204" s="45" t="str">
        <f>'bloco 03'!Z6</f>
        <v/>
      </c>
      <c r="E204" s="46" t="str">
        <f>IFERROR(('bloco 03'!AA6),"")</f>
        <v/>
      </c>
      <c r="F204" s="48" t="str">
        <f>'bloco 03'!AB6</f>
        <v/>
      </c>
    </row>
    <row r="205" ht="15.75" customHeight="1">
      <c r="A205" s="13" t="str">
        <f>'bloco 03'!$W7</f>
        <v/>
      </c>
      <c r="B205" s="45" t="str">
        <f>'bloco 03'!X7</f>
        <v/>
      </c>
      <c r="C205" s="45" t="str">
        <f>'bloco 03'!Y7</f>
        <v/>
      </c>
      <c r="D205" s="45" t="str">
        <f>'bloco 03'!Z7</f>
        <v/>
      </c>
      <c r="E205" s="46" t="str">
        <f>IFERROR(('bloco 03'!AA7),"")</f>
        <v/>
      </c>
      <c r="F205" s="48" t="str">
        <f>'bloco 03'!AB7</f>
        <v/>
      </c>
    </row>
    <row r="206" ht="15.75" customHeight="1">
      <c r="A206" s="13" t="str">
        <f>'bloco 03'!$W8</f>
        <v/>
      </c>
      <c r="B206" s="45" t="str">
        <f>'bloco 03'!X8</f>
        <v/>
      </c>
      <c r="C206" s="45" t="str">
        <f>'bloco 03'!Y8</f>
        <v/>
      </c>
      <c r="D206" s="45" t="str">
        <f>'bloco 03'!Z8</f>
        <v/>
      </c>
      <c r="E206" s="46" t="str">
        <f>IFERROR(('bloco 03'!AA8),"")</f>
        <v/>
      </c>
      <c r="F206" s="48" t="str">
        <f>'bloco 03'!AB8</f>
        <v/>
      </c>
    </row>
    <row r="207" ht="15.75" customHeight="1">
      <c r="A207" s="13" t="str">
        <f>'bloco 03'!$W9</f>
        <v/>
      </c>
      <c r="B207" s="45" t="str">
        <f>'bloco 03'!X9</f>
        <v/>
      </c>
      <c r="C207" s="45" t="str">
        <f>'bloco 03'!Y9</f>
        <v/>
      </c>
      <c r="D207" s="45" t="str">
        <f>'bloco 03'!Z9</f>
        <v/>
      </c>
      <c r="E207" s="46" t="str">
        <f>IFERROR(('bloco 03'!AA9),"")</f>
        <v/>
      </c>
      <c r="F207" s="48" t="str">
        <f>'bloco 03'!AB9</f>
        <v/>
      </c>
    </row>
    <row r="208" ht="15.75" customHeight="1">
      <c r="A208" s="13" t="str">
        <f>'bloco 03'!$W10</f>
        <v/>
      </c>
      <c r="B208" s="45" t="str">
        <f>'bloco 03'!X10</f>
        <v/>
      </c>
      <c r="C208" s="45" t="str">
        <f>'bloco 03'!Y10</f>
        <v/>
      </c>
      <c r="D208" s="45" t="str">
        <f>'bloco 03'!Z10</f>
        <v/>
      </c>
      <c r="E208" s="46" t="str">
        <f>IFERROR(('bloco 03'!AA10),"")</f>
        <v/>
      </c>
      <c r="F208" s="48" t="str">
        <f>'bloco 03'!AB10</f>
        <v/>
      </c>
    </row>
    <row r="209" ht="15.75" customHeight="1">
      <c r="A209" s="13" t="str">
        <f>'bloco 03'!$W11</f>
        <v/>
      </c>
      <c r="B209" s="45" t="str">
        <f>'bloco 03'!X11</f>
        <v/>
      </c>
      <c r="C209" s="45" t="str">
        <f>'bloco 03'!Y11</f>
        <v/>
      </c>
      <c r="D209" s="45" t="str">
        <f>'bloco 03'!Z11</f>
        <v/>
      </c>
      <c r="E209" s="46" t="str">
        <f>IFERROR(('bloco 03'!AA11),"")</f>
        <v/>
      </c>
      <c r="F209" s="48" t="str">
        <f>'bloco 03'!AB11</f>
        <v/>
      </c>
    </row>
    <row r="210" ht="15.75" customHeight="1">
      <c r="A210" s="13" t="str">
        <f>'bloco 03'!$W12</f>
        <v/>
      </c>
      <c r="B210" s="45" t="str">
        <f>'bloco 03'!X12</f>
        <v/>
      </c>
      <c r="C210" s="45" t="str">
        <f>'bloco 03'!Y12</f>
        <v/>
      </c>
      <c r="D210" s="45" t="str">
        <f>'bloco 03'!Z12</f>
        <v/>
      </c>
      <c r="E210" s="46" t="str">
        <f>IFERROR(('bloco 03'!AA12),"")</f>
        <v/>
      </c>
      <c r="F210" s="48" t="str">
        <f>'bloco 03'!AB12</f>
        <v/>
      </c>
    </row>
    <row r="211" ht="15.75" customHeight="1">
      <c r="A211" s="13" t="str">
        <f>'bloco 03'!$W13</f>
        <v/>
      </c>
      <c r="B211" s="45" t="str">
        <f>'bloco 03'!X13</f>
        <v/>
      </c>
      <c r="C211" s="45" t="str">
        <f>'bloco 03'!Y13</f>
        <v/>
      </c>
      <c r="D211" s="45" t="str">
        <f>'bloco 03'!Z13</f>
        <v/>
      </c>
      <c r="E211" s="46" t="str">
        <f>IFERROR(('bloco 03'!AA13),"")</f>
        <v/>
      </c>
      <c r="F211" s="48" t="str">
        <f>'bloco 03'!AB13</f>
        <v/>
      </c>
    </row>
    <row r="212" ht="15.75" customHeight="1">
      <c r="A212" s="13" t="str">
        <f>'bloco 03'!$W14</f>
        <v/>
      </c>
      <c r="B212" s="45" t="str">
        <f>'bloco 03'!X14</f>
        <v/>
      </c>
      <c r="C212" s="45" t="str">
        <f>'bloco 03'!Y14</f>
        <v/>
      </c>
      <c r="D212" s="45" t="str">
        <f>'bloco 03'!Z14</f>
        <v/>
      </c>
      <c r="E212" s="46" t="str">
        <f>IFERROR(('bloco 03'!AA14),"")</f>
        <v/>
      </c>
      <c r="F212" s="48" t="str">
        <f>'bloco 03'!AB14</f>
        <v/>
      </c>
    </row>
    <row r="213" ht="15.75" customHeight="1">
      <c r="A213" s="13" t="str">
        <f>'bloco 03'!$W15</f>
        <v/>
      </c>
      <c r="B213" s="45" t="str">
        <f>'bloco 03'!X15</f>
        <v/>
      </c>
      <c r="C213" s="45" t="str">
        <f>'bloco 03'!Y15</f>
        <v/>
      </c>
      <c r="D213" s="45" t="str">
        <f>'bloco 03'!Z15</f>
        <v/>
      </c>
      <c r="E213" s="46" t="str">
        <f>IFERROR(('bloco 03'!AA15),"")</f>
        <v/>
      </c>
      <c r="F213" s="48" t="str">
        <f>'bloco 03'!AB15</f>
        <v/>
      </c>
    </row>
    <row r="214" ht="15.75" customHeight="1">
      <c r="A214" s="28" t="s">
        <v>22</v>
      </c>
    </row>
    <row r="215" ht="15.75" customHeight="1">
      <c r="A215" s="31"/>
      <c r="B215" s="31" t="s">
        <v>13</v>
      </c>
      <c r="C215" s="32" t="s">
        <v>16</v>
      </c>
      <c r="D215" s="32" t="s">
        <v>15</v>
      </c>
      <c r="E215" s="32" t="s">
        <v>21</v>
      </c>
      <c r="F215" s="32" t="s">
        <v>11</v>
      </c>
    </row>
    <row r="216" ht="15.75" customHeight="1">
      <c r="A216" s="13" t="str">
        <f>'bloco 03'!$W21</f>
        <v/>
      </c>
      <c r="B216" s="45" t="str">
        <f>'bloco 03'!X21</f>
        <v/>
      </c>
      <c r="C216" s="45" t="str">
        <f>'bloco 03'!Y21</f>
        <v/>
      </c>
      <c r="D216" s="45" t="str">
        <f>'bloco 03'!Z21</f>
        <v/>
      </c>
      <c r="E216" s="46" t="str">
        <f>IFERROR(('bloco 03'!AA21),"")</f>
        <v/>
      </c>
      <c r="F216" s="48" t="str">
        <f>'bloco 03'!AB21</f>
        <v/>
      </c>
    </row>
    <row r="217" ht="15.75" customHeight="1">
      <c r="A217" s="13" t="str">
        <f>'bloco 03'!$W22</f>
        <v/>
      </c>
      <c r="B217" s="45" t="str">
        <f>'bloco 03'!X22</f>
        <v/>
      </c>
      <c r="C217" s="45" t="str">
        <f>'bloco 03'!Y22</f>
        <v/>
      </c>
      <c r="D217" s="45" t="str">
        <f>'bloco 03'!Z22</f>
        <v/>
      </c>
      <c r="E217" s="46" t="str">
        <f>IFERROR(('bloco 03'!AA22),"")</f>
        <v/>
      </c>
      <c r="F217" s="48" t="str">
        <f>'bloco 03'!AB22</f>
        <v/>
      </c>
    </row>
    <row r="218" ht="15.75" customHeight="1">
      <c r="A218" s="13" t="str">
        <f>'bloco 03'!$W23</f>
        <v/>
      </c>
      <c r="B218" s="45" t="str">
        <f>'bloco 03'!X23</f>
        <v/>
      </c>
      <c r="C218" s="45" t="str">
        <f>'bloco 03'!Y23</f>
        <v/>
      </c>
      <c r="D218" s="45" t="str">
        <f>'bloco 03'!Z23</f>
        <v/>
      </c>
      <c r="E218" s="46" t="str">
        <f>IFERROR(('bloco 03'!AA23),"")</f>
        <v/>
      </c>
      <c r="F218" s="48" t="str">
        <f>'bloco 03'!AB23</f>
        <v/>
      </c>
    </row>
    <row r="219" ht="15.75" customHeight="1">
      <c r="A219" s="13" t="str">
        <f>'bloco 03'!$W24</f>
        <v/>
      </c>
      <c r="B219" s="45" t="str">
        <f>'bloco 03'!X24</f>
        <v/>
      </c>
      <c r="C219" s="45" t="str">
        <f>'bloco 03'!Y24</f>
        <v/>
      </c>
      <c r="D219" s="45" t="str">
        <f>'bloco 03'!Z24</f>
        <v/>
      </c>
      <c r="E219" s="46" t="str">
        <f>IFERROR(('bloco 03'!AA24),"")</f>
        <v/>
      </c>
      <c r="F219" s="48" t="str">
        <f>'bloco 03'!AB24</f>
        <v/>
      </c>
    </row>
    <row r="220" ht="15.75" customHeight="1">
      <c r="A220" s="13" t="str">
        <f>'bloco 03'!$W25</f>
        <v/>
      </c>
      <c r="B220" s="45" t="str">
        <f>'bloco 03'!X25</f>
        <v/>
      </c>
      <c r="C220" s="45" t="str">
        <f>'bloco 03'!Y25</f>
        <v/>
      </c>
      <c r="D220" s="45" t="str">
        <f>'bloco 03'!Z25</f>
        <v/>
      </c>
      <c r="E220" s="46" t="str">
        <f>IFERROR(('bloco 03'!AA25),"")</f>
        <v/>
      </c>
      <c r="F220" s="48" t="str">
        <f>'bloco 03'!AB25</f>
        <v/>
      </c>
    </row>
    <row r="221" ht="15.75" customHeight="1">
      <c r="A221" s="13" t="str">
        <f>'bloco 03'!$W26</f>
        <v/>
      </c>
      <c r="B221" s="45" t="str">
        <f>'bloco 03'!X26</f>
        <v/>
      </c>
      <c r="C221" s="45" t="str">
        <f>'bloco 03'!Y26</f>
        <v/>
      </c>
      <c r="D221" s="45" t="str">
        <f>'bloco 03'!Z26</f>
        <v/>
      </c>
      <c r="E221" s="46" t="str">
        <f>IFERROR(('bloco 03'!AA26),"")</f>
        <v/>
      </c>
      <c r="F221" s="48" t="str">
        <f>'bloco 03'!AB26</f>
        <v/>
      </c>
    </row>
    <row r="222" ht="15.75" customHeight="1">
      <c r="A222" s="13" t="str">
        <f>'bloco 03'!$W27</f>
        <v/>
      </c>
      <c r="B222" s="45" t="str">
        <f>'bloco 03'!X27</f>
        <v/>
      </c>
      <c r="C222" s="45" t="str">
        <f>'bloco 03'!Y27</f>
        <v/>
      </c>
      <c r="D222" s="45" t="str">
        <f>'bloco 03'!Z27</f>
        <v/>
      </c>
      <c r="E222" s="46" t="str">
        <f>IFERROR(('bloco 03'!AA27),"")</f>
        <v/>
      </c>
      <c r="F222" s="48" t="str">
        <f>'bloco 03'!AB27</f>
        <v/>
      </c>
    </row>
    <row r="223" ht="15.75" customHeight="1">
      <c r="A223" s="13" t="str">
        <f>'bloco 03'!$W28</f>
        <v/>
      </c>
      <c r="B223" s="45" t="str">
        <f>'bloco 03'!X28</f>
        <v/>
      </c>
      <c r="C223" s="45" t="str">
        <f>'bloco 03'!Y28</f>
        <v/>
      </c>
      <c r="D223" s="45" t="str">
        <f>'bloco 03'!Z28</f>
        <v/>
      </c>
      <c r="E223" s="46" t="str">
        <f>IFERROR(('bloco 03'!AA28),"")</f>
        <v/>
      </c>
      <c r="F223" s="48" t="str">
        <f>'bloco 03'!AB28</f>
        <v/>
      </c>
    </row>
    <row r="224" ht="15.75" customHeight="1">
      <c r="A224" s="13" t="str">
        <f>'bloco 03'!$W29</f>
        <v/>
      </c>
      <c r="B224" s="45" t="str">
        <f>'bloco 03'!X29</f>
        <v/>
      </c>
      <c r="C224" s="45" t="str">
        <f>'bloco 03'!Y29</f>
        <v/>
      </c>
      <c r="D224" s="45" t="str">
        <f>'bloco 03'!Z29</f>
        <v/>
      </c>
      <c r="E224" s="46" t="str">
        <f>IFERROR(('bloco 03'!AA29),"")</f>
        <v/>
      </c>
      <c r="F224" s="48" t="str">
        <f>'bloco 03'!AB29</f>
        <v/>
      </c>
    </row>
    <row r="225" ht="15.75" customHeight="1">
      <c r="A225" s="13" t="str">
        <f>'bloco 03'!$W30</f>
        <v/>
      </c>
      <c r="B225" s="45" t="str">
        <f>'bloco 03'!X30</f>
        <v/>
      </c>
      <c r="C225" s="45" t="str">
        <f>'bloco 03'!Y30</f>
        <v/>
      </c>
      <c r="D225" s="45" t="str">
        <f>'bloco 03'!Z30</f>
        <v/>
      </c>
      <c r="E225" s="46" t="str">
        <f>IFERROR(('bloco 03'!AA30),"")</f>
        <v/>
      </c>
      <c r="F225" s="48" t="str">
        <f>'bloco 03'!AB30</f>
        <v/>
      </c>
    </row>
    <row r="226" ht="15.75" customHeight="1">
      <c r="A226" s="28" t="s">
        <v>26</v>
      </c>
    </row>
    <row r="227" ht="15.75" customHeight="1">
      <c r="A227" s="31"/>
      <c r="B227" s="31" t="s">
        <v>13</v>
      </c>
      <c r="C227" s="32" t="s">
        <v>16</v>
      </c>
      <c r="D227" s="32" t="s">
        <v>15</v>
      </c>
      <c r="E227" s="32" t="s">
        <v>21</v>
      </c>
      <c r="F227" s="32" t="s">
        <v>11</v>
      </c>
    </row>
    <row r="228" ht="15.75" customHeight="1">
      <c r="A228" s="13" t="str">
        <f>'bloco 03'!$W36</f>
        <v/>
      </c>
      <c r="B228" s="45" t="str">
        <f>'bloco 03'!X36</f>
        <v/>
      </c>
      <c r="C228" s="45" t="str">
        <f>'bloco 03'!Y36</f>
        <v/>
      </c>
      <c r="D228" s="45" t="str">
        <f>'bloco 03'!Z36</f>
        <v/>
      </c>
      <c r="E228" s="46" t="str">
        <f>IFERROR(('bloco 03'!AA36),"")</f>
        <v/>
      </c>
      <c r="F228" s="48" t="str">
        <f>'bloco 03'!AB36</f>
        <v/>
      </c>
    </row>
    <row r="229" ht="15.75" customHeight="1">
      <c r="A229" s="13" t="str">
        <f>'bloco 03'!$W37</f>
        <v/>
      </c>
      <c r="B229" s="45" t="str">
        <f>'bloco 03'!X37</f>
        <v/>
      </c>
      <c r="C229" s="45" t="str">
        <f>'bloco 03'!Y37</f>
        <v/>
      </c>
      <c r="D229" s="45" t="str">
        <f>'bloco 03'!Z37</f>
        <v/>
      </c>
      <c r="E229" s="46" t="str">
        <f>IFERROR(('bloco 03'!AA37),"")</f>
        <v/>
      </c>
      <c r="F229" s="48" t="str">
        <f>'bloco 03'!AB37</f>
        <v/>
      </c>
    </row>
    <row r="230" ht="15.75" customHeight="1">
      <c r="A230" s="13" t="str">
        <f>'bloco 03'!$W38</f>
        <v/>
      </c>
      <c r="B230" s="45" t="str">
        <f>'bloco 03'!X38</f>
        <v/>
      </c>
      <c r="C230" s="45" t="str">
        <f>'bloco 03'!Y38</f>
        <v/>
      </c>
      <c r="D230" s="45" t="str">
        <f>'bloco 03'!Z38</f>
        <v/>
      </c>
      <c r="E230" s="46" t="str">
        <f>IFERROR(('bloco 03'!AA38),"")</f>
        <v/>
      </c>
      <c r="F230" s="48" t="str">
        <f>'bloco 03'!AB38</f>
        <v/>
      </c>
    </row>
    <row r="231" ht="15.75" customHeight="1">
      <c r="A231" s="13" t="str">
        <f>'bloco 03'!$W39</f>
        <v/>
      </c>
      <c r="B231" s="45" t="str">
        <f>'bloco 03'!X39</f>
        <v/>
      </c>
      <c r="C231" s="45" t="str">
        <f>'bloco 03'!Y39</f>
        <v/>
      </c>
      <c r="D231" s="45" t="str">
        <f>'bloco 03'!Z39</f>
        <v/>
      </c>
      <c r="E231" s="46" t="str">
        <f>IFERROR(('bloco 03'!AA39),"")</f>
        <v/>
      </c>
      <c r="F231" s="48" t="str">
        <f>'bloco 03'!AB39</f>
        <v/>
      </c>
    </row>
    <row r="232" ht="15.75" customHeight="1">
      <c r="A232" s="13" t="str">
        <f>'bloco 03'!$W40</f>
        <v/>
      </c>
      <c r="B232" s="45" t="str">
        <f>'bloco 03'!X40</f>
        <v/>
      </c>
      <c r="C232" s="45" t="str">
        <f>'bloco 03'!Y40</f>
        <v/>
      </c>
      <c r="D232" s="45" t="str">
        <f>'bloco 03'!Z40</f>
        <v/>
      </c>
      <c r="E232" s="46" t="str">
        <f>IFERROR(('bloco 03'!AA40),"")</f>
        <v/>
      </c>
      <c r="F232" s="48" t="str">
        <f>'bloco 03'!AB40</f>
        <v/>
      </c>
    </row>
    <row r="233" ht="15.75" customHeight="1">
      <c r="A233" s="13" t="str">
        <f>'bloco 03'!$W41</f>
        <v/>
      </c>
      <c r="B233" s="45" t="str">
        <f>'bloco 03'!X41</f>
        <v/>
      </c>
      <c r="C233" s="45" t="str">
        <f>'bloco 03'!Y41</f>
        <v/>
      </c>
      <c r="D233" s="45" t="str">
        <f>'bloco 03'!Z41</f>
        <v/>
      </c>
      <c r="E233" s="46" t="str">
        <f>IFERROR(('bloco 03'!AA41),"")</f>
        <v/>
      </c>
      <c r="F233" s="48" t="str">
        <f>'bloco 03'!AB41</f>
        <v/>
      </c>
    </row>
    <row r="234" ht="15.75" customHeight="1">
      <c r="A234" s="13" t="str">
        <f>'bloco 03'!$W42</f>
        <v/>
      </c>
      <c r="B234" s="45" t="str">
        <f>'bloco 03'!X42</f>
        <v/>
      </c>
      <c r="C234" s="45" t="str">
        <f>'bloco 03'!Y42</f>
        <v/>
      </c>
      <c r="D234" s="45" t="str">
        <f>'bloco 03'!Z42</f>
        <v/>
      </c>
      <c r="E234" s="46" t="str">
        <f>IFERROR(('bloco 03'!AA42),"")</f>
        <v/>
      </c>
      <c r="F234" s="48" t="str">
        <f>'bloco 03'!AB42</f>
        <v/>
      </c>
    </row>
    <row r="235" ht="15.75" customHeight="1">
      <c r="A235" s="13" t="str">
        <f>'bloco 03'!$W43</f>
        <v/>
      </c>
      <c r="B235" s="45" t="str">
        <f>'bloco 03'!X43</f>
        <v/>
      </c>
      <c r="C235" s="45" t="str">
        <f>'bloco 03'!Y43</f>
        <v/>
      </c>
      <c r="D235" s="45" t="str">
        <f>'bloco 03'!Z43</f>
        <v/>
      </c>
      <c r="E235" s="46" t="str">
        <f>IFERROR(('bloco 03'!AA43),"")</f>
        <v/>
      </c>
      <c r="F235" s="48" t="str">
        <f>'bloco 03'!AB43</f>
        <v/>
      </c>
    </row>
    <row r="236" ht="15.75" customHeight="1">
      <c r="A236" s="13" t="str">
        <f>'bloco 03'!$W44</f>
        <v/>
      </c>
      <c r="B236" s="45" t="str">
        <f>'bloco 03'!X44</f>
        <v/>
      </c>
      <c r="C236" s="45" t="str">
        <f>'bloco 03'!Y44</f>
        <v/>
      </c>
      <c r="D236" s="45" t="str">
        <f>'bloco 03'!Z44</f>
        <v/>
      </c>
      <c r="E236" s="46" t="str">
        <f>IFERROR(('bloco 03'!AA44),"")</f>
        <v/>
      </c>
      <c r="F236" s="48" t="str">
        <f>'bloco 03'!AB44</f>
        <v/>
      </c>
    </row>
    <row r="237" ht="15.75" customHeight="1">
      <c r="A237" s="13" t="str">
        <f>'bloco 03'!$W45</f>
        <v/>
      </c>
      <c r="B237" s="45" t="str">
        <f>'bloco 03'!X45</f>
        <v/>
      </c>
      <c r="C237" s="45" t="str">
        <f>'bloco 03'!Y45</f>
        <v/>
      </c>
      <c r="D237" s="45" t="str">
        <f>'bloco 03'!Z45</f>
        <v/>
      </c>
      <c r="E237" s="46" t="str">
        <f>IFERROR(('bloco 03'!AA45),"")</f>
        <v/>
      </c>
      <c r="F237" s="48" t="str">
        <f>'bloco 03'!AB45</f>
        <v/>
      </c>
    </row>
    <row r="238" ht="15.75" customHeight="1">
      <c r="A238" s="28" t="s">
        <v>27</v>
      </c>
    </row>
    <row r="239" ht="15.75" customHeight="1">
      <c r="A239" s="31"/>
      <c r="B239" s="31" t="s">
        <v>13</v>
      </c>
      <c r="C239" s="32" t="s">
        <v>16</v>
      </c>
      <c r="D239" s="32" t="s">
        <v>15</v>
      </c>
      <c r="E239" s="32" t="s">
        <v>21</v>
      </c>
      <c r="F239" s="32" t="s">
        <v>11</v>
      </c>
    </row>
    <row r="240" ht="15.75" customHeight="1">
      <c r="A240" s="13" t="str">
        <f>'bloco 03'!$W51</f>
        <v/>
      </c>
      <c r="B240" s="45" t="str">
        <f>'bloco 03'!X51</f>
        <v/>
      </c>
      <c r="C240" s="45" t="str">
        <f>'bloco 03'!Y51</f>
        <v/>
      </c>
      <c r="D240" s="45" t="str">
        <f>'bloco 03'!Z51</f>
        <v/>
      </c>
      <c r="E240" s="46" t="str">
        <f>IFERROR(('bloco 03'!AA51),"")</f>
        <v/>
      </c>
      <c r="F240" s="48" t="str">
        <f>'bloco 03'!AB51</f>
        <v/>
      </c>
    </row>
    <row r="241" ht="15.75" customHeight="1">
      <c r="A241" s="13" t="str">
        <f>'bloco 03'!$W52</f>
        <v/>
      </c>
      <c r="B241" s="45" t="str">
        <f>'bloco 03'!X52</f>
        <v/>
      </c>
      <c r="C241" s="45" t="str">
        <f>'bloco 03'!Y52</f>
        <v/>
      </c>
      <c r="D241" s="45" t="str">
        <f>'bloco 03'!Z52</f>
        <v/>
      </c>
      <c r="E241" s="46" t="str">
        <f>IFERROR(('bloco 03'!AA52),"")</f>
        <v/>
      </c>
      <c r="F241" s="48" t="str">
        <f>'bloco 03'!AB52</f>
        <v/>
      </c>
    </row>
    <row r="242" ht="15.75" customHeight="1">
      <c r="A242" s="13" t="str">
        <f>'bloco 03'!$W53</f>
        <v/>
      </c>
      <c r="B242" s="45" t="str">
        <f>'bloco 03'!X53</f>
        <v/>
      </c>
      <c r="C242" s="45" t="str">
        <f>'bloco 03'!Y53</f>
        <v/>
      </c>
      <c r="D242" s="45" t="str">
        <f>'bloco 03'!Z53</f>
        <v/>
      </c>
      <c r="E242" s="46" t="str">
        <f>IFERROR(('bloco 03'!AA53),"")</f>
        <v/>
      </c>
      <c r="F242" s="48" t="str">
        <f>'bloco 03'!AB53</f>
        <v/>
      </c>
    </row>
    <row r="243" ht="15.75" customHeight="1">
      <c r="A243" s="13" t="str">
        <f>'bloco 03'!$W54</f>
        <v/>
      </c>
      <c r="B243" s="45" t="str">
        <f>'bloco 03'!X54</f>
        <v/>
      </c>
      <c r="C243" s="45" t="str">
        <f>'bloco 03'!Y54</f>
        <v/>
      </c>
      <c r="D243" s="45" t="str">
        <f>'bloco 03'!Z54</f>
        <v/>
      </c>
      <c r="E243" s="46" t="str">
        <f>IFERROR(('bloco 03'!AA54),"")</f>
        <v/>
      </c>
      <c r="F243" s="48" t="str">
        <f>'bloco 03'!AB54</f>
        <v/>
      </c>
    </row>
    <row r="244" ht="15.75" customHeight="1">
      <c r="A244" s="13" t="str">
        <f>'bloco 03'!$W55</f>
        <v/>
      </c>
      <c r="B244" s="45" t="str">
        <f>'bloco 03'!X55</f>
        <v/>
      </c>
      <c r="C244" s="45" t="str">
        <f>'bloco 03'!Y55</f>
        <v/>
      </c>
      <c r="D244" s="45" t="str">
        <f>'bloco 03'!Z55</f>
        <v/>
      </c>
      <c r="E244" s="46" t="str">
        <f>IFERROR(('bloco 03'!AA55),"")</f>
        <v/>
      </c>
      <c r="F244" s="48" t="str">
        <f>'bloco 03'!AB55</f>
        <v/>
      </c>
    </row>
    <row r="245" ht="15.75" customHeight="1">
      <c r="A245" s="13" t="str">
        <f>'bloco 03'!$W56</f>
        <v/>
      </c>
      <c r="B245" s="45" t="str">
        <f>'bloco 03'!X56</f>
        <v/>
      </c>
      <c r="C245" s="45" t="str">
        <f>'bloco 03'!Y56</f>
        <v/>
      </c>
      <c r="D245" s="45" t="str">
        <f>'bloco 03'!Z56</f>
        <v/>
      </c>
      <c r="E245" s="46" t="str">
        <f>IFERROR(('bloco 03'!AA56),"")</f>
        <v/>
      </c>
      <c r="F245" s="48" t="str">
        <f>'bloco 03'!AB56</f>
        <v/>
      </c>
    </row>
    <row r="246" ht="15.75" customHeight="1">
      <c r="A246" s="13" t="str">
        <f>'bloco 03'!$W57</f>
        <v/>
      </c>
      <c r="B246" s="45" t="str">
        <f>'bloco 03'!X57</f>
        <v/>
      </c>
      <c r="C246" s="45" t="str">
        <f>'bloco 03'!Y57</f>
        <v/>
      </c>
      <c r="D246" s="45" t="str">
        <f>'bloco 03'!Z57</f>
        <v/>
      </c>
      <c r="E246" s="46" t="str">
        <f>IFERROR(('bloco 03'!AA57),"")</f>
        <v/>
      </c>
      <c r="F246" s="48" t="str">
        <f>'bloco 03'!AB57</f>
        <v/>
      </c>
    </row>
    <row r="247" ht="15.75" customHeight="1">
      <c r="A247" s="13" t="str">
        <f>'bloco 03'!$W58</f>
        <v/>
      </c>
      <c r="B247" s="45" t="str">
        <f>'bloco 03'!X58</f>
        <v/>
      </c>
      <c r="C247" s="45" t="str">
        <f>'bloco 03'!Y58</f>
        <v/>
      </c>
      <c r="D247" s="45" t="str">
        <f>'bloco 03'!Z58</f>
        <v/>
      </c>
      <c r="E247" s="46" t="str">
        <f>IFERROR(('bloco 03'!AA58),"")</f>
        <v/>
      </c>
      <c r="F247" s="48" t="str">
        <f>'bloco 03'!AB58</f>
        <v/>
      </c>
    </row>
    <row r="248" ht="15.75" customHeight="1">
      <c r="A248" s="13" t="str">
        <f>'bloco 03'!$W59</f>
        <v/>
      </c>
      <c r="B248" s="45" t="str">
        <f>'bloco 03'!X59</f>
        <v/>
      </c>
      <c r="C248" s="45" t="str">
        <f>'bloco 03'!Y59</f>
        <v/>
      </c>
      <c r="D248" s="45" t="str">
        <f>'bloco 03'!Z59</f>
        <v/>
      </c>
      <c r="E248" s="46" t="str">
        <f>IFERROR(('bloco 03'!AA59),"")</f>
        <v/>
      </c>
      <c r="F248" s="48" t="str">
        <f>'bloco 03'!AB59</f>
        <v/>
      </c>
    </row>
    <row r="249" ht="15.75" customHeight="1">
      <c r="A249" s="13" t="str">
        <f>'bloco 03'!$W60</f>
        <v/>
      </c>
      <c r="B249" s="45" t="str">
        <f>'bloco 03'!X60</f>
        <v/>
      </c>
      <c r="C249" s="45" t="str">
        <f>'bloco 03'!Y60</f>
        <v/>
      </c>
      <c r="D249" s="45" t="str">
        <f>'bloco 03'!Z60</f>
        <v/>
      </c>
      <c r="E249" s="46" t="str">
        <f>IFERROR(('bloco 03'!AA60),"")</f>
        <v/>
      </c>
      <c r="F249" s="48" t="str">
        <f>'bloco 03'!AB60</f>
        <v/>
      </c>
    </row>
    <row r="250" ht="15.75" customHeight="1">
      <c r="A250" s="45"/>
    </row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>
      <c r="A354" s="11"/>
      <c r="B354" s="11"/>
      <c r="C354" s="11"/>
      <c r="D354" s="11"/>
      <c r="E354" s="11"/>
      <c r="F354" s="11"/>
      <c r="G354" s="11"/>
    </row>
    <row r="355" ht="15.75" customHeight="1">
      <c r="A355" s="11"/>
      <c r="B355" s="11"/>
      <c r="C355" s="11"/>
      <c r="D355" s="11"/>
      <c r="E355" s="11"/>
      <c r="F355" s="11"/>
      <c r="G355" s="11"/>
    </row>
    <row r="356" ht="15.75" customHeight="1">
      <c r="A356" s="11"/>
      <c r="B356" s="11"/>
      <c r="C356" s="11"/>
      <c r="D356" s="11"/>
      <c r="E356" s="11"/>
      <c r="F356" s="11"/>
      <c r="G356" s="11"/>
    </row>
    <row r="357" ht="15.75" customHeight="1">
      <c r="A357" s="11"/>
      <c r="B357" s="11"/>
      <c r="C357" s="11"/>
      <c r="D357" s="11"/>
      <c r="E357" s="11"/>
      <c r="F357" s="11"/>
      <c r="G357" s="11"/>
    </row>
    <row r="358" ht="15.75" customHeight="1">
      <c r="A358" s="11"/>
      <c r="B358" s="11"/>
      <c r="C358" s="11"/>
      <c r="D358" s="11"/>
      <c r="E358" s="11"/>
      <c r="F358" s="11"/>
      <c r="G358" s="11"/>
    </row>
    <row r="359" ht="15.75" customHeight="1">
      <c r="A359" s="11"/>
      <c r="B359" s="11"/>
      <c r="C359" s="11"/>
      <c r="D359" s="11"/>
      <c r="E359" s="11"/>
      <c r="F359" s="11"/>
      <c r="G359" s="11"/>
    </row>
    <row r="360" ht="15.75" customHeight="1">
      <c r="A360" s="11"/>
      <c r="B360" s="11"/>
      <c r="C360" s="11"/>
      <c r="D360" s="11"/>
      <c r="E360" s="11"/>
      <c r="F360" s="11"/>
      <c r="G360" s="11"/>
    </row>
    <row r="361" ht="15.75" customHeight="1">
      <c r="A361" s="11"/>
      <c r="B361" s="11"/>
      <c r="C361" s="11"/>
      <c r="D361" s="11"/>
      <c r="E361" s="11"/>
      <c r="F361" s="11"/>
      <c r="G361" s="11"/>
    </row>
    <row r="362" ht="15.75" customHeight="1">
      <c r="A362" s="11"/>
      <c r="B362" s="11"/>
      <c r="C362" s="11"/>
      <c r="D362" s="11"/>
      <c r="E362" s="11"/>
      <c r="F362" s="11"/>
      <c r="G362" s="11"/>
    </row>
    <row r="363" ht="15.75" customHeight="1">
      <c r="A363" s="11"/>
      <c r="B363" s="11"/>
      <c r="C363" s="11"/>
      <c r="D363" s="11"/>
      <c r="E363" s="11"/>
      <c r="F363" s="11"/>
      <c r="G363" s="11"/>
    </row>
    <row r="364" ht="15.75" customHeight="1">
      <c r="A364" s="11"/>
      <c r="B364" s="11"/>
      <c r="C364" s="11"/>
      <c r="D364" s="11"/>
      <c r="E364" s="11"/>
      <c r="F364" s="11"/>
      <c r="G364" s="11"/>
    </row>
    <row r="365" ht="15.75" customHeight="1">
      <c r="A365" s="11"/>
      <c r="B365" s="11"/>
      <c r="C365" s="11"/>
      <c r="D365" s="11"/>
      <c r="E365" s="11"/>
      <c r="F365" s="11"/>
      <c r="G365" s="11"/>
    </row>
    <row r="366" ht="15.75" customHeight="1">
      <c r="A366" s="11"/>
      <c r="B366" s="11"/>
      <c r="C366" s="11"/>
      <c r="D366" s="11"/>
      <c r="E366" s="11"/>
      <c r="F366" s="11"/>
      <c r="G366" s="11"/>
    </row>
    <row r="367" ht="15.75" customHeight="1">
      <c r="A367" s="11"/>
      <c r="B367" s="11"/>
      <c r="C367" s="11"/>
      <c r="D367" s="11"/>
      <c r="E367" s="11"/>
      <c r="F367" s="11"/>
      <c r="G367" s="11"/>
    </row>
    <row r="368" ht="15.75" customHeight="1">
      <c r="A368" s="11"/>
      <c r="B368" s="11"/>
      <c r="C368" s="11"/>
      <c r="D368" s="11"/>
      <c r="E368" s="11"/>
      <c r="F368" s="11"/>
      <c r="G368" s="11"/>
    </row>
    <row r="369" ht="15.75" customHeight="1">
      <c r="A369" s="11"/>
      <c r="B369" s="11"/>
      <c r="C369" s="11"/>
      <c r="D369" s="11"/>
      <c r="E369" s="11"/>
      <c r="F369" s="11"/>
      <c r="G369" s="11"/>
    </row>
    <row r="370" ht="15.75" customHeight="1">
      <c r="A370" s="11"/>
      <c r="B370" s="11"/>
      <c r="C370" s="11"/>
      <c r="D370" s="11"/>
      <c r="E370" s="11"/>
      <c r="F370" s="11"/>
      <c r="G370" s="11"/>
    </row>
    <row r="371" ht="15.75" customHeight="1">
      <c r="A371" s="11"/>
      <c r="B371" s="11"/>
      <c r="C371" s="11"/>
      <c r="D371" s="11"/>
      <c r="E371" s="11"/>
      <c r="F371" s="11"/>
      <c r="G371" s="11"/>
    </row>
    <row r="372" ht="15.75" customHeight="1">
      <c r="A372" s="11"/>
      <c r="B372" s="11"/>
      <c r="C372" s="11"/>
      <c r="D372" s="11"/>
      <c r="E372" s="11"/>
      <c r="F372" s="11"/>
      <c r="G372" s="11"/>
    </row>
    <row r="373" ht="15.75" customHeight="1">
      <c r="A373" s="11"/>
      <c r="B373" s="11"/>
      <c r="C373" s="11"/>
      <c r="D373" s="11"/>
      <c r="E373" s="11"/>
      <c r="F373" s="11"/>
      <c r="G373" s="11"/>
    </row>
    <row r="374" ht="15.75" customHeight="1">
      <c r="A374" s="11"/>
      <c r="B374" s="11"/>
      <c r="C374" s="11"/>
      <c r="D374" s="11"/>
      <c r="E374" s="11"/>
      <c r="F374" s="11"/>
      <c r="G374" s="11"/>
    </row>
    <row r="375" ht="15.75" customHeight="1">
      <c r="A375" s="11"/>
      <c r="B375" s="11"/>
      <c r="C375" s="11"/>
      <c r="D375" s="11"/>
      <c r="E375" s="11"/>
      <c r="F375" s="11"/>
      <c r="G375" s="11"/>
    </row>
    <row r="376" ht="15.75" customHeight="1">
      <c r="A376" s="11"/>
      <c r="B376" s="11"/>
      <c r="C376" s="11"/>
      <c r="D376" s="11"/>
      <c r="E376" s="11"/>
      <c r="F376" s="11"/>
      <c r="G376" s="11"/>
    </row>
    <row r="377" ht="15.75" customHeight="1">
      <c r="A377" s="11"/>
      <c r="B377" s="11"/>
      <c r="C377" s="11"/>
      <c r="D377" s="11"/>
      <c r="E377" s="11"/>
      <c r="F377" s="11"/>
      <c r="G377" s="11"/>
    </row>
    <row r="378" ht="15.75" customHeight="1">
      <c r="A378" s="11"/>
      <c r="B378" s="11"/>
      <c r="C378" s="11"/>
      <c r="D378" s="11"/>
      <c r="E378" s="11"/>
      <c r="F378" s="11"/>
      <c r="G378" s="11"/>
    </row>
    <row r="379" ht="15.75" customHeight="1">
      <c r="A379" s="11"/>
      <c r="B379" s="11"/>
      <c r="C379" s="11"/>
      <c r="D379" s="11"/>
      <c r="E379" s="11"/>
      <c r="F379" s="11"/>
      <c r="G379" s="11"/>
    </row>
    <row r="380" ht="15.75" customHeight="1">
      <c r="A380" s="11"/>
      <c r="B380" s="11"/>
      <c r="C380" s="11"/>
      <c r="D380" s="11"/>
      <c r="E380" s="11"/>
      <c r="F380" s="11"/>
      <c r="G380" s="11"/>
    </row>
    <row r="381" ht="15.75" customHeight="1">
      <c r="A381" s="11"/>
      <c r="B381" s="11"/>
      <c r="C381" s="11"/>
      <c r="D381" s="11"/>
      <c r="E381" s="11"/>
      <c r="F381" s="11"/>
      <c r="G381" s="11"/>
    </row>
    <row r="382" ht="15.75" customHeight="1">
      <c r="A382" s="11"/>
      <c r="B382" s="11"/>
      <c r="C382" s="11"/>
      <c r="D382" s="11"/>
      <c r="E382" s="11"/>
      <c r="F382" s="11"/>
      <c r="G382" s="11"/>
    </row>
    <row r="383" ht="15.75" customHeight="1">
      <c r="A383" s="11"/>
      <c r="B383" s="11"/>
      <c r="C383" s="11"/>
      <c r="D383" s="11"/>
      <c r="E383" s="11"/>
      <c r="F383" s="11"/>
      <c r="G383" s="11"/>
    </row>
    <row r="384" ht="15.75" customHeight="1">
      <c r="A384" s="11"/>
      <c r="B384" s="11"/>
      <c r="C384" s="11"/>
      <c r="D384" s="11"/>
      <c r="E384" s="11"/>
      <c r="F384" s="11"/>
      <c r="G384" s="11"/>
    </row>
    <row r="385" ht="15.75" customHeight="1">
      <c r="A385" s="11"/>
      <c r="B385" s="11"/>
      <c r="C385" s="11"/>
      <c r="D385" s="11"/>
      <c r="E385" s="11"/>
      <c r="F385" s="11"/>
      <c r="G385" s="11"/>
    </row>
    <row r="386" ht="15.75" customHeight="1">
      <c r="A386" s="11"/>
      <c r="B386" s="11"/>
      <c r="C386" s="11"/>
      <c r="D386" s="11"/>
      <c r="E386" s="11"/>
      <c r="F386" s="11"/>
      <c r="G386" s="11"/>
    </row>
    <row r="387" ht="15.75" customHeight="1">
      <c r="A387" s="11"/>
      <c r="B387" s="11"/>
      <c r="C387" s="11"/>
      <c r="D387" s="11"/>
      <c r="E387" s="11"/>
      <c r="F387" s="11"/>
      <c r="G387" s="11"/>
    </row>
    <row r="388" ht="15.75" customHeight="1">
      <c r="A388" s="11"/>
      <c r="B388" s="11"/>
      <c r="C388" s="11"/>
      <c r="D388" s="11"/>
      <c r="E388" s="11"/>
      <c r="F388" s="11"/>
      <c r="G388" s="11"/>
    </row>
    <row r="389" ht="15.75" customHeight="1">
      <c r="A389" s="11"/>
      <c r="B389" s="11"/>
      <c r="C389" s="11"/>
      <c r="D389" s="11"/>
      <c r="E389" s="11"/>
      <c r="F389" s="11"/>
      <c r="G389" s="11"/>
    </row>
    <row r="390" ht="15.75" customHeight="1">
      <c r="A390" s="11"/>
      <c r="B390" s="11"/>
      <c r="C390" s="11"/>
      <c r="D390" s="11"/>
      <c r="E390" s="11"/>
      <c r="F390" s="11"/>
      <c r="G390" s="11"/>
    </row>
    <row r="391" ht="15.75" customHeight="1">
      <c r="A391" s="11"/>
      <c r="B391" s="11"/>
      <c r="C391" s="11"/>
      <c r="D391" s="11"/>
      <c r="E391" s="11"/>
      <c r="F391" s="11"/>
      <c r="G391" s="11"/>
    </row>
    <row r="392" ht="15.75" customHeight="1">
      <c r="A392" s="11"/>
      <c r="B392" s="11"/>
      <c r="C392" s="11"/>
      <c r="D392" s="11"/>
      <c r="E392" s="11"/>
      <c r="F392" s="11"/>
      <c r="G392" s="11"/>
    </row>
    <row r="393" ht="15.75" customHeight="1">
      <c r="A393" s="11"/>
      <c r="B393" s="11"/>
      <c r="C393" s="11"/>
      <c r="D393" s="11"/>
      <c r="E393" s="11"/>
      <c r="F393" s="11"/>
      <c r="G393" s="11"/>
    </row>
    <row r="394" ht="15.75" customHeight="1">
      <c r="A394" s="11"/>
      <c r="B394" s="11"/>
      <c r="C394" s="11"/>
      <c r="D394" s="11"/>
      <c r="E394" s="11"/>
      <c r="F394" s="11"/>
      <c r="G394" s="11"/>
    </row>
    <row r="395" ht="15.75" customHeight="1">
      <c r="A395" s="11"/>
      <c r="B395" s="11"/>
      <c r="C395" s="11"/>
      <c r="D395" s="11"/>
      <c r="E395" s="11"/>
      <c r="F395" s="11"/>
      <c r="G395" s="11"/>
    </row>
    <row r="396" ht="15.75" customHeight="1">
      <c r="A396" s="11"/>
      <c r="B396" s="11"/>
      <c r="C396" s="11"/>
      <c r="D396" s="11"/>
      <c r="E396" s="11"/>
      <c r="F396" s="11"/>
      <c r="G396" s="11"/>
    </row>
    <row r="397" ht="15.75" customHeight="1">
      <c r="A397" s="11"/>
      <c r="B397" s="11"/>
      <c r="C397" s="11"/>
      <c r="D397" s="11"/>
      <c r="E397" s="11"/>
      <c r="F397" s="11"/>
      <c r="G397" s="11"/>
    </row>
    <row r="398" ht="15.75" customHeight="1">
      <c r="A398" s="11"/>
      <c r="B398" s="11"/>
      <c r="C398" s="11"/>
      <c r="D398" s="11"/>
      <c r="E398" s="11"/>
      <c r="F398" s="11"/>
      <c r="G398" s="11"/>
    </row>
    <row r="399" ht="15.75" customHeight="1">
      <c r="A399" s="11"/>
      <c r="B399" s="11"/>
      <c r="C399" s="11"/>
      <c r="D399" s="11"/>
      <c r="E399" s="11"/>
      <c r="F399" s="11"/>
      <c r="G399" s="11"/>
    </row>
    <row r="400" ht="15.75" customHeight="1">
      <c r="A400" s="11"/>
      <c r="B400" s="11"/>
      <c r="C400" s="11"/>
      <c r="D400" s="11"/>
      <c r="E400" s="11"/>
      <c r="F400" s="11"/>
      <c r="G400" s="11"/>
    </row>
    <row r="401" ht="15.75" customHeight="1">
      <c r="A401" s="11"/>
      <c r="B401" s="11"/>
      <c r="C401" s="11"/>
      <c r="D401" s="11"/>
      <c r="E401" s="11"/>
      <c r="F401" s="11"/>
      <c r="G401" s="11"/>
    </row>
    <row r="402" ht="15.75" customHeight="1">
      <c r="A402" s="11"/>
      <c r="B402" s="11"/>
      <c r="C402" s="11"/>
      <c r="D402" s="11"/>
      <c r="E402" s="11"/>
      <c r="F402" s="11"/>
      <c r="G402" s="11"/>
    </row>
    <row r="403" ht="15.75" customHeight="1">
      <c r="A403" s="11"/>
      <c r="B403" s="11"/>
      <c r="C403" s="11"/>
      <c r="D403" s="11"/>
      <c r="E403" s="11"/>
      <c r="F403" s="11"/>
      <c r="G403" s="11"/>
    </row>
    <row r="404" ht="15.75" customHeight="1">
      <c r="A404" s="11"/>
      <c r="B404" s="11"/>
      <c r="C404" s="11"/>
      <c r="D404" s="11"/>
      <c r="E404" s="11"/>
      <c r="F404" s="11"/>
      <c r="G404" s="11"/>
    </row>
    <row r="405" ht="15.75" customHeight="1">
      <c r="A405" s="11"/>
      <c r="B405" s="11"/>
      <c r="C405" s="11"/>
      <c r="D405" s="11"/>
      <c r="E405" s="11"/>
      <c r="F405" s="11"/>
      <c r="G405" s="11"/>
    </row>
    <row r="406" ht="15.75" customHeight="1">
      <c r="A406" s="11"/>
      <c r="B406" s="11"/>
      <c r="C406" s="11"/>
      <c r="D406" s="11"/>
      <c r="E406" s="11"/>
      <c r="F406" s="11"/>
      <c r="G406" s="11"/>
    </row>
    <row r="407" ht="15.75" customHeight="1">
      <c r="A407" s="11"/>
      <c r="B407" s="11"/>
      <c r="C407" s="11"/>
      <c r="D407" s="11"/>
      <c r="E407" s="11"/>
      <c r="F407" s="11"/>
      <c r="G407" s="11"/>
    </row>
    <row r="408" ht="15.75" customHeight="1">
      <c r="A408" s="11"/>
      <c r="B408" s="11"/>
      <c r="C408" s="11"/>
      <c r="D408" s="11"/>
      <c r="E408" s="11"/>
      <c r="F408" s="11"/>
      <c r="G408" s="11"/>
    </row>
    <row r="409" ht="15.75" customHeight="1">
      <c r="A409" s="11"/>
      <c r="B409" s="11"/>
      <c r="C409" s="11"/>
      <c r="D409" s="11"/>
      <c r="E409" s="11"/>
      <c r="F409" s="11"/>
      <c r="G409" s="11"/>
    </row>
    <row r="410" ht="15.75" customHeight="1">
      <c r="A410" s="11"/>
      <c r="B410" s="11"/>
      <c r="C410" s="11"/>
      <c r="D410" s="11"/>
      <c r="E410" s="11"/>
      <c r="F410" s="11"/>
      <c r="G410" s="11"/>
    </row>
    <row r="411" ht="15.75" customHeight="1">
      <c r="A411" s="11"/>
      <c r="B411" s="11"/>
      <c r="C411" s="11"/>
      <c r="D411" s="11"/>
      <c r="E411" s="11"/>
      <c r="F411" s="11"/>
      <c r="G411" s="11"/>
    </row>
    <row r="412" ht="15.75" customHeight="1">
      <c r="A412" s="11"/>
      <c r="B412" s="11"/>
      <c r="C412" s="11"/>
      <c r="D412" s="11"/>
      <c r="E412" s="11"/>
      <c r="F412" s="11"/>
      <c r="G412" s="11"/>
    </row>
    <row r="413" ht="15.75" customHeight="1">
      <c r="A413" s="11"/>
      <c r="B413" s="11"/>
      <c r="C413" s="11"/>
      <c r="D413" s="11"/>
      <c r="E413" s="11"/>
      <c r="F413" s="11"/>
      <c r="G413" s="11"/>
    </row>
    <row r="414" ht="15.75" customHeight="1">
      <c r="A414" s="11"/>
      <c r="B414" s="11"/>
      <c r="C414" s="11"/>
      <c r="D414" s="11"/>
      <c r="E414" s="11"/>
      <c r="F414" s="11"/>
      <c r="G414" s="11"/>
    </row>
    <row r="415" ht="15.75" customHeight="1">
      <c r="A415" s="11"/>
      <c r="B415" s="11"/>
      <c r="C415" s="11"/>
      <c r="D415" s="11"/>
      <c r="E415" s="11"/>
      <c r="F415" s="11"/>
      <c r="G415" s="11"/>
    </row>
    <row r="416" ht="15.75" customHeight="1">
      <c r="A416" s="11"/>
      <c r="B416" s="11"/>
      <c r="C416" s="11"/>
      <c r="D416" s="11"/>
      <c r="E416" s="11"/>
      <c r="F416" s="11"/>
      <c r="G416" s="11"/>
    </row>
    <row r="417" ht="15.75" customHeight="1">
      <c r="A417" s="11"/>
      <c r="B417" s="11"/>
      <c r="C417" s="11"/>
      <c r="D417" s="11"/>
      <c r="E417" s="11"/>
      <c r="F417" s="11"/>
      <c r="G417" s="11"/>
    </row>
    <row r="418" ht="15.75" customHeight="1">
      <c r="A418" s="11"/>
      <c r="B418" s="11"/>
      <c r="C418" s="11"/>
      <c r="D418" s="11"/>
      <c r="E418" s="11"/>
      <c r="F418" s="11"/>
      <c r="G418" s="11"/>
    </row>
    <row r="419" ht="15.75" customHeight="1">
      <c r="A419" s="11"/>
      <c r="B419" s="11"/>
      <c r="C419" s="11"/>
      <c r="D419" s="11"/>
      <c r="E419" s="11"/>
      <c r="F419" s="11"/>
      <c r="G419" s="11"/>
    </row>
    <row r="420" ht="15.75" customHeight="1">
      <c r="A420" s="11"/>
      <c r="B420" s="11"/>
      <c r="C420" s="11"/>
      <c r="D420" s="11"/>
      <c r="E420" s="11"/>
      <c r="F420" s="11"/>
      <c r="G420" s="11"/>
    </row>
    <row r="421" ht="15.75" customHeight="1">
      <c r="A421" s="11"/>
      <c r="B421" s="11"/>
      <c r="C421" s="11"/>
      <c r="D421" s="11"/>
      <c r="E421" s="11"/>
      <c r="F421" s="11"/>
      <c r="G421" s="11"/>
    </row>
    <row r="422" ht="15.75" customHeight="1">
      <c r="A422" s="11"/>
      <c r="B422" s="11"/>
      <c r="C422" s="11"/>
      <c r="D422" s="11"/>
      <c r="E422" s="11"/>
      <c r="F422" s="11"/>
      <c r="G422" s="11"/>
    </row>
    <row r="423" ht="15.75" customHeight="1">
      <c r="A423" s="11"/>
      <c r="B423" s="11"/>
      <c r="C423" s="11"/>
      <c r="D423" s="11"/>
      <c r="E423" s="11"/>
      <c r="F423" s="11"/>
      <c r="G423" s="11"/>
    </row>
    <row r="424" ht="15.75" customHeight="1">
      <c r="A424" s="11"/>
      <c r="B424" s="11"/>
      <c r="C424" s="11"/>
      <c r="D424" s="11"/>
      <c r="E424" s="11"/>
      <c r="F424" s="11"/>
      <c r="G424" s="11"/>
    </row>
    <row r="425" ht="15.75" customHeight="1">
      <c r="A425" s="11"/>
      <c r="B425" s="11"/>
      <c r="C425" s="11"/>
      <c r="D425" s="11"/>
      <c r="E425" s="11"/>
      <c r="F425" s="11"/>
      <c r="G425" s="11"/>
    </row>
    <row r="426" ht="15.75" customHeight="1">
      <c r="A426" s="11"/>
      <c r="B426" s="11"/>
      <c r="C426" s="11"/>
      <c r="D426" s="11"/>
      <c r="E426" s="11"/>
      <c r="F426" s="11"/>
      <c r="G426" s="11"/>
    </row>
    <row r="427" ht="15.75" customHeight="1">
      <c r="A427" s="11"/>
      <c r="B427" s="11"/>
      <c r="C427" s="11"/>
      <c r="D427" s="11"/>
      <c r="E427" s="11"/>
      <c r="F427" s="11"/>
      <c r="G427" s="11"/>
    </row>
    <row r="428" ht="15.75" customHeight="1">
      <c r="A428" s="11"/>
      <c r="B428" s="11"/>
      <c r="C428" s="11"/>
      <c r="D428" s="11"/>
      <c r="E428" s="11"/>
      <c r="F428" s="11"/>
      <c r="G428" s="11"/>
    </row>
    <row r="429" ht="15.75" customHeight="1">
      <c r="A429" s="11"/>
      <c r="B429" s="11"/>
      <c r="C429" s="11"/>
      <c r="D429" s="11"/>
      <c r="E429" s="11"/>
      <c r="F429" s="11"/>
      <c r="G429" s="11"/>
    </row>
    <row r="430" ht="15.75" customHeight="1">
      <c r="A430" s="11"/>
      <c r="B430" s="11"/>
      <c r="C430" s="11"/>
      <c r="D430" s="11"/>
      <c r="E430" s="11"/>
      <c r="F430" s="11"/>
      <c r="G430" s="11"/>
    </row>
    <row r="431" ht="15.75" customHeight="1">
      <c r="A431" s="11"/>
      <c r="B431" s="11"/>
      <c r="C431" s="11"/>
      <c r="D431" s="11"/>
      <c r="E431" s="11"/>
      <c r="F431" s="11"/>
      <c r="G431" s="11"/>
    </row>
    <row r="432" ht="15.75" customHeight="1">
      <c r="A432" s="11"/>
      <c r="B432" s="11"/>
      <c r="C432" s="11"/>
      <c r="D432" s="11"/>
      <c r="E432" s="11"/>
      <c r="F432" s="11"/>
      <c r="G432" s="11"/>
    </row>
    <row r="433" ht="15.75" customHeight="1">
      <c r="A433" s="11"/>
      <c r="B433" s="11"/>
      <c r="C433" s="11"/>
      <c r="D433" s="11"/>
      <c r="E433" s="11"/>
      <c r="F433" s="11"/>
      <c r="G433" s="11"/>
    </row>
    <row r="434" ht="15.75" customHeight="1">
      <c r="A434" s="11"/>
      <c r="B434" s="11"/>
      <c r="C434" s="11"/>
      <c r="D434" s="11"/>
      <c r="E434" s="11"/>
      <c r="F434" s="11"/>
      <c r="G434" s="11"/>
    </row>
    <row r="435" ht="15.75" customHeight="1">
      <c r="A435" s="11"/>
      <c r="B435" s="11"/>
      <c r="C435" s="11"/>
      <c r="D435" s="11"/>
      <c r="E435" s="11"/>
      <c r="F435" s="11"/>
      <c r="G435" s="11"/>
    </row>
    <row r="436" ht="15.75" customHeight="1">
      <c r="A436" s="11"/>
      <c r="B436" s="11"/>
      <c r="C436" s="11"/>
      <c r="D436" s="11"/>
      <c r="E436" s="11"/>
      <c r="F436" s="11"/>
      <c r="G436" s="11"/>
    </row>
    <row r="437" ht="15.75" customHeight="1">
      <c r="A437" s="11"/>
      <c r="B437" s="11"/>
      <c r="C437" s="11"/>
      <c r="D437" s="11"/>
      <c r="E437" s="11"/>
      <c r="F437" s="11"/>
      <c r="G437" s="11"/>
    </row>
    <row r="438" ht="15.75" customHeight="1">
      <c r="A438" s="11"/>
      <c r="B438" s="11"/>
      <c r="C438" s="11"/>
      <c r="D438" s="11"/>
      <c r="E438" s="11"/>
      <c r="F438" s="11"/>
      <c r="G438" s="11"/>
    </row>
    <row r="439" ht="15.75" customHeight="1">
      <c r="A439" s="11"/>
      <c r="B439" s="11"/>
      <c r="C439" s="11"/>
      <c r="D439" s="11"/>
      <c r="E439" s="11"/>
      <c r="F439" s="11"/>
      <c r="G439" s="11"/>
    </row>
    <row r="440" ht="15.75" customHeight="1">
      <c r="A440" s="11"/>
      <c r="B440" s="11"/>
      <c r="C440" s="11"/>
      <c r="D440" s="11"/>
      <c r="E440" s="11"/>
      <c r="F440" s="11"/>
      <c r="G440" s="11"/>
    </row>
    <row r="441" ht="15.75" customHeight="1">
      <c r="A441" s="11"/>
      <c r="B441" s="11"/>
      <c r="C441" s="11"/>
      <c r="D441" s="11"/>
      <c r="E441" s="11"/>
      <c r="F441" s="11"/>
      <c r="G441" s="11"/>
    </row>
    <row r="442" ht="15.75" customHeight="1">
      <c r="A442" s="11"/>
      <c r="B442" s="11"/>
      <c r="C442" s="11"/>
      <c r="D442" s="11"/>
      <c r="E442" s="11"/>
      <c r="F442" s="11"/>
      <c r="G442" s="11"/>
    </row>
    <row r="443" ht="15.75" customHeight="1">
      <c r="A443" s="11"/>
      <c r="B443" s="11"/>
      <c r="C443" s="11"/>
      <c r="D443" s="11"/>
      <c r="E443" s="11"/>
      <c r="F443" s="11"/>
      <c r="G443" s="11"/>
    </row>
    <row r="444" ht="15.75" customHeight="1">
      <c r="A444" s="11"/>
      <c r="B444" s="11"/>
      <c r="C444" s="11"/>
      <c r="D444" s="11"/>
      <c r="E444" s="11"/>
      <c r="F444" s="11"/>
      <c r="G444" s="11"/>
    </row>
    <row r="445" ht="15.75" customHeight="1">
      <c r="A445" s="11"/>
      <c r="B445" s="11"/>
      <c r="C445" s="11"/>
      <c r="D445" s="11"/>
      <c r="E445" s="11"/>
      <c r="F445" s="11"/>
      <c r="G445" s="11"/>
    </row>
    <row r="446" ht="15.75" customHeight="1">
      <c r="A446" s="11"/>
      <c r="B446" s="11"/>
      <c r="C446" s="11"/>
      <c r="D446" s="11"/>
      <c r="E446" s="11"/>
      <c r="F446" s="11"/>
      <c r="G446" s="11"/>
    </row>
    <row r="447" ht="15.75" customHeight="1">
      <c r="A447" s="11"/>
      <c r="B447" s="11"/>
      <c r="C447" s="11"/>
      <c r="D447" s="11"/>
      <c r="E447" s="11"/>
      <c r="F447" s="11"/>
      <c r="G447" s="11"/>
    </row>
    <row r="448" ht="15.75" customHeight="1">
      <c r="A448" s="11"/>
      <c r="B448" s="11"/>
      <c r="C448" s="11"/>
      <c r="D448" s="11"/>
      <c r="E448" s="11"/>
      <c r="F448" s="11"/>
      <c r="G448" s="11"/>
    </row>
    <row r="449" ht="15.75" customHeight="1">
      <c r="A449" s="11"/>
      <c r="B449" s="11"/>
      <c r="C449" s="11"/>
      <c r="D449" s="11"/>
      <c r="E449" s="11"/>
      <c r="F449" s="11"/>
      <c r="G449" s="11"/>
    </row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4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A54:G54"/>
    <mergeCell ref="F96:G96"/>
    <mergeCell ref="F97:G97"/>
    <mergeCell ref="F98:G98"/>
    <mergeCell ref="F99:G99"/>
    <mergeCell ref="F100:G100"/>
    <mergeCell ref="F101:G101"/>
    <mergeCell ref="F102:G102"/>
    <mergeCell ref="F112:G112"/>
    <mergeCell ref="F113:G113"/>
    <mergeCell ref="F114:G114"/>
    <mergeCell ref="F115:G115"/>
    <mergeCell ref="F105:G105"/>
    <mergeCell ref="F106:G106"/>
    <mergeCell ref="F107:G107"/>
    <mergeCell ref="F108:G108"/>
    <mergeCell ref="F109:G109"/>
    <mergeCell ref="F110:G110"/>
    <mergeCell ref="F111:G111"/>
    <mergeCell ref="F53:G53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A66:G66"/>
    <mergeCell ref="A67:G67"/>
    <mergeCell ref="A68:G68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A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A92:G92"/>
    <mergeCell ref="F93:G93"/>
    <mergeCell ref="F94:G94"/>
    <mergeCell ref="F95:G95"/>
    <mergeCell ref="F103:G103"/>
    <mergeCell ref="A104:G104"/>
    <mergeCell ref="A116:G132"/>
    <mergeCell ref="A133:G133"/>
    <mergeCell ref="A134:G134"/>
    <mergeCell ref="A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A147:G147"/>
    <mergeCell ref="F148:G148"/>
    <mergeCell ref="F149:G149"/>
    <mergeCell ref="F150:G150"/>
    <mergeCell ref="F158:G158"/>
    <mergeCell ref="A159:G159"/>
    <mergeCell ref="F151:G151"/>
    <mergeCell ref="F152:G152"/>
    <mergeCell ref="F153:G153"/>
    <mergeCell ref="F154:G154"/>
    <mergeCell ref="F155:G155"/>
    <mergeCell ref="F156:G156"/>
    <mergeCell ref="F157:G157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A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248:G248"/>
    <mergeCell ref="F249:G249"/>
    <mergeCell ref="A250:G266"/>
    <mergeCell ref="F241:G241"/>
    <mergeCell ref="F242:G242"/>
    <mergeCell ref="F243:G243"/>
    <mergeCell ref="F244:G244"/>
    <mergeCell ref="F245:G245"/>
    <mergeCell ref="F246:G246"/>
    <mergeCell ref="F247:G247"/>
    <mergeCell ref="F181:G181"/>
    <mergeCell ref="F182:G182"/>
    <mergeCell ref="A183:G199"/>
    <mergeCell ref="A200:G200"/>
    <mergeCell ref="A201:G201"/>
    <mergeCell ref="A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A214:G214"/>
    <mergeCell ref="F215:G215"/>
    <mergeCell ref="F216:G216"/>
    <mergeCell ref="F217:G217"/>
    <mergeCell ref="F225:G225"/>
    <mergeCell ref="A226:G226"/>
    <mergeCell ref="F218:G218"/>
    <mergeCell ref="F219:G219"/>
    <mergeCell ref="F220:G220"/>
    <mergeCell ref="F221:G221"/>
    <mergeCell ref="F222:G222"/>
    <mergeCell ref="F223:G223"/>
    <mergeCell ref="F224:G224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A238:G238"/>
    <mergeCell ref="F239:G239"/>
    <mergeCell ref="F240:G240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28</v>
      </c>
      <c r="B1" s="1"/>
      <c r="C1" s="3"/>
      <c r="D1" s="4"/>
      <c r="E1" s="5"/>
      <c r="F1" s="5"/>
      <c r="G1" s="6"/>
      <c r="H1" s="7"/>
      <c r="I1" s="1"/>
      <c r="J1" s="5"/>
      <c r="K1" s="5"/>
      <c r="L1" s="5"/>
      <c r="M1" s="1"/>
      <c r="N1" s="6"/>
      <c r="O1" s="1"/>
      <c r="P1" s="1"/>
      <c r="Q1" s="5"/>
      <c r="R1" s="5"/>
      <c r="S1" s="5"/>
      <c r="T1" s="5"/>
      <c r="U1" s="6"/>
      <c r="V1" s="1"/>
      <c r="W1" s="1"/>
      <c r="X1" s="5"/>
      <c r="Y1" s="5"/>
      <c r="Z1" s="5"/>
      <c r="AA1" s="5"/>
      <c r="AB1" s="5"/>
      <c r="AC1" s="5"/>
    </row>
    <row r="2" ht="15.75" customHeight="1">
      <c r="A2" s="12"/>
      <c r="B2" s="12"/>
      <c r="C2" s="12"/>
      <c r="D2" s="12"/>
      <c r="H2" s="12"/>
      <c r="I2" s="12"/>
      <c r="J2" s="12"/>
      <c r="K2" s="12"/>
      <c r="O2" s="12"/>
      <c r="P2" s="12"/>
      <c r="Q2" s="12"/>
      <c r="R2" s="12"/>
      <c r="V2" s="12"/>
      <c r="W2" s="12"/>
      <c r="X2" s="12"/>
      <c r="Y2" s="12"/>
      <c r="AC2" s="12"/>
    </row>
    <row r="3" ht="15.75" customHeight="1">
      <c r="A3" s="2" t="s">
        <v>5</v>
      </c>
      <c r="B3" s="20"/>
      <c r="C3" s="27">
        <f>macro!J6</f>
        <v>46352</v>
      </c>
      <c r="H3" s="29"/>
      <c r="I3" s="20"/>
      <c r="J3" s="4">
        <f>C3+7</f>
        <v>46359</v>
      </c>
      <c r="O3" s="29"/>
      <c r="P3" s="20"/>
      <c r="Q3" s="27">
        <f>J3+7</f>
        <v>46366</v>
      </c>
      <c r="V3" s="29"/>
      <c r="W3" s="20"/>
      <c r="X3" s="27">
        <f>Q3+7</f>
        <v>46373</v>
      </c>
      <c r="AC3" s="12"/>
    </row>
    <row r="4" ht="15.75" customHeight="1">
      <c r="A4" s="2"/>
      <c r="B4" s="2"/>
      <c r="C4" s="5" t="s">
        <v>13</v>
      </c>
      <c r="D4" s="5" t="s">
        <v>16</v>
      </c>
      <c r="E4" s="5" t="s">
        <v>15</v>
      </c>
      <c r="F4" s="5" t="s">
        <v>17</v>
      </c>
      <c r="G4" s="5" t="s">
        <v>11</v>
      </c>
      <c r="H4" s="29"/>
      <c r="I4" s="2"/>
      <c r="J4" s="5" t="s">
        <v>13</v>
      </c>
      <c r="K4" s="5" t="s">
        <v>16</v>
      </c>
      <c r="L4" s="5" t="s">
        <v>15</v>
      </c>
      <c r="M4" s="5" t="s">
        <v>17</v>
      </c>
      <c r="N4" s="5" t="s">
        <v>11</v>
      </c>
      <c r="O4" s="29"/>
      <c r="P4" s="2"/>
      <c r="Q4" s="5" t="s">
        <v>13</v>
      </c>
      <c r="R4" s="5" t="s">
        <v>16</v>
      </c>
      <c r="S4" s="5" t="s">
        <v>15</v>
      </c>
      <c r="T4" s="5" t="s">
        <v>17</v>
      </c>
      <c r="U4" s="5" t="s">
        <v>11</v>
      </c>
      <c r="V4" s="29"/>
      <c r="W4" s="2"/>
      <c r="X4" s="5" t="s">
        <v>13</v>
      </c>
      <c r="Y4" s="5" t="s">
        <v>16</v>
      </c>
      <c r="Z4" s="5" t="s">
        <v>15</v>
      </c>
      <c r="AA4" s="5" t="s">
        <v>17</v>
      </c>
      <c r="AB4" s="5" t="s">
        <v>11</v>
      </c>
      <c r="AC4" s="29"/>
    </row>
    <row r="5" ht="15.75" customHeight="1">
      <c r="A5" s="2"/>
      <c r="B5" s="2" t="s">
        <v>18</v>
      </c>
      <c r="C5" s="38"/>
      <c r="D5" s="5"/>
      <c r="E5" s="5"/>
      <c r="F5" s="5" t="s">
        <v>19</v>
      </c>
      <c r="G5" s="5"/>
      <c r="H5" s="29"/>
      <c r="I5" s="2" t="s">
        <v>18</v>
      </c>
      <c r="J5" s="38"/>
      <c r="K5" s="5"/>
      <c r="L5" s="5"/>
      <c r="M5" s="5" t="s">
        <v>19</v>
      </c>
      <c r="N5" s="5"/>
      <c r="O5" s="29"/>
      <c r="P5" s="2" t="s">
        <v>18</v>
      </c>
      <c r="Q5" s="38"/>
      <c r="R5" s="5"/>
      <c r="S5" s="5"/>
      <c r="T5" s="5" t="s">
        <v>19</v>
      </c>
      <c r="U5" s="5"/>
      <c r="V5" s="29"/>
      <c r="W5" s="2" t="s">
        <v>18</v>
      </c>
      <c r="X5" s="38"/>
      <c r="Y5" s="5"/>
      <c r="Z5" s="5"/>
      <c r="AA5" s="5" t="s">
        <v>19</v>
      </c>
      <c r="AB5" s="5"/>
      <c r="AC5" s="29"/>
    </row>
    <row r="6" ht="15.75" customHeight="1">
      <c r="A6" s="41"/>
      <c r="B6" s="42"/>
      <c r="C6" s="43"/>
      <c r="D6" s="43"/>
      <c r="E6" s="44"/>
      <c r="F6" s="46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prs!$A$30:$D$36,
4,
FALSE
)
,"""")"),"")</f>
        <v/>
      </c>
      <c r="G6" s="46"/>
      <c r="H6" s="47"/>
      <c r="I6" s="42"/>
      <c r="J6" s="43"/>
      <c r="K6" s="43"/>
      <c r="L6" s="44"/>
      <c r="M6" s="46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prs!$A$30:$D$36,
4,
FALSE
)
,"""")"),"")</f>
        <v/>
      </c>
      <c r="N6" s="46"/>
      <c r="O6" s="49"/>
      <c r="P6" s="42"/>
      <c r="Q6" s="43"/>
      <c r="R6" s="43"/>
      <c r="S6" s="44"/>
      <c r="T6" s="46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prs!$A$30:$D$36,
4,
FALSE
)
,"""")"),"")</f>
        <v/>
      </c>
      <c r="U6" s="46"/>
      <c r="V6" s="49"/>
      <c r="W6" s="42"/>
      <c r="X6" s="43"/>
      <c r="Y6" s="43"/>
      <c r="Z6" s="44"/>
      <c r="AA6" s="46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prs!$A$30:$D$36,
4,
FALSE
)
,"""")"),"")</f>
        <v/>
      </c>
      <c r="AB6" s="46"/>
      <c r="AC6" s="41"/>
    </row>
    <row r="7" ht="15.75" customHeight="1">
      <c r="A7" s="41"/>
      <c r="B7" s="42"/>
      <c r="C7" s="43"/>
      <c r="D7" s="43"/>
      <c r="E7" s="44"/>
      <c r="F7" s="46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prs!$A$30:$D$36,
4,
FALSE
)
,"""")"),"")</f>
        <v/>
      </c>
      <c r="G7" s="46"/>
      <c r="H7" s="47"/>
      <c r="I7" s="42"/>
      <c r="J7" s="43"/>
      <c r="K7" s="43"/>
      <c r="L7" s="44"/>
      <c r="M7" s="46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prs!$A$30:$D$36,
4,
FALSE
)
,"""")"),"")</f>
        <v/>
      </c>
      <c r="N7" s="46"/>
      <c r="O7" s="49"/>
      <c r="P7" s="42"/>
      <c r="Q7" s="43"/>
      <c r="R7" s="43"/>
      <c r="S7" s="44"/>
      <c r="T7" s="46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prs!$A$30:$D$36,
4,
FALSE
)
,"""")"),"")</f>
        <v/>
      </c>
      <c r="U7" s="46"/>
      <c r="V7" s="49"/>
      <c r="W7" s="42"/>
      <c r="X7" s="43"/>
      <c r="Y7" s="43"/>
      <c r="Z7" s="44"/>
      <c r="AA7" s="46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prs!$A$30:$D$36,
4,
FALSE
)
,"""")"),"")</f>
        <v/>
      </c>
      <c r="AB7" s="46"/>
      <c r="AC7" s="41"/>
    </row>
    <row r="8" ht="15.75" customHeight="1">
      <c r="A8" s="41"/>
      <c r="B8" s="42"/>
      <c r="C8" s="43"/>
      <c r="D8" s="43"/>
      <c r="E8" s="44"/>
      <c r="F8" s="46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prs!$A$30:$D$36,
4,
FALSE
)
,"""")"),"")</f>
        <v/>
      </c>
      <c r="G8" s="46"/>
      <c r="H8" s="47"/>
      <c r="I8" s="42"/>
      <c r="J8" s="43"/>
      <c r="K8" s="43"/>
      <c r="L8" s="44"/>
      <c r="M8" s="46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prs!$A$30:$D$36,
4,
FALSE
)
,"""")"),"")</f>
        <v/>
      </c>
      <c r="N8" s="46"/>
      <c r="O8" s="49"/>
      <c r="P8" s="42"/>
      <c r="Q8" s="43"/>
      <c r="R8" s="43"/>
      <c r="S8" s="44"/>
      <c r="T8" s="46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prs!$A$30:$D$36,
4,
FALSE
)
,"""")"),"")</f>
        <v/>
      </c>
      <c r="U8" s="46"/>
      <c r="V8" s="49"/>
      <c r="W8" s="42"/>
      <c r="X8" s="43"/>
      <c r="Y8" s="43"/>
      <c r="Z8" s="44"/>
      <c r="AA8" s="46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prs!$A$30:$D$36,
4,
FALSE
)
,"""")"),"")</f>
        <v/>
      </c>
      <c r="AB8" s="46"/>
      <c r="AC8" s="41"/>
    </row>
    <row r="9" ht="15.75" customHeight="1">
      <c r="A9" s="41"/>
      <c r="B9" s="42"/>
      <c r="C9" s="50"/>
      <c r="D9" s="50"/>
      <c r="E9" s="51"/>
      <c r="F9" s="46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prs!$A$30:$D$36,
4,
FALSE
)
,"""")"),"")</f>
        <v/>
      </c>
      <c r="G9" s="46"/>
      <c r="H9" s="47"/>
      <c r="I9" s="42"/>
      <c r="J9" s="50"/>
      <c r="K9" s="50"/>
      <c r="L9" s="51"/>
      <c r="M9" s="46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prs!$A$30:$D$36,
4,
FALSE
)
,"""")"),"")</f>
        <v/>
      </c>
      <c r="N9" s="46"/>
      <c r="O9" s="49"/>
      <c r="P9" s="42"/>
      <c r="Q9" s="50"/>
      <c r="R9" s="50"/>
      <c r="S9" s="51"/>
      <c r="T9" s="46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prs!$A$30:$D$36,
4,
FALSE
)
,"""")"),"")</f>
        <v/>
      </c>
      <c r="U9" s="46"/>
      <c r="V9" s="49"/>
      <c r="W9" s="42"/>
      <c r="X9" s="50"/>
      <c r="Y9" s="50"/>
      <c r="Z9" s="51"/>
      <c r="AA9" s="46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prs!$A$30:$D$36,
4,
FALSE
)
,"""")"),"")</f>
        <v/>
      </c>
      <c r="AB9" s="46"/>
      <c r="AC9" s="41"/>
    </row>
    <row r="10" ht="15.75" customHeight="1">
      <c r="A10" s="41"/>
      <c r="B10" s="42"/>
      <c r="C10" s="50"/>
      <c r="D10" s="50"/>
      <c r="E10" s="51"/>
      <c r="F10" s="46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prs!$A$30:$D$36,
4,
FALSE
)
,"""")"),"")</f>
        <v/>
      </c>
      <c r="G10" s="46"/>
      <c r="H10" s="47"/>
      <c r="I10" s="42"/>
      <c r="J10" s="50"/>
      <c r="K10" s="50"/>
      <c r="L10" s="51"/>
      <c r="M10" s="46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prs!$A$30:$D$36,
4,
FALSE
)
,"""")"),"")</f>
        <v/>
      </c>
      <c r="N10" s="46"/>
      <c r="O10" s="49"/>
      <c r="P10" s="42"/>
      <c r="Q10" s="50"/>
      <c r="R10" s="50"/>
      <c r="S10" s="51"/>
      <c r="T10" s="46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prs!$A$30:$D$36,
4,
FALSE
)
,"""")"),"")</f>
        <v/>
      </c>
      <c r="U10" s="46"/>
      <c r="V10" s="49"/>
      <c r="W10" s="42"/>
      <c r="X10" s="50"/>
      <c r="Y10" s="50"/>
      <c r="Z10" s="51"/>
      <c r="AA10" s="46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prs!$A$30:$D$36,
4,
FALSE
)
,"""")"),"")</f>
        <v/>
      </c>
      <c r="AB10" s="46"/>
      <c r="AC10" s="41"/>
    </row>
    <row r="11" ht="15.75" customHeight="1">
      <c r="A11" s="41"/>
      <c r="B11" s="42"/>
      <c r="C11" s="50"/>
      <c r="D11" s="50"/>
      <c r="E11" s="51"/>
      <c r="F11" s="46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prs!$A$30:$D$36,
4,
FALSE
)
,"""")"),"")</f>
        <v/>
      </c>
      <c r="G11" s="46"/>
      <c r="H11" s="47"/>
      <c r="I11" s="42"/>
      <c r="J11" s="50"/>
      <c r="K11" s="50"/>
      <c r="L11" s="51"/>
      <c r="M11" s="46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prs!$A$30:$D$36,
4,
FALSE
)
,"""")"),"")</f>
        <v/>
      </c>
      <c r="N11" s="46"/>
      <c r="O11" s="49"/>
      <c r="P11" s="42"/>
      <c r="Q11" s="50"/>
      <c r="R11" s="50"/>
      <c r="S11" s="51"/>
      <c r="T11" s="46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prs!$A$30:$D$36,
4,
FALSE
)
,"""")"),"")</f>
        <v/>
      </c>
      <c r="U11" s="46"/>
      <c r="V11" s="49"/>
      <c r="W11" s="42"/>
      <c r="X11" s="50"/>
      <c r="Y11" s="50"/>
      <c r="Z11" s="51"/>
      <c r="AA11" s="46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prs!$A$30:$D$36,
4,
FALSE
)
,"""")"),"")</f>
        <v/>
      </c>
      <c r="AB11" s="46"/>
      <c r="AC11" s="41"/>
    </row>
    <row r="12" ht="15.75" customHeight="1">
      <c r="A12" s="41"/>
      <c r="B12" s="42"/>
      <c r="C12" s="50"/>
      <c r="D12" s="50"/>
      <c r="E12" s="51"/>
      <c r="F12" s="46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prs!$A$30:$D$36,
4,
FALSE
)
,"""")"),"")</f>
        <v/>
      </c>
      <c r="G12" s="46"/>
      <c r="H12" s="47"/>
      <c r="I12" s="42"/>
      <c r="J12" s="50"/>
      <c r="K12" s="50"/>
      <c r="L12" s="51"/>
      <c r="M12" s="46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prs!$A$30:$D$36,
4,
FALSE
)
,"""")"),"")</f>
        <v/>
      </c>
      <c r="N12" s="46"/>
      <c r="O12" s="49"/>
      <c r="P12" s="42"/>
      <c r="Q12" s="50"/>
      <c r="R12" s="50"/>
      <c r="S12" s="51"/>
      <c r="T12" s="46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prs!$A$30:$D$36,
4,
FALSE
)
,"""")"),"")</f>
        <v/>
      </c>
      <c r="U12" s="46"/>
      <c r="V12" s="49"/>
      <c r="W12" s="42"/>
      <c r="X12" s="50"/>
      <c r="Y12" s="50"/>
      <c r="Z12" s="51"/>
      <c r="AA12" s="46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prs!$A$30:$D$36,
4,
FALSE
)
,"""")"),"")</f>
        <v/>
      </c>
      <c r="AB12" s="46"/>
      <c r="AC12" s="41"/>
    </row>
    <row r="13" ht="15.75" customHeight="1">
      <c r="A13" s="41"/>
      <c r="B13" s="42"/>
      <c r="C13" s="50"/>
      <c r="D13" s="50"/>
      <c r="E13" s="51"/>
      <c r="F13" s="46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prs!$A$30:$D$36,
4,
FALSE
)
,"""")"),"")</f>
        <v/>
      </c>
      <c r="G13" s="46"/>
      <c r="H13" s="47"/>
      <c r="I13" s="42"/>
      <c r="J13" s="50"/>
      <c r="K13" s="50"/>
      <c r="L13" s="51"/>
      <c r="M13" s="46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prs!$A$30:$D$36,
4,
FALSE
)
,"""")"),"")</f>
        <v/>
      </c>
      <c r="N13" s="46"/>
      <c r="O13" s="49"/>
      <c r="P13" s="42"/>
      <c r="Q13" s="50"/>
      <c r="R13" s="50"/>
      <c r="S13" s="51"/>
      <c r="T13" s="46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prs!$A$30:$D$36,
4,
FALSE
)
,"""")"),"")</f>
        <v/>
      </c>
      <c r="U13" s="46"/>
      <c r="V13" s="49"/>
      <c r="W13" s="42"/>
      <c r="X13" s="50"/>
      <c r="Y13" s="50"/>
      <c r="Z13" s="51"/>
      <c r="AA13" s="46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prs!$A$30:$D$36,
4,
FALSE
)
,"""")"),"")</f>
        <v/>
      </c>
      <c r="AB13" s="46"/>
      <c r="AC13" s="41"/>
    </row>
    <row r="14" ht="15.75" customHeight="1">
      <c r="A14" s="41"/>
      <c r="B14" s="42"/>
      <c r="C14" s="50"/>
      <c r="D14" s="50"/>
      <c r="E14" s="51"/>
      <c r="F14" s="46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prs!$A$30:$D$36,
4,
FALSE
)
,"""")"),"")</f>
        <v/>
      </c>
      <c r="G14" s="46"/>
      <c r="H14" s="47"/>
      <c r="I14" s="42"/>
      <c r="J14" s="50"/>
      <c r="K14" s="50"/>
      <c r="L14" s="51"/>
      <c r="M14" s="46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prs!$A$30:$D$36,
4,
FALSE
)
,"""")"),"")</f>
        <v/>
      </c>
      <c r="N14" s="46"/>
      <c r="O14" s="49"/>
      <c r="P14" s="42"/>
      <c r="Q14" s="50"/>
      <c r="R14" s="50"/>
      <c r="S14" s="51"/>
      <c r="T14" s="46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prs!$A$30:$D$36,
4,
FALSE
)
,"""")"),"")</f>
        <v/>
      </c>
      <c r="U14" s="46"/>
      <c r="V14" s="49"/>
      <c r="W14" s="42"/>
      <c r="X14" s="50"/>
      <c r="Y14" s="50"/>
      <c r="Z14" s="51"/>
      <c r="AA14" s="46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prs!$A$30:$D$36,
4,
FALSE
)
,"""")"),"")</f>
        <v/>
      </c>
      <c r="AB14" s="46"/>
      <c r="AC14" s="41"/>
    </row>
    <row r="15" ht="15.75" customHeight="1">
      <c r="A15" s="41"/>
      <c r="B15" s="42"/>
      <c r="C15" s="50"/>
      <c r="D15" s="50"/>
      <c r="E15" s="51"/>
      <c r="F15" s="46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prs!$A$30:$D$36,
4,
FALSE
)
,"""")"),"")</f>
        <v/>
      </c>
      <c r="G15" s="46"/>
      <c r="H15" s="47"/>
      <c r="I15" s="42"/>
      <c r="J15" s="50"/>
      <c r="K15" s="50"/>
      <c r="L15" s="51"/>
      <c r="M15" s="46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prs!$A$30:$D$36,
4,
FALSE
)
,"""")"),"")</f>
        <v/>
      </c>
      <c r="N15" s="46"/>
      <c r="O15" s="49"/>
      <c r="P15" s="42"/>
      <c r="Q15" s="50"/>
      <c r="R15" s="50"/>
      <c r="S15" s="51"/>
      <c r="T15" s="46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prs!$A$30:$D$36,
4,
FALSE
)
,"""")"),"")</f>
        <v/>
      </c>
      <c r="U15" s="46"/>
      <c r="V15" s="49"/>
      <c r="W15" s="42"/>
      <c r="X15" s="50"/>
      <c r="Y15" s="50"/>
      <c r="Z15" s="51"/>
      <c r="AA15" s="46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prs!$A$30:$D$36,
4,
FALSE
)
,"""")"),"")</f>
        <v/>
      </c>
      <c r="AB15" s="46"/>
      <c r="AC15" s="41"/>
    </row>
    <row r="16" ht="15.75" customHeight="1">
      <c r="A16" s="31"/>
      <c r="B16" s="52"/>
      <c r="C16" s="32" t="s">
        <v>20</v>
      </c>
      <c r="H16" s="29"/>
      <c r="I16" s="52"/>
      <c r="J16" s="32" t="s">
        <v>23</v>
      </c>
      <c r="O16" s="29"/>
      <c r="P16" s="52"/>
      <c r="Q16" s="32" t="s">
        <v>24</v>
      </c>
      <c r="V16" s="29"/>
      <c r="W16" s="52"/>
      <c r="X16" s="32" t="s">
        <v>25</v>
      </c>
      <c r="AC16" s="29"/>
    </row>
    <row r="17" ht="15.75" customHeight="1">
      <c r="A17" s="47"/>
      <c r="B17" s="47"/>
      <c r="C17" s="47"/>
      <c r="D17" s="47"/>
      <c r="H17" s="47"/>
      <c r="I17" s="47"/>
      <c r="J17" s="47"/>
      <c r="K17" s="47"/>
      <c r="O17" s="47"/>
      <c r="P17" s="47"/>
      <c r="Q17" s="47"/>
      <c r="R17" s="47"/>
      <c r="V17" s="47"/>
      <c r="W17" s="47"/>
      <c r="X17" s="47"/>
      <c r="Y17" s="47"/>
      <c r="AC17" s="47"/>
    </row>
    <row r="18" ht="15.75" customHeight="1">
      <c r="A18" s="31" t="s">
        <v>22</v>
      </c>
      <c r="B18" s="20"/>
      <c r="C18" s="27"/>
      <c r="H18" s="29"/>
      <c r="I18" s="20"/>
      <c r="J18" s="4"/>
      <c r="O18" s="29"/>
      <c r="P18" s="20"/>
      <c r="Q18" s="27"/>
      <c r="V18" s="29"/>
      <c r="W18" s="20"/>
      <c r="X18" s="27"/>
      <c r="AC18" s="47"/>
    </row>
    <row r="19" ht="15.75" customHeight="1">
      <c r="A19" s="31"/>
      <c r="B19" s="52"/>
      <c r="C19" s="5" t="s">
        <v>13</v>
      </c>
      <c r="D19" s="5" t="s">
        <v>16</v>
      </c>
      <c r="E19" s="5" t="s">
        <v>15</v>
      </c>
      <c r="F19" s="5" t="s">
        <v>17</v>
      </c>
      <c r="G19" s="5" t="s">
        <v>11</v>
      </c>
      <c r="H19" s="29"/>
      <c r="I19" s="52"/>
      <c r="J19" s="5" t="s">
        <v>13</v>
      </c>
      <c r="K19" s="5" t="s">
        <v>16</v>
      </c>
      <c r="L19" s="5" t="s">
        <v>15</v>
      </c>
      <c r="M19" s="5" t="s">
        <v>17</v>
      </c>
      <c r="N19" s="5" t="s">
        <v>11</v>
      </c>
      <c r="O19" s="29"/>
      <c r="P19" s="52"/>
      <c r="Q19" s="5" t="s">
        <v>13</v>
      </c>
      <c r="R19" s="5" t="s">
        <v>16</v>
      </c>
      <c r="S19" s="5" t="s">
        <v>15</v>
      </c>
      <c r="T19" s="5" t="s">
        <v>17</v>
      </c>
      <c r="U19" s="5" t="s">
        <v>11</v>
      </c>
      <c r="V19" s="29"/>
      <c r="W19" s="52"/>
      <c r="X19" s="5" t="s">
        <v>13</v>
      </c>
      <c r="Y19" s="5" t="s">
        <v>16</v>
      </c>
      <c r="Z19" s="5" t="s">
        <v>15</v>
      </c>
      <c r="AA19" s="5" t="s">
        <v>17</v>
      </c>
      <c r="AB19" s="5" t="s">
        <v>11</v>
      </c>
      <c r="AC19" s="47"/>
    </row>
    <row r="20" ht="15.75" customHeight="1">
      <c r="A20" s="2"/>
      <c r="B20" s="2" t="s">
        <v>18</v>
      </c>
      <c r="C20" s="38"/>
      <c r="D20" s="5"/>
      <c r="E20" s="5"/>
      <c r="F20" s="5" t="s">
        <v>19</v>
      </c>
      <c r="G20" s="5"/>
      <c r="H20" s="29"/>
      <c r="I20" s="2" t="s">
        <v>18</v>
      </c>
      <c r="J20" s="38"/>
      <c r="K20" s="5"/>
      <c r="L20" s="5"/>
      <c r="M20" s="5" t="s">
        <v>19</v>
      </c>
      <c r="N20" s="5"/>
      <c r="O20" s="29"/>
      <c r="P20" s="2" t="s">
        <v>18</v>
      </c>
      <c r="Q20" s="38"/>
      <c r="R20" s="5"/>
      <c r="S20" s="5"/>
      <c r="T20" s="5" t="s">
        <v>19</v>
      </c>
      <c r="U20" s="5"/>
      <c r="V20" s="29"/>
      <c r="W20" s="2" t="s">
        <v>18</v>
      </c>
      <c r="X20" s="38"/>
      <c r="Y20" s="5"/>
      <c r="Z20" s="5"/>
      <c r="AA20" s="5" t="s">
        <v>19</v>
      </c>
      <c r="AB20" s="5"/>
      <c r="AC20" s="47"/>
    </row>
    <row r="21" ht="15.75" customHeight="1">
      <c r="A21" s="49"/>
      <c r="B21" s="53"/>
      <c r="C21" s="43"/>
      <c r="D21" s="43"/>
      <c r="E21" s="44"/>
      <c r="F21" s="46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prs!$A$30:$D$36,
4,
FALSE
)
,"""")"),"")</f>
        <v/>
      </c>
      <c r="G21" s="46"/>
      <c r="H21" s="47"/>
      <c r="I21" s="53"/>
      <c r="J21" s="43"/>
      <c r="K21" s="43"/>
      <c r="L21" s="44"/>
      <c r="M21" s="46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prs!$A$30:$D$36,
4,
FALSE
)
,"""")"),"")</f>
        <v/>
      </c>
      <c r="N21" s="46"/>
      <c r="O21" s="49"/>
      <c r="P21" s="53"/>
      <c r="Q21" s="43"/>
      <c r="R21" s="43"/>
      <c r="S21" s="44"/>
      <c r="T21" s="46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prs!$A$30:$D$36,
4,
FALSE
)
,"""")"),"")</f>
        <v/>
      </c>
      <c r="U21" s="46"/>
      <c r="V21" s="49"/>
      <c r="W21" s="53"/>
      <c r="X21" s="43"/>
      <c r="Y21" s="43"/>
      <c r="Z21" s="44"/>
      <c r="AA21" s="46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prs!$A$30:$D$36,
4,
FALSE
)
,"""")"),"")</f>
        <v/>
      </c>
      <c r="AB21" s="46"/>
      <c r="AC21" s="49"/>
    </row>
    <row r="22" ht="15.75" customHeight="1">
      <c r="A22" s="49"/>
      <c r="B22" s="53"/>
      <c r="C22" s="43"/>
      <c r="D22" s="43"/>
      <c r="E22" s="44"/>
      <c r="F22" s="46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prs!$A$30:$D$36,
4,
FALSE
)
,"""")"),"")</f>
        <v/>
      </c>
      <c r="G22" s="46"/>
      <c r="H22" s="47"/>
      <c r="I22" s="53"/>
      <c r="J22" s="43"/>
      <c r="K22" s="43"/>
      <c r="L22" s="44"/>
      <c r="M22" s="46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prs!$A$30:$D$36,
4,
FALSE
)
,"""")"),"")</f>
        <v/>
      </c>
      <c r="N22" s="46"/>
      <c r="O22" s="49"/>
      <c r="P22" s="53"/>
      <c r="Q22" s="43"/>
      <c r="R22" s="43"/>
      <c r="S22" s="44"/>
      <c r="T22" s="46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prs!$A$30:$D$36,
4,
FALSE
)
,"""")"),"")</f>
        <v/>
      </c>
      <c r="U22" s="46"/>
      <c r="V22" s="49"/>
      <c r="W22" s="53"/>
      <c r="X22" s="43"/>
      <c r="Y22" s="43"/>
      <c r="Z22" s="44"/>
      <c r="AA22" s="46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prs!$A$30:$D$36,
4,
FALSE
)
,"""")"),"")</f>
        <v/>
      </c>
      <c r="AB22" s="46"/>
      <c r="AC22" s="49"/>
    </row>
    <row r="23" ht="15.75" customHeight="1">
      <c r="A23" s="49"/>
      <c r="B23" s="53"/>
      <c r="C23" s="43"/>
      <c r="D23" s="43"/>
      <c r="E23" s="44"/>
      <c r="F23" s="46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prs!$A$30:$D$36,
4,
FALSE
)
,"""")"),"")</f>
        <v/>
      </c>
      <c r="G23" s="46"/>
      <c r="H23" s="47"/>
      <c r="I23" s="53"/>
      <c r="J23" s="43"/>
      <c r="K23" s="43"/>
      <c r="L23" s="44"/>
      <c r="M23" s="46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prs!$A$30:$D$36,
4,
FALSE
)
,"""")"),"")</f>
        <v/>
      </c>
      <c r="N23" s="46"/>
      <c r="O23" s="49"/>
      <c r="P23" s="53"/>
      <c r="Q23" s="43"/>
      <c r="R23" s="43"/>
      <c r="S23" s="44"/>
      <c r="T23" s="46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prs!$A$30:$D$36,
4,
FALSE
)
,"""")"),"")</f>
        <v/>
      </c>
      <c r="U23" s="46"/>
      <c r="V23" s="49"/>
      <c r="W23" s="53"/>
      <c r="X23" s="43"/>
      <c r="Y23" s="43"/>
      <c r="Z23" s="44"/>
      <c r="AA23" s="46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prs!$A$30:$D$36,
4,
FALSE
)
,"""")"),"")</f>
        <v/>
      </c>
      <c r="AB23" s="46"/>
      <c r="AC23" s="49"/>
    </row>
    <row r="24" ht="15.75" customHeight="1">
      <c r="A24" s="49"/>
      <c r="B24" s="53"/>
      <c r="C24" s="50"/>
      <c r="D24" s="50"/>
      <c r="E24" s="51"/>
      <c r="F24" s="46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prs!$A$30:$D$36,
4,
FALSE
)
,"""")"),"")</f>
        <v/>
      </c>
      <c r="G24" s="46"/>
      <c r="H24" s="47"/>
      <c r="I24" s="53"/>
      <c r="J24" s="50"/>
      <c r="K24" s="50"/>
      <c r="L24" s="51"/>
      <c r="M24" s="46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prs!$A$30:$D$36,
4,
FALSE
)
,"""")"),"")</f>
        <v/>
      </c>
      <c r="N24" s="46"/>
      <c r="O24" s="49"/>
      <c r="P24" s="53"/>
      <c r="Q24" s="50"/>
      <c r="R24" s="50"/>
      <c r="S24" s="51"/>
      <c r="T24" s="46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prs!$A$30:$D$36,
4,
FALSE
)
,"""")"),"")</f>
        <v/>
      </c>
      <c r="U24" s="46"/>
      <c r="V24" s="49"/>
      <c r="W24" s="53"/>
      <c r="X24" s="50"/>
      <c r="Y24" s="50"/>
      <c r="Z24" s="51"/>
      <c r="AA24" s="46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prs!$A$30:$D$36,
4,
FALSE
)
,"""")"),"")</f>
        <v/>
      </c>
      <c r="AB24" s="46"/>
      <c r="AC24" s="49"/>
    </row>
    <row r="25" ht="15.75" customHeight="1">
      <c r="A25" s="49"/>
      <c r="B25" s="53"/>
      <c r="C25" s="50"/>
      <c r="D25" s="50"/>
      <c r="E25" s="51"/>
      <c r="F25" s="46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prs!$A$30:$D$36,
4,
FALSE
)
,"""")"),"")</f>
        <v/>
      </c>
      <c r="G25" s="46"/>
      <c r="H25" s="47"/>
      <c r="I25" s="53"/>
      <c r="J25" s="50"/>
      <c r="K25" s="50"/>
      <c r="L25" s="51"/>
      <c r="M25" s="46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prs!$A$30:$D$36,
4,
FALSE
)
,"""")"),"")</f>
        <v/>
      </c>
      <c r="N25" s="46"/>
      <c r="O25" s="49"/>
      <c r="P25" s="53"/>
      <c r="Q25" s="50"/>
      <c r="R25" s="50"/>
      <c r="S25" s="51"/>
      <c r="T25" s="46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prs!$A$30:$D$36,
4,
FALSE
)
,"""")"),"")</f>
        <v/>
      </c>
      <c r="U25" s="46"/>
      <c r="V25" s="49"/>
      <c r="W25" s="53"/>
      <c r="X25" s="50"/>
      <c r="Y25" s="50"/>
      <c r="Z25" s="51"/>
      <c r="AA25" s="46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prs!$A$30:$D$36,
4,
FALSE
)
,"""")"),"")</f>
        <v/>
      </c>
      <c r="AB25" s="46"/>
      <c r="AC25" s="49"/>
    </row>
    <row r="26" ht="15.75" customHeight="1">
      <c r="A26" s="49"/>
      <c r="B26" s="53"/>
      <c r="C26" s="50"/>
      <c r="D26" s="50"/>
      <c r="E26" s="51"/>
      <c r="F26" s="46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prs!$A$30:$D$36,
4,
FALSE
)
,"""")"),"")</f>
        <v/>
      </c>
      <c r="G26" s="46"/>
      <c r="H26" s="47"/>
      <c r="I26" s="53"/>
      <c r="J26" s="50"/>
      <c r="K26" s="50"/>
      <c r="L26" s="51"/>
      <c r="M26" s="46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prs!$A$30:$D$36,
4,
FALSE
)
,"""")"),"")</f>
        <v/>
      </c>
      <c r="N26" s="46"/>
      <c r="O26" s="49"/>
      <c r="P26" s="53"/>
      <c r="Q26" s="50"/>
      <c r="R26" s="50"/>
      <c r="S26" s="51"/>
      <c r="T26" s="46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prs!$A$30:$D$36,
4,
FALSE
)
,"""")"),"")</f>
        <v/>
      </c>
      <c r="U26" s="46"/>
      <c r="V26" s="49"/>
      <c r="W26" s="53"/>
      <c r="X26" s="50"/>
      <c r="Y26" s="50"/>
      <c r="Z26" s="51"/>
      <c r="AA26" s="46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prs!$A$30:$D$36,
4,
FALSE
)
,"""")"),"")</f>
        <v/>
      </c>
      <c r="AB26" s="46"/>
      <c r="AC26" s="49"/>
    </row>
    <row r="27" ht="15.75" customHeight="1">
      <c r="A27" s="49"/>
      <c r="B27" s="53"/>
      <c r="C27" s="50"/>
      <c r="D27" s="50"/>
      <c r="E27" s="51"/>
      <c r="F27" s="46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prs!$A$30:$D$36,
4,
FALSE
)
,"""")"),"")</f>
        <v/>
      </c>
      <c r="G27" s="46"/>
      <c r="H27" s="47"/>
      <c r="I27" s="53"/>
      <c r="J27" s="50"/>
      <c r="K27" s="50"/>
      <c r="L27" s="51"/>
      <c r="M27" s="46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prs!$A$30:$D$36,
4,
FALSE
)
,"""")"),"")</f>
        <v/>
      </c>
      <c r="N27" s="46"/>
      <c r="O27" s="49"/>
      <c r="P27" s="53"/>
      <c r="Q27" s="50"/>
      <c r="R27" s="50"/>
      <c r="S27" s="51"/>
      <c r="T27" s="46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prs!$A$30:$D$36,
4,
FALSE
)
,"""")"),"")</f>
        <v/>
      </c>
      <c r="U27" s="46"/>
      <c r="V27" s="49"/>
      <c r="W27" s="53"/>
      <c r="X27" s="50"/>
      <c r="Y27" s="50"/>
      <c r="Z27" s="51"/>
      <c r="AA27" s="46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prs!$A$30:$D$36,
4,
FALSE
)
,"""")"),"")</f>
        <v/>
      </c>
      <c r="AB27" s="46"/>
      <c r="AC27" s="49"/>
    </row>
    <row r="28" ht="15.75" customHeight="1">
      <c r="A28" s="49"/>
      <c r="B28" s="53"/>
      <c r="C28" s="50"/>
      <c r="D28" s="50"/>
      <c r="E28" s="51"/>
      <c r="F28" s="46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prs!$A$30:$D$36,
4,
FALSE
)
,"""")"),"")</f>
        <v/>
      </c>
      <c r="G28" s="46"/>
      <c r="H28" s="47"/>
      <c r="I28" s="53"/>
      <c r="J28" s="50"/>
      <c r="K28" s="50"/>
      <c r="L28" s="51"/>
      <c r="M28" s="46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prs!$A$30:$D$36,
4,
FALSE
)
,"""")"),"")</f>
        <v/>
      </c>
      <c r="N28" s="46"/>
      <c r="O28" s="49"/>
      <c r="P28" s="53"/>
      <c r="Q28" s="50"/>
      <c r="R28" s="50"/>
      <c r="S28" s="51"/>
      <c r="T28" s="46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prs!$A$30:$D$36,
4,
FALSE
)
,"""")"),"")</f>
        <v/>
      </c>
      <c r="U28" s="46"/>
      <c r="V28" s="49"/>
      <c r="W28" s="53"/>
      <c r="X28" s="50"/>
      <c r="Y28" s="50"/>
      <c r="Z28" s="51"/>
      <c r="AA28" s="46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prs!$A$30:$D$36,
4,
FALSE
)
,"""")"),"")</f>
        <v/>
      </c>
      <c r="AB28" s="46"/>
      <c r="AC28" s="49"/>
    </row>
    <row r="29" ht="15.75" customHeight="1">
      <c r="A29" s="49"/>
      <c r="B29" s="53"/>
      <c r="C29" s="50"/>
      <c r="D29" s="50"/>
      <c r="E29" s="51"/>
      <c r="F29" s="46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prs!$A$30:$D$36,
4,
FALSE
)
,"""")"),"")</f>
        <v/>
      </c>
      <c r="G29" s="46"/>
      <c r="H29" s="47"/>
      <c r="I29" s="53"/>
      <c r="J29" s="50"/>
      <c r="K29" s="50"/>
      <c r="L29" s="51"/>
      <c r="M29" s="46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prs!$A$30:$D$36,
4,
FALSE
)
,"""")"),"")</f>
        <v/>
      </c>
      <c r="N29" s="46"/>
      <c r="O29" s="49"/>
      <c r="P29" s="53"/>
      <c r="Q29" s="50"/>
      <c r="R29" s="50"/>
      <c r="S29" s="51"/>
      <c r="T29" s="46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prs!$A$30:$D$36,
4,
FALSE
)
,"""")"),"")</f>
        <v/>
      </c>
      <c r="U29" s="46"/>
      <c r="V29" s="49"/>
      <c r="W29" s="53"/>
      <c r="X29" s="50"/>
      <c r="Y29" s="50"/>
      <c r="Z29" s="51"/>
      <c r="AA29" s="46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prs!$A$30:$D$36,
4,
FALSE
)
,"""")"),"")</f>
        <v/>
      </c>
      <c r="AB29" s="46"/>
      <c r="AC29" s="49"/>
    </row>
    <row r="30" ht="15.75" customHeight="1">
      <c r="A30" s="49"/>
      <c r="B30" s="53"/>
      <c r="C30" s="50"/>
      <c r="D30" s="50"/>
      <c r="E30" s="51"/>
      <c r="F30" s="46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prs!$A$30:$D$36,
4,
FALSE
)
,"""")"),"")</f>
        <v/>
      </c>
      <c r="G30" s="46"/>
      <c r="H30" s="47"/>
      <c r="I30" s="53"/>
      <c r="J30" s="50"/>
      <c r="K30" s="50"/>
      <c r="L30" s="51"/>
      <c r="M30" s="46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prs!$A$30:$D$36,
4,
FALSE
)
,"""")"),"")</f>
        <v/>
      </c>
      <c r="N30" s="46"/>
      <c r="O30" s="49"/>
      <c r="P30" s="53"/>
      <c r="Q30" s="50"/>
      <c r="R30" s="50"/>
      <c r="S30" s="51"/>
      <c r="T30" s="46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prs!$A$30:$D$36,
4,
FALSE
)
,"""")"),"")</f>
        <v/>
      </c>
      <c r="U30" s="46"/>
      <c r="V30" s="49"/>
      <c r="W30" s="53"/>
      <c r="X30" s="50"/>
      <c r="Y30" s="50"/>
      <c r="Z30" s="51"/>
      <c r="AA30" s="46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prs!$A$30:$D$36,
4,
FALSE
)
,"""")"),"")</f>
        <v/>
      </c>
      <c r="AB30" s="46"/>
      <c r="AC30" s="49"/>
    </row>
    <row r="31" ht="15.75" customHeight="1">
      <c r="A31" s="52"/>
      <c r="B31" s="52"/>
      <c r="C31" s="32" t="s">
        <v>20</v>
      </c>
      <c r="H31" s="29"/>
      <c r="I31" s="52"/>
      <c r="J31" s="32" t="s">
        <v>23</v>
      </c>
      <c r="O31" s="29"/>
      <c r="P31" s="52"/>
      <c r="Q31" s="32" t="s">
        <v>24</v>
      </c>
      <c r="V31" s="29"/>
      <c r="W31" s="52"/>
      <c r="X31" s="32" t="s">
        <v>25</v>
      </c>
      <c r="AC31" s="47"/>
    </row>
    <row r="32" ht="15.75" customHeight="1">
      <c r="A32" s="12"/>
      <c r="B32" s="54"/>
      <c r="C32" s="12"/>
      <c r="D32" s="12"/>
      <c r="H32" s="12"/>
      <c r="I32" s="54"/>
      <c r="J32" s="12"/>
      <c r="K32" s="12"/>
      <c r="O32" s="12"/>
      <c r="P32" s="54"/>
      <c r="Q32" s="12"/>
      <c r="R32" s="12"/>
      <c r="V32" s="12"/>
      <c r="W32" s="54"/>
      <c r="X32" s="12"/>
      <c r="Y32" s="12"/>
      <c r="AC32" s="12"/>
    </row>
    <row r="33" ht="15.75" customHeight="1">
      <c r="A33" s="2" t="s">
        <v>26</v>
      </c>
      <c r="B33" s="20"/>
      <c r="C33" s="32"/>
      <c r="H33" s="29"/>
      <c r="I33" s="20"/>
      <c r="J33" s="32"/>
      <c r="O33" s="29"/>
      <c r="P33" s="20"/>
      <c r="Q33" s="32"/>
      <c r="V33" s="29"/>
      <c r="W33" s="20"/>
      <c r="X33" s="32"/>
      <c r="AC33" s="12"/>
    </row>
    <row r="34" ht="15.75" customHeight="1">
      <c r="A34" s="2"/>
      <c r="B34" s="2"/>
      <c r="C34" s="5" t="s">
        <v>13</v>
      </c>
      <c r="D34" s="5" t="s">
        <v>16</v>
      </c>
      <c r="E34" s="5" t="s">
        <v>15</v>
      </c>
      <c r="F34" s="5" t="s">
        <v>17</v>
      </c>
      <c r="G34" s="5" t="s">
        <v>11</v>
      </c>
      <c r="H34" s="29"/>
      <c r="I34" s="2"/>
      <c r="J34" s="5" t="s">
        <v>13</v>
      </c>
      <c r="K34" s="5" t="s">
        <v>16</v>
      </c>
      <c r="L34" s="5" t="s">
        <v>15</v>
      </c>
      <c r="M34" s="5" t="s">
        <v>17</v>
      </c>
      <c r="N34" s="5" t="s">
        <v>11</v>
      </c>
      <c r="O34" s="29"/>
      <c r="P34" s="2"/>
      <c r="Q34" s="5" t="s">
        <v>13</v>
      </c>
      <c r="R34" s="5" t="s">
        <v>16</v>
      </c>
      <c r="S34" s="5" t="s">
        <v>15</v>
      </c>
      <c r="T34" s="5" t="s">
        <v>17</v>
      </c>
      <c r="U34" s="5" t="s">
        <v>11</v>
      </c>
      <c r="V34" s="29"/>
      <c r="W34" s="2"/>
      <c r="X34" s="5" t="s">
        <v>13</v>
      </c>
      <c r="Y34" s="5" t="s">
        <v>16</v>
      </c>
      <c r="Z34" s="5" t="s">
        <v>15</v>
      </c>
      <c r="AA34" s="5" t="s">
        <v>17</v>
      </c>
      <c r="AB34" s="5" t="s">
        <v>11</v>
      </c>
      <c r="AC34" s="29"/>
    </row>
    <row r="35" ht="15.75" customHeight="1">
      <c r="A35" s="2"/>
      <c r="B35" s="2" t="s">
        <v>18</v>
      </c>
      <c r="C35" s="38"/>
      <c r="D35" s="5"/>
      <c r="E35" s="5"/>
      <c r="F35" s="5" t="s">
        <v>19</v>
      </c>
      <c r="G35" s="5"/>
      <c r="H35" s="29"/>
      <c r="I35" s="2" t="s">
        <v>18</v>
      </c>
      <c r="J35" s="38"/>
      <c r="K35" s="5"/>
      <c r="L35" s="5"/>
      <c r="M35" s="5" t="s">
        <v>19</v>
      </c>
      <c r="N35" s="5"/>
      <c r="O35" s="29"/>
      <c r="P35" s="2" t="s">
        <v>18</v>
      </c>
      <c r="Q35" s="38"/>
      <c r="R35" s="5"/>
      <c r="S35" s="5"/>
      <c r="T35" s="5" t="s">
        <v>19</v>
      </c>
      <c r="U35" s="5"/>
      <c r="V35" s="29"/>
      <c r="W35" s="2" t="s">
        <v>18</v>
      </c>
      <c r="X35" s="38"/>
      <c r="Y35" s="5"/>
      <c r="Z35" s="5"/>
      <c r="AA35" s="5" t="s">
        <v>19</v>
      </c>
      <c r="AB35" s="5"/>
      <c r="AC35" s="29"/>
    </row>
    <row r="36" ht="15.75" customHeight="1">
      <c r="A36" s="41"/>
      <c r="B36" s="42"/>
      <c r="C36" s="43"/>
      <c r="D36" s="43"/>
      <c r="E36" s="44"/>
      <c r="F36" s="46" t="str">
        <f>IFERROR(__xludf.DUMMYFUNCTION("IFERROR(
$E36/
VLOOKUP(
IF(
 REGEXMATCH($B36,""(?i)agachamento""),""Agachamento"",
 IF(
  REGEXMATCH($B36,""(?i)supino""),""Supino"",
  IF(
   REGEXMATCH($B36,""(?i)terra""),""Terra"",
   IF(
    REGEXMATCH($B36,""(?i)desenvolvimento""),""Desenvolvimento"&amp;""",
    IF(
     REGEXMATCH($B36,""(?i)remada""),""Remada"",
     IF(REGEXMATCH($B36,""(?i)arranco""),""Arranco"",IF(REGEXMATCH($B36,""(?i)arremesso""),""Arremesso"",""""))
    )
   )
  )
 )
),
prs!$A$30:$D$36,
4,
FALSE
)
,"""")"),"")</f>
        <v/>
      </c>
      <c r="G36" s="46"/>
      <c r="H36" s="47"/>
      <c r="I36" s="42"/>
      <c r="J36" s="43"/>
      <c r="K36" s="43"/>
      <c r="L36" s="44"/>
      <c r="M36" s="46" t="str">
        <f>IFERROR(__xludf.DUMMYFUNCTION("IFERROR(
$L36/
VLOOKUP(
IF(
 REGEXMATCH($I36,""(?i)agachamento""),""Agachamento"",
 IF(
  REGEXMATCH($I36,""(?i)supino""),""Supino"",
  IF(
   REGEXMATCH($I36,""(?i)terra""),""Terra"",
   IF(
    REGEXMATCH($I36,""(?i)desenvolvimento""),""Desenvolvimento"&amp;""",
    IF(
     REGEXMATCH($I36,""(?i)remada""),""Remada"",
     IF(REGEXMATCH($I36,""(?i)arranco""),""Arranco"",IF(REGEXMATCH($I36,""(?i)arremesso""),""Arremesso"",""""))
    )
   )
  )
 )
),
prs!$A$30:$D$36,
4,
FALSE
)
,"""")"),"")</f>
        <v/>
      </c>
      <c r="N36" s="46"/>
      <c r="O36" s="49"/>
      <c r="P36" s="42"/>
      <c r="Q36" s="43"/>
      <c r="R36" s="43"/>
      <c r="S36" s="44"/>
      <c r="T36" s="46" t="str">
        <f>IFERROR(__xludf.DUMMYFUNCTION("IFERROR(
$S36/
VLOOKUP(
IF(
 REGEXMATCH($P36,""(?i)agachamento""),""Agachamento"",
 IF(
  REGEXMATCH($P36,""(?i)supino""),""Supino"",
  IF(
   REGEXMATCH($P36,""(?i)terra""),""Terra"",
   IF(
    REGEXMATCH($P36,""(?i)desenvolvimento""),""Desenvolvimento"&amp;""",
    IF(
     REGEXMATCH($P36,""(?i)remada""),""Remada"",
     IF(REGEXMATCH($P36,""(?i)arranco""),""Arranco"",IF(REGEXMATCH($P36,""(?i)arremesso""),""Arremesso"",""""))
    )
   )
  )
 )
),
prs!$A$30:$D$36,
4,
FALSE
)
,"""")"),"")</f>
        <v/>
      </c>
      <c r="U36" s="46"/>
      <c r="V36" s="49"/>
      <c r="W36" s="42"/>
      <c r="X36" s="43"/>
      <c r="Y36" s="43"/>
      <c r="Z36" s="44"/>
      <c r="AA36" s="46" t="str">
        <f>IFERROR(__xludf.DUMMYFUNCTION("IFERROR(
$Z36/
VLOOKUP(
IF(
 REGEXMATCH($W36,""(?i)agachamento""),""Agachamento"",
 IF(
  REGEXMATCH($W36,""(?i)supino""),""Supino"",
  IF(
   REGEXMATCH($W36,""(?i)terra""),""Terra"",
   IF(
    REGEXMATCH($W36,""(?i)desenvolvimento""),""Desenvolvimento"&amp;""",
    IF(
     REGEXMATCH($W36,""(?i)remada""),""Remada"",
     IF(REGEXMATCH($W36,""(?i)arranco""),""Arranco"",IF(REGEXMATCH($W36,""(?i)arremesso""),""Arremesso"",""""))
    )
   )
  )
 )
),
prs!$A$30:$D$36,
4,
FALSE
)
,"""")"),"")</f>
        <v/>
      </c>
      <c r="AB36" s="46"/>
      <c r="AC36" s="41"/>
    </row>
    <row r="37" ht="15.75" customHeight="1">
      <c r="A37" s="41"/>
      <c r="B37" s="42"/>
      <c r="C37" s="43"/>
      <c r="D37" s="43"/>
      <c r="E37" s="44"/>
      <c r="F37" s="46" t="str">
        <f>IFERROR(__xludf.DUMMYFUNCTION("IFERROR(
$E37/
VLOOKUP(
IF(
 REGEXMATCH($B37,""(?i)agachamento""),""Agachamento"",
 IF(
  REGEXMATCH($B37,""(?i)supino""),""Supino"",
  IF(
   REGEXMATCH($B37,""(?i)terra""),""Terra"",
   IF(
    REGEXMATCH($B37,""(?i)desenvolvimento""),""Desenvolvimento"&amp;""",
    IF(
     REGEXMATCH($B37,""(?i)remada""),""Remada"",
     IF(REGEXMATCH($B37,""(?i)arranco""),""Arranco"",IF(REGEXMATCH($B37,""(?i)arremesso""),""Arremesso"",""""))
    )
   )
  )
 )
),
prs!$A$30:$D$36,
4,
FALSE
)
,"""")"),"")</f>
        <v/>
      </c>
      <c r="G37" s="46"/>
      <c r="H37" s="47"/>
      <c r="I37" s="42"/>
      <c r="J37" s="43"/>
      <c r="K37" s="43"/>
      <c r="L37" s="44"/>
      <c r="M37" s="46" t="str">
        <f>IFERROR(__xludf.DUMMYFUNCTION("IFERROR(
$L37/
VLOOKUP(
IF(
 REGEXMATCH($I37,""(?i)agachamento""),""Agachamento"",
 IF(
  REGEXMATCH($I37,""(?i)supino""),""Supino"",
  IF(
   REGEXMATCH($I37,""(?i)terra""),""Terra"",
   IF(
    REGEXMATCH($I37,""(?i)desenvolvimento""),""Desenvolvimento"&amp;""",
    IF(
     REGEXMATCH($I37,""(?i)remada""),""Remada"",
     IF(REGEXMATCH($I37,""(?i)arranco""),""Arranco"",IF(REGEXMATCH($I37,""(?i)arremesso""),""Arremesso"",""""))
    )
   )
  )
 )
),
prs!$A$30:$D$36,
4,
FALSE
)
,"""")"),"")</f>
        <v/>
      </c>
      <c r="N37" s="46"/>
      <c r="O37" s="49"/>
      <c r="P37" s="42"/>
      <c r="Q37" s="43"/>
      <c r="R37" s="43"/>
      <c r="S37" s="44"/>
      <c r="T37" s="46" t="str">
        <f>IFERROR(__xludf.DUMMYFUNCTION("IFERROR(
$S37/
VLOOKUP(
IF(
 REGEXMATCH($P37,""(?i)agachamento""),""Agachamento"",
 IF(
  REGEXMATCH($P37,""(?i)supino""),""Supino"",
  IF(
   REGEXMATCH($P37,""(?i)terra""),""Terra"",
   IF(
    REGEXMATCH($P37,""(?i)desenvolvimento""),""Desenvolvimento"&amp;""",
    IF(
     REGEXMATCH($P37,""(?i)remada""),""Remada"",
     IF(REGEXMATCH($P37,""(?i)arranco""),""Arranco"",IF(REGEXMATCH($P37,""(?i)arremesso""),""Arremesso"",""""))
    )
   )
  )
 )
),
prs!$A$30:$D$36,
4,
FALSE
)
,"""")"),"")</f>
        <v/>
      </c>
      <c r="U37" s="46"/>
      <c r="V37" s="49"/>
      <c r="W37" s="42"/>
      <c r="X37" s="43"/>
      <c r="Y37" s="43"/>
      <c r="Z37" s="44"/>
      <c r="AA37" s="46" t="str">
        <f>IFERROR(__xludf.DUMMYFUNCTION("IFERROR(
$Z37/
VLOOKUP(
IF(
 REGEXMATCH($W37,""(?i)agachamento""),""Agachamento"",
 IF(
  REGEXMATCH($W37,""(?i)supino""),""Supino"",
  IF(
   REGEXMATCH($W37,""(?i)terra""),""Terra"",
   IF(
    REGEXMATCH($W37,""(?i)desenvolvimento""),""Desenvolvimento"&amp;""",
    IF(
     REGEXMATCH($W37,""(?i)remada""),""Remada"",
     IF(REGEXMATCH($W37,""(?i)arranco""),""Arranco"",IF(REGEXMATCH($W37,""(?i)arremesso""),""Arremesso"",""""))
    )
   )
  )
 )
),
prs!$A$30:$D$36,
4,
FALSE
)
,"""")"),"")</f>
        <v/>
      </c>
      <c r="AB37" s="46"/>
      <c r="AC37" s="41"/>
    </row>
    <row r="38" ht="15.75" customHeight="1">
      <c r="A38" s="41"/>
      <c r="B38" s="42"/>
      <c r="C38" s="43"/>
      <c r="D38" s="43"/>
      <c r="E38" s="44"/>
      <c r="F38" s="46" t="str">
        <f>IFERROR(__xludf.DUMMYFUNCTION("IFERROR(
$E38/
VLOOKUP(
IF(
 REGEXMATCH($B38,""(?i)agachamento""),""Agachamento"",
 IF(
  REGEXMATCH($B38,""(?i)supino""),""Supino"",
  IF(
   REGEXMATCH($B38,""(?i)terra""),""Terra"",
   IF(
    REGEXMATCH($B38,""(?i)desenvolvimento""),""Desenvolvimento"&amp;""",
    IF(
     REGEXMATCH($B38,""(?i)remada""),""Remada"",
     IF(REGEXMATCH($B38,""(?i)arranco""),""Arranco"",IF(REGEXMATCH($B38,""(?i)arremesso""),""Arremesso"",""""))
    )
   )
  )
 )
),
prs!$A$30:$D$36,
4,
FALSE
)
,"""")"),"")</f>
        <v/>
      </c>
      <c r="G38" s="46"/>
      <c r="H38" s="47"/>
      <c r="I38" s="42"/>
      <c r="J38" s="43"/>
      <c r="K38" s="43"/>
      <c r="L38" s="44"/>
      <c r="M38" s="46" t="str">
        <f>IFERROR(__xludf.DUMMYFUNCTION("IFERROR(
$L38/
VLOOKUP(
IF(
 REGEXMATCH($I38,""(?i)agachamento""),""Agachamento"",
 IF(
  REGEXMATCH($I38,""(?i)supino""),""Supino"",
  IF(
   REGEXMATCH($I38,""(?i)terra""),""Terra"",
   IF(
    REGEXMATCH($I38,""(?i)desenvolvimento""),""Desenvolvimento"&amp;""",
    IF(
     REGEXMATCH($I38,""(?i)remada""),""Remada"",
     IF(REGEXMATCH($I38,""(?i)arranco""),""Arranco"",IF(REGEXMATCH($I38,""(?i)arremesso""),""Arremesso"",""""))
    )
   )
  )
 )
),
prs!$A$30:$D$36,
4,
FALSE
)
,"""")"),"")</f>
        <v/>
      </c>
      <c r="N38" s="46"/>
      <c r="O38" s="49"/>
      <c r="P38" s="42"/>
      <c r="Q38" s="43"/>
      <c r="R38" s="43"/>
      <c r="S38" s="44"/>
      <c r="T38" s="46" t="str">
        <f>IFERROR(__xludf.DUMMYFUNCTION("IFERROR(
$S38/
VLOOKUP(
IF(
 REGEXMATCH($P38,""(?i)agachamento""),""Agachamento"",
 IF(
  REGEXMATCH($P38,""(?i)supino""),""Supino"",
  IF(
   REGEXMATCH($P38,""(?i)terra""),""Terra"",
   IF(
    REGEXMATCH($P38,""(?i)desenvolvimento""),""Desenvolvimento"&amp;""",
    IF(
     REGEXMATCH($P38,""(?i)remada""),""Remada"",
     IF(REGEXMATCH($P38,""(?i)arranco""),""Arranco"",IF(REGEXMATCH($P38,""(?i)arremesso""),""Arremesso"",""""))
    )
   )
  )
 )
),
prs!$A$30:$D$36,
4,
FALSE
)
,"""")"),"")</f>
        <v/>
      </c>
      <c r="U38" s="46"/>
      <c r="V38" s="49"/>
      <c r="W38" s="42"/>
      <c r="X38" s="43"/>
      <c r="Y38" s="43"/>
      <c r="Z38" s="44"/>
      <c r="AA38" s="46" t="str">
        <f>IFERROR(__xludf.DUMMYFUNCTION("IFERROR(
$Z38/
VLOOKUP(
IF(
 REGEXMATCH($W38,""(?i)agachamento""),""Agachamento"",
 IF(
  REGEXMATCH($W38,""(?i)supino""),""Supino"",
  IF(
   REGEXMATCH($W38,""(?i)terra""),""Terra"",
   IF(
    REGEXMATCH($W38,""(?i)desenvolvimento""),""Desenvolvimento"&amp;""",
    IF(
     REGEXMATCH($W38,""(?i)remada""),""Remada"",
     IF(REGEXMATCH($W38,""(?i)arranco""),""Arranco"",IF(REGEXMATCH($W38,""(?i)arremesso""),""Arremesso"",""""))
    )
   )
  )
 )
),
prs!$A$30:$D$36,
4,
FALSE
)
,"""")"),"")</f>
        <v/>
      </c>
      <c r="AB38" s="46"/>
      <c r="AC38" s="41"/>
    </row>
    <row r="39" ht="15.75" customHeight="1">
      <c r="A39" s="41"/>
      <c r="B39" s="42"/>
      <c r="C39" s="50"/>
      <c r="D39" s="50"/>
      <c r="E39" s="51"/>
      <c r="F39" s="46" t="str">
        <f>IFERROR(__xludf.DUMMYFUNCTION("IFERROR(
$E39/
VLOOKUP(
IF(
 REGEXMATCH($B39,""(?i)agachamento""),""Agachamento"",
 IF(
  REGEXMATCH($B39,""(?i)supino""),""Supino"",
  IF(
   REGEXMATCH($B39,""(?i)terra""),""Terra"",
   IF(
    REGEXMATCH($B39,""(?i)desenvolvimento""),""Desenvolvimento"&amp;""",
    IF(
     REGEXMATCH($B39,""(?i)remada""),""Remada"",
     IF(REGEXMATCH($B39,""(?i)arranco""),""Arranco"",IF(REGEXMATCH($B39,""(?i)arremesso""),""Arremesso"",""""))
    )
   )
  )
 )
),
prs!$A$30:$D$36,
4,
FALSE
)
,"""")"),"")</f>
        <v/>
      </c>
      <c r="G39" s="46"/>
      <c r="H39" s="47"/>
      <c r="I39" s="42"/>
      <c r="J39" s="50"/>
      <c r="K39" s="50"/>
      <c r="L39" s="51"/>
      <c r="M39" s="46" t="str">
        <f>IFERROR(__xludf.DUMMYFUNCTION("IFERROR(
$L39/
VLOOKUP(
IF(
 REGEXMATCH($I39,""(?i)agachamento""),""Agachamento"",
 IF(
  REGEXMATCH($I39,""(?i)supino""),""Supino"",
  IF(
   REGEXMATCH($I39,""(?i)terra""),""Terra"",
   IF(
    REGEXMATCH($I39,""(?i)desenvolvimento""),""Desenvolvimento"&amp;""",
    IF(
     REGEXMATCH($I39,""(?i)remada""),""Remada"",
     IF(REGEXMATCH($I39,""(?i)arranco""),""Arranco"",IF(REGEXMATCH($I39,""(?i)arremesso""),""Arremesso"",""""))
    )
   )
  )
 )
),
prs!$A$30:$D$36,
4,
FALSE
)
,"""")"),"")</f>
        <v/>
      </c>
      <c r="N39" s="46"/>
      <c r="O39" s="49"/>
      <c r="P39" s="42"/>
      <c r="Q39" s="50"/>
      <c r="R39" s="50"/>
      <c r="S39" s="51"/>
      <c r="T39" s="46" t="str">
        <f>IFERROR(__xludf.DUMMYFUNCTION("IFERROR(
$S39/
VLOOKUP(
IF(
 REGEXMATCH($P39,""(?i)agachamento""),""Agachamento"",
 IF(
  REGEXMATCH($P39,""(?i)supino""),""Supino"",
  IF(
   REGEXMATCH($P39,""(?i)terra""),""Terra"",
   IF(
    REGEXMATCH($P39,""(?i)desenvolvimento""),""Desenvolvimento"&amp;""",
    IF(
     REGEXMATCH($P39,""(?i)remada""),""Remada"",
     IF(REGEXMATCH($P39,""(?i)arranco""),""Arranco"",IF(REGEXMATCH($P39,""(?i)arremesso""),""Arremesso"",""""))
    )
   )
  )
 )
),
prs!$A$30:$D$36,
4,
FALSE
)
,"""")"),"")</f>
        <v/>
      </c>
      <c r="U39" s="46"/>
      <c r="V39" s="49"/>
      <c r="W39" s="42"/>
      <c r="X39" s="50"/>
      <c r="Y39" s="50"/>
      <c r="Z39" s="51"/>
      <c r="AA39" s="46" t="str">
        <f>IFERROR(__xludf.DUMMYFUNCTION("IFERROR(
$Z39/
VLOOKUP(
IF(
 REGEXMATCH($W39,""(?i)agachamento""),""Agachamento"",
 IF(
  REGEXMATCH($W39,""(?i)supino""),""Supino"",
  IF(
   REGEXMATCH($W39,""(?i)terra""),""Terra"",
   IF(
    REGEXMATCH($W39,""(?i)desenvolvimento""),""Desenvolvimento"&amp;""",
    IF(
     REGEXMATCH($W39,""(?i)remada""),""Remada"",
     IF(REGEXMATCH($W39,""(?i)arranco""),""Arranco"",IF(REGEXMATCH($W39,""(?i)arremesso""),""Arremesso"",""""))
    )
   )
  )
 )
),
prs!$A$30:$D$36,
4,
FALSE
)
,"""")"),"")</f>
        <v/>
      </c>
      <c r="AB39" s="46"/>
      <c r="AC39" s="41"/>
    </row>
    <row r="40" ht="15.75" customHeight="1">
      <c r="A40" s="41"/>
      <c r="B40" s="42"/>
      <c r="C40" s="50"/>
      <c r="D40" s="50"/>
      <c r="E40" s="51"/>
      <c r="F40" s="46" t="str">
        <f>IFERROR(__xludf.DUMMYFUNCTION("IFERROR(
$E40/
VLOOKUP(
IF(
 REGEXMATCH($B40,""(?i)agachamento""),""Agachamento"",
 IF(
  REGEXMATCH($B40,""(?i)supino""),""Supino"",
  IF(
   REGEXMATCH($B40,""(?i)terra""),""Terra"",
   IF(
    REGEXMATCH($B40,""(?i)desenvolvimento""),""Desenvolvimento"&amp;""",
    IF(
     REGEXMATCH($B40,""(?i)remada""),""Remada"",
     IF(REGEXMATCH($B40,""(?i)arranco""),""Arranco"",IF(REGEXMATCH($B40,""(?i)arremesso""),""Arremesso"",""""))
    )
   )
  )
 )
),
prs!$A$30:$D$36,
4,
FALSE
)
,"""")"),"")</f>
        <v/>
      </c>
      <c r="G40" s="46"/>
      <c r="H40" s="47"/>
      <c r="I40" s="42"/>
      <c r="J40" s="50"/>
      <c r="K40" s="50"/>
      <c r="L40" s="51"/>
      <c r="M40" s="46" t="str">
        <f>IFERROR(__xludf.DUMMYFUNCTION("IFERROR(
$L40/
VLOOKUP(
IF(
 REGEXMATCH($I40,""(?i)agachamento""),""Agachamento"",
 IF(
  REGEXMATCH($I40,""(?i)supino""),""Supino"",
  IF(
   REGEXMATCH($I40,""(?i)terra""),""Terra"",
   IF(
    REGEXMATCH($I40,""(?i)desenvolvimento""),""Desenvolvimento"&amp;""",
    IF(
     REGEXMATCH($I40,""(?i)remada""),""Remada"",
     IF(REGEXMATCH($I40,""(?i)arranco""),""Arranco"",IF(REGEXMATCH($I40,""(?i)arremesso""),""Arremesso"",""""))
    )
   )
  )
 )
),
prs!$A$30:$D$36,
4,
FALSE
)
,"""")"),"")</f>
        <v/>
      </c>
      <c r="N40" s="46"/>
      <c r="O40" s="49"/>
      <c r="P40" s="42"/>
      <c r="Q40" s="50"/>
      <c r="R40" s="50"/>
      <c r="S40" s="51"/>
      <c r="T40" s="46" t="str">
        <f>IFERROR(__xludf.DUMMYFUNCTION("IFERROR(
$S40/
VLOOKUP(
IF(
 REGEXMATCH($P40,""(?i)agachamento""),""Agachamento"",
 IF(
  REGEXMATCH($P40,""(?i)supino""),""Supino"",
  IF(
   REGEXMATCH($P40,""(?i)terra""),""Terra"",
   IF(
    REGEXMATCH($P40,""(?i)desenvolvimento""),""Desenvolvimento"&amp;""",
    IF(
     REGEXMATCH($P40,""(?i)remada""),""Remada"",
     IF(REGEXMATCH($P40,""(?i)arranco""),""Arranco"",IF(REGEXMATCH($P40,""(?i)arremesso""),""Arremesso"",""""))
    )
   )
  )
 )
),
prs!$A$30:$D$36,
4,
FALSE
)
,"""")"),"")</f>
        <v/>
      </c>
      <c r="U40" s="46"/>
      <c r="V40" s="49"/>
      <c r="W40" s="42"/>
      <c r="X40" s="50"/>
      <c r="Y40" s="50"/>
      <c r="Z40" s="51"/>
      <c r="AA40" s="46" t="str">
        <f>IFERROR(__xludf.DUMMYFUNCTION("IFERROR(
$Z40/
VLOOKUP(
IF(
 REGEXMATCH($W40,""(?i)agachamento""),""Agachamento"",
 IF(
  REGEXMATCH($W40,""(?i)supino""),""Supino"",
  IF(
   REGEXMATCH($W40,""(?i)terra""),""Terra"",
   IF(
    REGEXMATCH($W40,""(?i)desenvolvimento""),""Desenvolvimento"&amp;""",
    IF(
     REGEXMATCH($W40,""(?i)remada""),""Remada"",
     IF(REGEXMATCH($W40,""(?i)arranco""),""Arranco"",IF(REGEXMATCH($W40,""(?i)arremesso""),""Arremesso"",""""))
    )
   )
  )
 )
),
prs!$A$30:$D$36,
4,
FALSE
)
,"""")"),"")</f>
        <v/>
      </c>
      <c r="AB40" s="46"/>
      <c r="AC40" s="41"/>
    </row>
    <row r="41" ht="15.75" customHeight="1">
      <c r="A41" s="41"/>
      <c r="B41" s="42"/>
      <c r="C41" s="50"/>
      <c r="D41" s="50"/>
      <c r="E41" s="51"/>
      <c r="F41" s="46" t="str">
        <f>IFERROR(__xludf.DUMMYFUNCTION("IFERROR(
$E41/
VLOOKUP(
IF(
 REGEXMATCH($B41,""(?i)agachamento""),""Agachamento"",
 IF(
  REGEXMATCH($B41,""(?i)supino""),""Supino"",
  IF(
   REGEXMATCH($B41,""(?i)terra""),""Terra"",
   IF(
    REGEXMATCH($B41,""(?i)desenvolvimento""),""Desenvolvimento"&amp;""",
    IF(
     REGEXMATCH($B41,""(?i)remada""),""Remada"",
     IF(REGEXMATCH($B41,""(?i)arranco""),""Arranco"",IF(REGEXMATCH($B41,""(?i)arremesso""),""Arremesso"",""""))
    )
   )
  )
 )
),
prs!$A$30:$D$36,
4,
FALSE
)
,"""")"),"")</f>
        <v/>
      </c>
      <c r="G41" s="46"/>
      <c r="H41" s="47"/>
      <c r="I41" s="42"/>
      <c r="J41" s="50"/>
      <c r="K41" s="50"/>
      <c r="L41" s="51"/>
      <c r="M41" s="46" t="str">
        <f>IFERROR(__xludf.DUMMYFUNCTION("IFERROR(
$L41/
VLOOKUP(
IF(
 REGEXMATCH($I41,""(?i)agachamento""),""Agachamento"",
 IF(
  REGEXMATCH($I41,""(?i)supino""),""Supino"",
  IF(
   REGEXMATCH($I41,""(?i)terra""),""Terra"",
   IF(
    REGEXMATCH($I41,""(?i)desenvolvimento""),""Desenvolvimento"&amp;""",
    IF(
     REGEXMATCH($I41,""(?i)remada""),""Remada"",
     IF(REGEXMATCH($I41,""(?i)arranco""),""Arranco"",IF(REGEXMATCH($I41,""(?i)arremesso""),""Arremesso"",""""))
    )
   )
  )
 )
),
prs!$A$30:$D$36,
4,
FALSE
)
,"""")"),"")</f>
        <v/>
      </c>
      <c r="N41" s="46"/>
      <c r="O41" s="49"/>
      <c r="P41" s="42"/>
      <c r="Q41" s="50"/>
      <c r="R41" s="50"/>
      <c r="S41" s="51"/>
      <c r="T41" s="46" t="str">
        <f>IFERROR(__xludf.DUMMYFUNCTION("IFERROR(
$S41/
VLOOKUP(
IF(
 REGEXMATCH($P41,""(?i)agachamento""),""Agachamento"",
 IF(
  REGEXMATCH($P41,""(?i)supino""),""Supino"",
  IF(
   REGEXMATCH($P41,""(?i)terra""),""Terra"",
   IF(
    REGEXMATCH($P41,""(?i)desenvolvimento""),""Desenvolvimento"&amp;""",
    IF(
     REGEXMATCH($P41,""(?i)remada""),""Remada"",
     IF(REGEXMATCH($P41,""(?i)arranco""),""Arranco"",IF(REGEXMATCH($P41,""(?i)arremesso""),""Arremesso"",""""))
    )
   )
  )
 )
),
prs!$A$30:$D$36,
4,
FALSE
)
,"""")"),"")</f>
        <v/>
      </c>
      <c r="U41" s="46"/>
      <c r="V41" s="49"/>
      <c r="W41" s="42"/>
      <c r="X41" s="50"/>
      <c r="Y41" s="50"/>
      <c r="Z41" s="51"/>
      <c r="AA41" s="46" t="str">
        <f>IFERROR(__xludf.DUMMYFUNCTION("IFERROR(
$Z41/
VLOOKUP(
IF(
 REGEXMATCH($W41,""(?i)agachamento""),""Agachamento"",
 IF(
  REGEXMATCH($W41,""(?i)supino""),""Supino"",
  IF(
   REGEXMATCH($W41,""(?i)terra""),""Terra"",
   IF(
    REGEXMATCH($W41,""(?i)desenvolvimento""),""Desenvolvimento"&amp;""",
    IF(
     REGEXMATCH($W41,""(?i)remada""),""Remada"",
     IF(REGEXMATCH($W41,""(?i)arranco""),""Arranco"",IF(REGEXMATCH($W41,""(?i)arremesso""),""Arremesso"",""""))
    )
   )
  )
 )
),
prs!$A$30:$D$36,
4,
FALSE
)
,"""")"),"")</f>
        <v/>
      </c>
      <c r="AB41" s="46"/>
      <c r="AC41" s="41"/>
    </row>
    <row r="42" ht="15.75" customHeight="1">
      <c r="A42" s="41"/>
      <c r="B42" s="42"/>
      <c r="C42" s="50"/>
      <c r="D42" s="50"/>
      <c r="E42" s="51"/>
      <c r="F42" s="46" t="str">
        <f>IFERROR(__xludf.DUMMYFUNCTION("IFERROR(
$E42/
VLOOKUP(
IF(
 REGEXMATCH($B42,""(?i)agachamento""),""Agachamento"",
 IF(
  REGEXMATCH($B42,""(?i)supino""),""Supino"",
  IF(
   REGEXMATCH($B42,""(?i)terra""),""Terra"",
   IF(
    REGEXMATCH($B42,""(?i)desenvolvimento""),""Desenvolvimento"&amp;""",
    IF(
     REGEXMATCH($B42,""(?i)remada""),""Remada"",
     IF(REGEXMATCH($B42,""(?i)arranco""),""Arranco"",IF(REGEXMATCH($B42,""(?i)arremesso""),""Arremesso"",""""))
    )
   )
  )
 )
),
prs!$A$30:$D$36,
4,
FALSE
)
,"""")"),"")</f>
        <v/>
      </c>
      <c r="G42" s="46"/>
      <c r="H42" s="47"/>
      <c r="I42" s="42"/>
      <c r="J42" s="50"/>
      <c r="K42" s="50"/>
      <c r="L42" s="51"/>
      <c r="M42" s="46" t="str">
        <f>IFERROR(__xludf.DUMMYFUNCTION("IFERROR(
$L42/
VLOOKUP(
IF(
 REGEXMATCH($I42,""(?i)agachamento""),""Agachamento"",
 IF(
  REGEXMATCH($I42,""(?i)supino""),""Supino"",
  IF(
   REGEXMATCH($I42,""(?i)terra""),""Terra"",
   IF(
    REGEXMATCH($I42,""(?i)desenvolvimento""),""Desenvolvimento"&amp;""",
    IF(
     REGEXMATCH($I42,""(?i)remada""),""Remada"",
     IF(REGEXMATCH($I42,""(?i)arranco""),""Arranco"",IF(REGEXMATCH($I42,""(?i)arremesso""),""Arremesso"",""""))
    )
   )
  )
 )
),
prs!$A$30:$D$36,
4,
FALSE
)
,"""")"),"")</f>
        <v/>
      </c>
      <c r="N42" s="46"/>
      <c r="O42" s="49"/>
      <c r="P42" s="42"/>
      <c r="Q42" s="50"/>
      <c r="R42" s="50"/>
      <c r="S42" s="51"/>
      <c r="T42" s="46" t="str">
        <f>IFERROR(__xludf.DUMMYFUNCTION("IFERROR(
$S42/
VLOOKUP(
IF(
 REGEXMATCH($P42,""(?i)agachamento""),""Agachamento"",
 IF(
  REGEXMATCH($P42,""(?i)supino""),""Supino"",
  IF(
   REGEXMATCH($P42,""(?i)terra""),""Terra"",
   IF(
    REGEXMATCH($P42,""(?i)desenvolvimento""),""Desenvolvimento"&amp;""",
    IF(
     REGEXMATCH($P42,""(?i)remada""),""Remada"",
     IF(REGEXMATCH($P42,""(?i)arranco""),""Arranco"",IF(REGEXMATCH($P42,""(?i)arremesso""),""Arremesso"",""""))
    )
   )
  )
 )
),
prs!$A$30:$D$36,
4,
FALSE
)
,"""")"),"")</f>
        <v/>
      </c>
      <c r="U42" s="46"/>
      <c r="V42" s="49"/>
      <c r="W42" s="42"/>
      <c r="X42" s="50"/>
      <c r="Y42" s="50"/>
      <c r="Z42" s="51"/>
      <c r="AA42" s="46" t="str">
        <f>IFERROR(__xludf.DUMMYFUNCTION("IFERROR(
$Z42/
VLOOKUP(
IF(
 REGEXMATCH($W42,""(?i)agachamento""),""Agachamento"",
 IF(
  REGEXMATCH($W42,""(?i)supino""),""Supino"",
  IF(
   REGEXMATCH($W42,""(?i)terra""),""Terra"",
   IF(
    REGEXMATCH($W42,""(?i)desenvolvimento""),""Desenvolvimento"&amp;""",
    IF(
     REGEXMATCH($W42,""(?i)remada""),""Remada"",
     IF(REGEXMATCH($W42,""(?i)arranco""),""Arranco"",IF(REGEXMATCH($W42,""(?i)arremesso""),""Arremesso"",""""))
    )
   )
  )
 )
),
prs!$A$30:$D$36,
4,
FALSE
)
,"""")"),"")</f>
        <v/>
      </c>
      <c r="AB42" s="46"/>
      <c r="AC42" s="41"/>
    </row>
    <row r="43" ht="15.75" customHeight="1">
      <c r="A43" s="41"/>
      <c r="B43" s="42"/>
      <c r="C43" s="50"/>
      <c r="D43" s="50"/>
      <c r="E43" s="51"/>
      <c r="F43" s="46" t="str">
        <f>IFERROR(__xludf.DUMMYFUNCTION("IFERROR(
$E43/
VLOOKUP(
IF(
 REGEXMATCH($B43,""(?i)agachamento""),""Agachamento"",
 IF(
  REGEXMATCH($B43,""(?i)supino""),""Supino"",
  IF(
   REGEXMATCH($B43,""(?i)terra""),""Terra"",
   IF(
    REGEXMATCH($B43,""(?i)desenvolvimento""),""Desenvolvimento"&amp;""",
    IF(
     REGEXMATCH($B43,""(?i)remada""),""Remada"",
     IF(REGEXMATCH($B43,""(?i)arranco""),""Arranco"",IF(REGEXMATCH($B43,""(?i)arremesso""),""Arremesso"",""""))
    )
   )
  )
 )
),
prs!$A$30:$D$36,
4,
FALSE
)
,"""")"),"")</f>
        <v/>
      </c>
      <c r="G43" s="46"/>
      <c r="H43" s="47"/>
      <c r="I43" s="42"/>
      <c r="J43" s="50"/>
      <c r="K43" s="50"/>
      <c r="L43" s="51"/>
      <c r="M43" s="46" t="str">
        <f>IFERROR(__xludf.DUMMYFUNCTION("IFERROR(
$L43/
VLOOKUP(
IF(
 REGEXMATCH($I43,""(?i)agachamento""),""Agachamento"",
 IF(
  REGEXMATCH($I43,""(?i)supino""),""Supino"",
  IF(
   REGEXMATCH($I43,""(?i)terra""),""Terra"",
   IF(
    REGEXMATCH($I43,""(?i)desenvolvimento""),""Desenvolvimento"&amp;""",
    IF(
     REGEXMATCH($I43,""(?i)remada""),""Remada"",
     IF(REGEXMATCH($I43,""(?i)arranco""),""Arranco"",IF(REGEXMATCH($I43,""(?i)arremesso""),""Arremesso"",""""))
    )
   )
  )
 )
),
prs!$A$30:$D$36,
4,
FALSE
)
,"""")"),"")</f>
        <v/>
      </c>
      <c r="N43" s="46"/>
      <c r="O43" s="49"/>
      <c r="P43" s="42"/>
      <c r="Q43" s="50"/>
      <c r="R43" s="50"/>
      <c r="S43" s="51"/>
      <c r="T43" s="46" t="str">
        <f>IFERROR(__xludf.DUMMYFUNCTION("IFERROR(
$S43/
VLOOKUP(
IF(
 REGEXMATCH($P43,""(?i)agachamento""),""Agachamento"",
 IF(
  REGEXMATCH($P43,""(?i)supino""),""Supino"",
  IF(
   REGEXMATCH($P43,""(?i)terra""),""Terra"",
   IF(
    REGEXMATCH($P43,""(?i)desenvolvimento""),""Desenvolvimento"&amp;""",
    IF(
     REGEXMATCH($P43,""(?i)remada""),""Remada"",
     IF(REGEXMATCH($P43,""(?i)arranco""),""Arranco"",IF(REGEXMATCH($P43,""(?i)arremesso""),""Arremesso"",""""))
    )
   )
  )
 )
),
prs!$A$30:$D$36,
4,
FALSE
)
,"""")"),"")</f>
        <v/>
      </c>
      <c r="U43" s="46"/>
      <c r="V43" s="49"/>
      <c r="W43" s="42"/>
      <c r="X43" s="50"/>
      <c r="Y43" s="50"/>
      <c r="Z43" s="51"/>
      <c r="AA43" s="46" t="str">
        <f>IFERROR(__xludf.DUMMYFUNCTION("IFERROR(
$Z43/
VLOOKUP(
IF(
 REGEXMATCH($W43,""(?i)agachamento""),""Agachamento"",
 IF(
  REGEXMATCH($W43,""(?i)supino""),""Supino"",
  IF(
   REGEXMATCH($W43,""(?i)terra""),""Terra"",
   IF(
    REGEXMATCH($W43,""(?i)desenvolvimento""),""Desenvolvimento"&amp;""",
    IF(
     REGEXMATCH($W43,""(?i)remada""),""Remada"",
     IF(REGEXMATCH($W43,""(?i)arranco""),""Arranco"",IF(REGEXMATCH($W43,""(?i)arremesso""),""Arremesso"",""""))
    )
   )
  )
 )
),
prs!$A$30:$D$36,
4,
FALSE
)
,"""")"),"")</f>
        <v/>
      </c>
      <c r="AB43" s="46"/>
      <c r="AC43" s="41"/>
    </row>
    <row r="44" ht="15.75" customHeight="1">
      <c r="A44" s="41"/>
      <c r="B44" s="42"/>
      <c r="C44" s="50"/>
      <c r="D44" s="50"/>
      <c r="E44" s="51"/>
      <c r="F44" s="46" t="str">
        <f>IFERROR(__xludf.DUMMYFUNCTION("IFERROR(
$E44/
VLOOKUP(
IF(
 REGEXMATCH($B44,""(?i)agachamento""),""Agachamento"",
 IF(
  REGEXMATCH($B44,""(?i)supino""),""Supino"",
  IF(
   REGEXMATCH($B44,""(?i)terra""),""Terra"",
   IF(
    REGEXMATCH($B44,""(?i)desenvolvimento""),""Desenvolvimento"&amp;""",
    IF(
     REGEXMATCH($B44,""(?i)remada""),""Remada"",
     IF(REGEXMATCH($B44,""(?i)arranco""),""Arranco"",IF(REGEXMATCH($B44,""(?i)arremesso""),""Arremesso"",""""))
    )
   )
  )
 )
),
prs!$A$30:$D$36,
4,
FALSE
)
,"""")"),"")</f>
        <v/>
      </c>
      <c r="G44" s="46"/>
      <c r="H44" s="47"/>
      <c r="I44" s="42"/>
      <c r="J44" s="50"/>
      <c r="K44" s="50"/>
      <c r="L44" s="51"/>
      <c r="M44" s="46" t="str">
        <f>IFERROR(__xludf.DUMMYFUNCTION("IFERROR(
$L44/
VLOOKUP(
IF(
 REGEXMATCH($I44,""(?i)agachamento""),""Agachamento"",
 IF(
  REGEXMATCH($I44,""(?i)supino""),""Supino"",
  IF(
   REGEXMATCH($I44,""(?i)terra""),""Terra"",
   IF(
    REGEXMATCH($I44,""(?i)desenvolvimento""),""Desenvolvimento"&amp;""",
    IF(
     REGEXMATCH($I44,""(?i)remada""),""Remada"",
     IF(REGEXMATCH($I44,""(?i)arranco""),""Arranco"",IF(REGEXMATCH($I44,""(?i)arremesso""),""Arremesso"",""""))
    )
   )
  )
 )
),
prs!$A$30:$D$36,
4,
FALSE
)
,"""")"),"")</f>
        <v/>
      </c>
      <c r="N44" s="46"/>
      <c r="O44" s="49"/>
      <c r="P44" s="42"/>
      <c r="Q44" s="50"/>
      <c r="R44" s="50"/>
      <c r="S44" s="51"/>
      <c r="T44" s="46" t="str">
        <f>IFERROR(__xludf.DUMMYFUNCTION("IFERROR(
$S44/
VLOOKUP(
IF(
 REGEXMATCH($P44,""(?i)agachamento""),""Agachamento"",
 IF(
  REGEXMATCH($P44,""(?i)supino""),""Supino"",
  IF(
   REGEXMATCH($P44,""(?i)terra""),""Terra"",
   IF(
    REGEXMATCH($P44,""(?i)desenvolvimento""),""Desenvolvimento"&amp;""",
    IF(
     REGEXMATCH($P44,""(?i)remada""),""Remada"",
     IF(REGEXMATCH($P44,""(?i)arranco""),""Arranco"",IF(REGEXMATCH($P44,""(?i)arremesso""),""Arremesso"",""""))
    )
   )
  )
 )
),
prs!$A$30:$D$36,
4,
FALSE
)
,"""")"),"")</f>
        <v/>
      </c>
      <c r="U44" s="46"/>
      <c r="V44" s="49"/>
      <c r="W44" s="42"/>
      <c r="X44" s="50"/>
      <c r="Y44" s="50"/>
      <c r="Z44" s="51"/>
      <c r="AA44" s="46" t="str">
        <f>IFERROR(__xludf.DUMMYFUNCTION("IFERROR(
$Z44/
VLOOKUP(
IF(
 REGEXMATCH($W44,""(?i)agachamento""),""Agachamento"",
 IF(
  REGEXMATCH($W44,""(?i)supino""),""Supino"",
  IF(
   REGEXMATCH($W44,""(?i)terra""),""Terra"",
   IF(
    REGEXMATCH($W44,""(?i)desenvolvimento""),""Desenvolvimento"&amp;""",
    IF(
     REGEXMATCH($W44,""(?i)remada""),""Remada"",
     IF(REGEXMATCH($W44,""(?i)arranco""),""Arranco"",IF(REGEXMATCH($W44,""(?i)arremesso""),""Arremesso"",""""))
    )
   )
  )
 )
),
prs!$A$30:$D$36,
4,
FALSE
)
,"""")"),"")</f>
        <v/>
      </c>
      <c r="AB44" s="46"/>
      <c r="AC44" s="41"/>
    </row>
    <row r="45" ht="15.75" customHeight="1">
      <c r="A45" s="41"/>
      <c r="B45" s="42"/>
      <c r="C45" s="50"/>
      <c r="D45" s="50"/>
      <c r="E45" s="51"/>
      <c r="F45" s="46" t="str">
        <f>IFERROR(__xludf.DUMMYFUNCTION("IFERROR(
$E45/
VLOOKUP(
IF(
 REGEXMATCH($B45,""(?i)agachamento""),""Agachamento"",
 IF(
  REGEXMATCH($B45,""(?i)supino""),""Supino"",
  IF(
   REGEXMATCH($B45,""(?i)terra""),""Terra"",
   IF(
    REGEXMATCH($B45,""(?i)desenvolvimento""),""Desenvolvimento"&amp;""",
    IF(
     REGEXMATCH($B45,""(?i)remada""),""Remada"",
     IF(REGEXMATCH($B45,""(?i)arranco""),""Arranco"",IF(REGEXMATCH($B45,""(?i)arremesso""),""Arremesso"",""""))
    )
   )
  )
 )
),
prs!$A$30:$D$36,
4,
FALSE
)
,"""")"),"")</f>
        <v/>
      </c>
      <c r="G45" s="46"/>
      <c r="H45" s="47"/>
      <c r="I45" s="42"/>
      <c r="J45" s="50"/>
      <c r="K45" s="50"/>
      <c r="L45" s="51"/>
      <c r="M45" s="46" t="str">
        <f>IFERROR(__xludf.DUMMYFUNCTION("IFERROR(
$L45/
VLOOKUP(
IF(
 REGEXMATCH($I45,""(?i)agachamento""),""Agachamento"",
 IF(
  REGEXMATCH($I45,""(?i)supino""),""Supino"",
  IF(
   REGEXMATCH($I45,""(?i)terra""),""Terra"",
   IF(
    REGEXMATCH($I45,""(?i)desenvolvimento""),""Desenvolvimento"&amp;""",
    IF(
     REGEXMATCH($I45,""(?i)remada""),""Remada"",
     IF(REGEXMATCH($I45,""(?i)arranco""),""Arranco"",IF(REGEXMATCH($I45,""(?i)arremesso""),""Arremesso"",""""))
    )
   )
  )
 )
),
prs!$A$30:$D$36,
4,
FALSE
)
,"""")"),"")</f>
        <v/>
      </c>
      <c r="N45" s="46"/>
      <c r="O45" s="49"/>
      <c r="P45" s="42"/>
      <c r="Q45" s="50"/>
      <c r="R45" s="50"/>
      <c r="S45" s="51"/>
      <c r="T45" s="46" t="str">
        <f>IFERROR(__xludf.DUMMYFUNCTION("IFERROR(
$S45/
VLOOKUP(
IF(
 REGEXMATCH($P45,""(?i)agachamento""),""Agachamento"",
 IF(
  REGEXMATCH($P45,""(?i)supino""),""Supino"",
  IF(
   REGEXMATCH($P45,""(?i)terra""),""Terra"",
   IF(
    REGEXMATCH($P45,""(?i)desenvolvimento""),""Desenvolvimento"&amp;""",
    IF(
     REGEXMATCH($P45,""(?i)remada""),""Remada"",
     IF(REGEXMATCH($P45,""(?i)arranco""),""Arranco"",IF(REGEXMATCH($P45,""(?i)arremesso""),""Arremesso"",""""))
    )
   )
  )
 )
),
prs!$A$30:$D$36,
4,
FALSE
)
,"""")"),"")</f>
        <v/>
      </c>
      <c r="U45" s="46"/>
      <c r="V45" s="49"/>
      <c r="W45" s="42"/>
      <c r="X45" s="50"/>
      <c r="Y45" s="50"/>
      <c r="Z45" s="51"/>
      <c r="AA45" s="46" t="str">
        <f>IFERROR(__xludf.DUMMYFUNCTION("IFERROR(
$Z45/
VLOOKUP(
IF(
 REGEXMATCH($W45,""(?i)agachamento""),""Agachamento"",
 IF(
  REGEXMATCH($W45,""(?i)supino""),""Supino"",
  IF(
   REGEXMATCH($W45,""(?i)terra""),""Terra"",
   IF(
    REGEXMATCH($W45,""(?i)desenvolvimento""),""Desenvolvimento"&amp;""",
    IF(
     REGEXMATCH($W45,""(?i)remada""),""Remada"",
     IF(REGEXMATCH($W45,""(?i)arranco""),""Arranco"",IF(REGEXMATCH($W45,""(?i)arremesso""),""Arremesso"",""""))
    )
   )
  )
 )
),
prs!$A$30:$D$36,
4,
FALSE
)
,"""")"),"")</f>
        <v/>
      </c>
      <c r="AB45" s="46"/>
      <c r="AC45" s="41"/>
    </row>
    <row r="46" ht="15.75" customHeight="1">
      <c r="A46" s="31"/>
      <c r="B46" s="52"/>
      <c r="C46" s="32" t="s">
        <v>20</v>
      </c>
      <c r="H46" s="29"/>
      <c r="I46" s="52"/>
      <c r="J46" s="32" t="s">
        <v>23</v>
      </c>
      <c r="O46" s="29"/>
      <c r="P46" s="52"/>
      <c r="Q46" s="32" t="s">
        <v>24</v>
      </c>
      <c r="V46" s="29"/>
      <c r="W46" s="52"/>
      <c r="X46" s="32" t="s">
        <v>25</v>
      </c>
      <c r="AC46" s="29"/>
    </row>
    <row r="47" ht="15.75" customHeight="1">
      <c r="A47" s="47"/>
      <c r="B47" s="47"/>
      <c r="C47" s="47"/>
      <c r="D47" s="47"/>
      <c r="H47" s="47"/>
      <c r="I47" s="47"/>
      <c r="J47" s="47"/>
      <c r="K47" s="47"/>
      <c r="O47" s="47"/>
      <c r="P47" s="47"/>
      <c r="Q47" s="47"/>
      <c r="R47" s="47"/>
      <c r="V47" s="47"/>
      <c r="W47" s="47"/>
      <c r="X47" s="47"/>
      <c r="Y47" s="47"/>
      <c r="AC47" s="47"/>
    </row>
    <row r="48" ht="15.75" customHeight="1">
      <c r="A48" s="2" t="s">
        <v>27</v>
      </c>
      <c r="B48" s="20"/>
      <c r="C48" s="32"/>
      <c r="H48" s="29"/>
      <c r="I48" s="20"/>
      <c r="J48" s="32"/>
      <c r="O48" s="29"/>
      <c r="P48" s="20"/>
      <c r="Q48" s="32"/>
      <c r="V48" s="29"/>
      <c r="W48" s="20"/>
      <c r="X48" s="32"/>
      <c r="AC48" s="47"/>
    </row>
    <row r="49" ht="15.75" customHeight="1">
      <c r="A49" s="2"/>
      <c r="B49" s="52"/>
      <c r="C49" s="5" t="s">
        <v>13</v>
      </c>
      <c r="D49" s="5" t="s">
        <v>16</v>
      </c>
      <c r="E49" s="5" t="s">
        <v>15</v>
      </c>
      <c r="F49" s="5" t="s">
        <v>17</v>
      </c>
      <c r="G49" s="5" t="s">
        <v>11</v>
      </c>
      <c r="H49" s="29"/>
      <c r="I49" s="52"/>
      <c r="J49" s="5" t="s">
        <v>13</v>
      </c>
      <c r="K49" s="5" t="s">
        <v>16</v>
      </c>
      <c r="L49" s="5" t="s">
        <v>15</v>
      </c>
      <c r="M49" s="5" t="s">
        <v>17</v>
      </c>
      <c r="N49" s="5" t="s">
        <v>11</v>
      </c>
      <c r="O49" s="29"/>
      <c r="P49" s="52"/>
      <c r="Q49" s="5" t="s">
        <v>13</v>
      </c>
      <c r="R49" s="5" t="s">
        <v>16</v>
      </c>
      <c r="S49" s="5" t="s">
        <v>15</v>
      </c>
      <c r="T49" s="5" t="s">
        <v>17</v>
      </c>
      <c r="U49" s="5" t="s">
        <v>11</v>
      </c>
      <c r="V49" s="29"/>
      <c r="W49" s="52"/>
      <c r="X49" s="5" t="s">
        <v>13</v>
      </c>
      <c r="Y49" s="5" t="s">
        <v>16</v>
      </c>
      <c r="Z49" s="5" t="s">
        <v>15</v>
      </c>
      <c r="AA49" s="5" t="s">
        <v>17</v>
      </c>
      <c r="AB49" s="5" t="s">
        <v>11</v>
      </c>
      <c r="AC49" s="47"/>
    </row>
    <row r="50" ht="15.75" customHeight="1">
      <c r="A50" s="2"/>
      <c r="B50" s="2" t="s">
        <v>18</v>
      </c>
      <c r="C50" s="38"/>
      <c r="D50" s="5"/>
      <c r="E50" s="5"/>
      <c r="F50" s="5" t="s">
        <v>19</v>
      </c>
      <c r="G50" s="5"/>
      <c r="H50" s="29"/>
      <c r="I50" s="2" t="s">
        <v>18</v>
      </c>
      <c r="J50" s="38"/>
      <c r="K50" s="5"/>
      <c r="L50" s="5"/>
      <c r="M50" s="5" t="s">
        <v>19</v>
      </c>
      <c r="N50" s="5"/>
      <c r="O50" s="29"/>
      <c r="P50" s="2" t="s">
        <v>18</v>
      </c>
      <c r="Q50" s="38"/>
      <c r="R50" s="5"/>
      <c r="S50" s="5"/>
      <c r="T50" s="5" t="s">
        <v>19</v>
      </c>
      <c r="U50" s="5"/>
      <c r="V50" s="29"/>
      <c r="W50" s="2" t="s">
        <v>18</v>
      </c>
      <c r="X50" s="38"/>
      <c r="Y50" s="5"/>
      <c r="Z50" s="5"/>
      <c r="AA50" s="5" t="s">
        <v>19</v>
      </c>
      <c r="AB50" s="5"/>
      <c r="AC50" s="47"/>
    </row>
    <row r="51" ht="15.75" customHeight="1">
      <c r="A51" s="49"/>
      <c r="B51" s="53"/>
      <c r="C51" s="43"/>
      <c r="D51" s="43"/>
      <c r="E51" s="44"/>
      <c r="F51" s="46" t="str">
        <f>IFERROR(__xludf.DUMMYFUNCTION("IFERROR(
$E51/
VLOOKUP(
IF(
 REGEXMATCH($B51,""(?i)agachamento""),""Agachamento"",
 IF(
  REGEXMATCH($B51,""(?i)supino""),""Supino"",
  IF(
   REGEXMATCH($B51,""(?i)terra""),""Terra"",
   IF(
    REGEXMATCH($B51,""(?i)desenvolvimento""),""Desenvolvimento"&amp;""",
    IF(
     REGEXMATCH($B51,""(?i)remada""),""Remada"",
     IF(REGEXMATCH($B51,""(?i)arranco""),""Arranco"",IF(REGEXMATCH($B51,""(?i)arremesso""),""Arremesso"",""""))
    )
   )
  )
 )
),
prs!$A$30:$D$36,
4,
FALSE
)
,"""")"),"")</f>
        <v/>
      </c>
      <c r="G51" s="46"/>
      <c r="H51" s="47"/>
      <c r="I51" s="53"/>
      <c r="J51" s="43"/>
      <c r="K51" s="43"/>
      <c r="L51" s="44"/>
      <c r="M51" s="46" t="str">
        <f>IFERROR(__xludf.DUMMYFUNCTION("IFERROR(
$L51/
VLOOKUP(
IF(
 REGEXMATCH($I51,""(?i)agachamento""),""Agachamento"",
 IF(
  REGEXMATCH($I51,""(?i)supino""),""Supino"",
  IF(
   REGEXMATCH($I51,""(?i)terra""),""Terra"",
   IF(
    REGEXMATCH($I51,""(?i)desenvolvimento""),""Desenvolvimento"&amp;""",
    IF(
     REGEXMATCH($I51,""(?i)remada""),""Remada"",
     IF(REGEXMATCH($I51,""(?i)arranco""),""Arranco"",IF(REGEXMATCH($I51,""(?i)arremesso""),""Arremesso"",""""))
    )
   )
  )
 )
),
prs!$A$30:$D$36,
4,
FALSE
)
,"""")"),"")</f>
        <v/>
      </c>
      <c r="N51" s="46"/>
      <c r="O51" s="49"/>
      <c r="P51" s="53"/>
      <c r="Q51" s="43"/>
      <c r="R51" s="43"/>
      <c r="S51" s="44"/>
      <c r="T51" s="46" t="str">
        <f>IFERROR(__xludf.DUMMYFUNCTION("IFERROR(
$S51/
VLOOKUP(
IF(
 REGEXMATCH($P51,""(?i)agachamento""),""Agachamento"",
 IF(
  REGEXMATCH($P51,""(?i)supino""),""Supino"",
  IF(
   REGEXMATCH($P51,""(?i)terra""),""Terra"",
   IF(
    REGEXMATCH($P51,""(?i)desenvolvimento""),""Desenvolvimento"&amp;""",
    IF(
     REGEXMATCH($P51,""(?i)remada""),""Remada"",
     IF(REGEXMATCH($P51,""(?i)arranco""),""Arranco"",IF(REGEXMATCH($P51,""(?i)arremesso""),""Arremesso"",""""))
    )
   )
  )
 )
),
prs!$A$30:$D$36,
4,
FALSE
)
,"""")"),"")</f>
        <v/>
      </c>
      <c r="U51" s="46"/>
      <c r="V51" s="49"/>
      <c r="W51" s="53"/>
      <c r="X51" s="43"/>
      <c r="Y51" s="43"/>
      <c r="Z51" s="44"/>
      <c r="AA51" s="46" t="str">
        <f>IFERROR(__xludf.DUMMYFUNCTION("IFERROR(
$Z51/
VLOOKUP(
IF(
 REGEXMATCH($W51,""(?i)agachamento""),""Agachamento"",
 IF(
  REGEXMATCH($W51,""(?i)supino""),""Supino"",
  IF(
   REGEXMATCH($W51,""(?i)terra""),""Terra"",
   IF(
    REGEXMATCH($W51,""(?i)desenvolvimento""),""Desenvolvimento"&amp;""",
    IF(
     REGEXMATCH($W51,""(?i)remada""),""Remada"",
     IF(REGEXMATCH($W51,""(?i)arranco""),""Arranco"",IF(REGEXMATCH($W51,""(?i)arremesso""),""Arremesso"",""""))
    )
   )
  )
 )
),
prs!$A$30:$D$36,
4,
FALSE
)
,"""")"),"")</f>
        <v/>
      </c>
      <c r="AB51" s="46"/>
      <c r="AC51" s="49"/>
    </row>
    <row r="52" ht="15.75" customHeight="1">
      <c r="A52" s="49"/>
      <c r="B52" s="53"/>
      <c r="C52" s="43"/>
      <c r="D52" s="43"/>
      <c r="E52" s="44"/>
      <c r="F52" s="46" t="str">
        <f>IFERROR(__xludf.DUMMYFUNCTION("IFERROR(
$E52/
VLOOKUP(
IF(
 REGEXMATCH($B52,""(?i)agachamento""),""Agachamento"",
 IF(
  REGEXMATCH($B52,""(?i)supino""),""Supino"",
  IF(
   REGEXMATCH($B52,""(?i)terra""),""Terra"",
   IF(
    REGEXMATCH($B52,""(?i)desenvolvimento""),""Desenvolvimento"&amp;""",
    IF(
     REGEXMATCH($B52,""(?i)remada""),""Remada"",
     IF(REGEXMATCH($B52,""(?i)arranco""),""Arranco"",IF(REGEXMATCH($B52,""(?i)arremesso""),""Arremesso"",""""))
    )
   )
  )
 )
),
prs!$A$30:$D$36,
4,
FALSE
)
,"""")"),"")</f>
        <v/>
      </c>
      <c r="G52" s="46"/>
      <c r="H52" s="47"/>
      <c r="I52" s="53"/>
      <c r="J52" s="43"/>
      <c r="K52" s="43"/>
      <c r="L52" s="44"/>
      <c r="M52" s="46" t="str">
        <f>IFERROR(__xludf.DUMMYFUNCTION("IFERROR(
$L52/
VLOOKUP(
IF(
 REGEXMATCH($I52,""(?i)agachamento""),""Agachamento"",
 IF(
  REGEXMATCH($I52,""(?i)supino""),""Supino"",
  IF(
   REGEXMATCH($I52,""(?i)terra""),""Terra"",
   IF(
    REGEXMATCH($I52,""(?i)desenvolvimento""),""Desenvolvimento"&amp;""",
    IF(
     REGEXMATCH($I52,""(?i)remada""),""Remada"",
     IF(REGEXMATCH($I52,""(?i)arranco""),""Arranco"",IF(REGEXMATCH($I52,""(?i)arremesso""),""Arremesso"",""""))
    )
   )
  )
 )
),
prs!$A$30:$D$36,
4,
FALSE
)
,"""")"),"")</f>
        <v/>
      </c>
      <c r="N52" s="46"/>
      <c r="O52" s="49"/>
      <c r="P52" s="53"/>
      <c r="Q52" s="43"/>
      <c r="R52" s="43"/>
      <c r="S52" s="44"/>
      <c r="T52" s="46" t="str">
        <f>IFERROR(__xludf.DUMMYFUNCTION("IFERROR(
$S52/
VLOOKUP(
IF(
 REGEXMATCH($P52,""(?i)agachamento""),""Agachamento"",
 IF(
  REGEXMATCH($P52,""(?i)supino""),""Supino"",
  IF(
   REGEXMATCH($P52,""(?i)terra""),""Terra"",
   IF(
    REGEXMATCH($P52,""(?i)desenvolvimento""),""Desenvolvimento"&amp;""",
    IF(
     REGEXMATCH($P52,""(?i)remada""),""Remada"",
     IF(REGEXMATCH($P52,""(?i)arranco""),""Arranco"",IF(REGEXMATCH($P52,""(?i)arremesso""),""Arremesso"",""""))
    )
   )
  )
 )
),
prs!$A$30:$D$36,
4,
FALSE
)
,"""")"),"")</f>
        <v/>
      </c>
      <c r="U52" s="46"/>
      <c r="V52" s="49"/>
      <c r="W52" s="53"/>
      <c r="X52" s="43"/>
      <c r="Y52" s="43"/>
      <c r="Z52" s="44"/>
      <c r="AA52" s="46" t="str">
        <f>IFERROR(__xludf.DUMMYFUNCTION("IFERROR(
$Z52/
VLOOKUP(
IF(
 REGEXMATCH($W52,""(?i)agachamento""),""Agachamento"",
 IF(
  REGEXMATCH($W52,""(?i)supino""),""Supino"",
  IF(
   REGEXMATCH($W52,""(?i)terra""),""Terra"",
   IF(
    REGEXMATCH($W52,""(?i)desenvolvimento""),""Desenvolvimento"&amp;""",
    IF(
     REGEXMATCH($W52,""(?i)remada""),""Remada"",
     IF(REGEXMATCH($W52,""(?i)arranco""),""Arranco"",IF(REGEXMATCH($W52,""(?i)arremesso""),""Arremesso"",""""))
    )
   )
  )
 )
),
prs!$A$30:$D$36,
4,
FALSE
)
,"""")"),"")</f>
        <v/>
      </c>
      <c r="AB52" s="46"/>
      <c r="AC52" s="49"/>
    </row>
    <row r="53" ht="15.75" customHeight="1">
      <c r="A53" s="49"/>
      <c r="B53" s="53"/>
      <c r="C53" s="43"/>
      <c r="D53" s="43"/>
      <c r="E53" s="44"/>
      <c r="F53" s="46" t="str">
        <f>IFERROR(__xludf.DUMMYFUNCTION("IFERROR(
$E53/
VLOOKUP(
IF(
 REGEXMATCH($B53,""(?i)agachamento""),""Agachamento"",
 IF(
  REGEXMATCH($B53,""(?i)supino""),""Supino"",
  IF(
   REGEXMATCH($B53,""(?i)terra""),""Terra"",
   IF(
    REGEXMATCH($B53,""(?i)desenvolvimento""),""Desenvolvimento"&amp;""",
    IF(
     REGEXMATCH($B53,""(?i)remada""),""Remada"",
     IF(REGEXMATCH($B53,""(?i)arranco""),""Arranco"",IF(REGEXMATCH($B53,""(?i)arremesso""),""Arremesso"",""""))
    )
   )
  )
 )
),
prs!$A$30:$D$36,
4,
FALSE
)
,"""")"),"")</f>
        <v/>
      </c>
      <c r="G53" s="46"/>
      <c r="H53" s="47"/>
      <c r="I53" s="53"/>
      <c r="J53" s="43"/>
      <c r="K53" s="43"/>
      <c r="L53" s="44"/>
      <c r="M53" s="46" t="str">
        <f>IFERROR(__xludf.DUMMYFUNCTION("IFERROR(
$L53/
VLOOKUP(
IF(
 REGEXMATCH($I53,""(?i)agachamento""),""Agachamento"",
 IF(
  REGEXMATCH($I53,""(?i)supino""),""Supino"",
  IF(
   REGEXMATCH($I53,""(?i)terra""),""Terra"",
   IF(
    REGEXMATCH($I53,""(?i)desenvolvimento""),""Desenvolvimento"&amp;""",
    IF(
     REGEXMATCH($I53,""(?i)remada""),""Remada"",
     IF(REGEXMATCH($I53,""(?i)arranco""),""Arranco"",IF(REGEXMATCH($I53,""(?i)arremesso""),""Arremesso"",""""))
    )
   )
  )
 )
),
prs!$A$30:$D$36,
4,
FALSE
)
,"""")"),"")</f>
        <v/>
      </c>
      <c r="N53" s="46"/>
      <c r="O53" s="49"/>
      <c r="P53" s="53"/>
      <c r="Q53" s="43"/>
      <c r="R53" s="43"/>
      <c r="S53" s="44"/>
      <c r="T53" s="46" t="str">
        <f>IFERROR(__xludf.DUMMYFUNCTION("IFERROR(
$S53/
VLOOKUP(
IF(
 REGEXMATCH($P53,""(?i)agachamento""),""Agachamento"",
 IF(
  REGEXMATCH($P53,""(?i)supino""),""Supino"",
  IF(
   REGEXMATCH($P53,""(?i)terra""),""Terra"",
   IF(
    REGEXMATCH($P53,""(?i)desenvolvimento""),""Desenvolvimento"&amp;""",
    IF(
     REGEXMATCH($P53,""(?i)remada""),""Remada"",
     IF(REGEXMATCH($P53,""(?i)arranco""),""Arranco"",IF(REGEXMATCH($P53,""(?i)arremesso""),""Arremesso"",""""))
    )
   )
  )
 )
),
prs!$A$30:$D$36,
4,
FALSE
)
,"""")"),"")</f>
        <v/>
      </c>
      <c r="U53" s="46"/>
      <c r="V53" s="49"/>
      <c r="W53" s="53"/>
      <c r="X53" s="43"/>
      <c r="Y53" s="43"/>
      <c r="Z53" s="44"/>
      <c r="AA53" s="46" t="str">
        <f>IFERROR(__xludf.DUMMYFUNCTION("IFERROR(
$Z53/
VLOOKUP(
IF(
 REGEXMATCH($W53,""(?i)agachamento""),""Agachamento"",
 IF(
  REGEXMATCH($W53,""(?i)supino""),""Supino"",
  IF(
   REGEXMATCH($W53,""(?i)terra""),""Terra"",
   IF(
    REGEXMATCH($W53,""(?i)desenvolvimento""),""Desenvolvimento"&amp;""",
    IF(
     REGEXMATCH($W53,""(?i)remada""),""Remada"",
     IF(REGEXMATCH($W53,""(?i)arranco""),""Arranco"",IF(REGEXMATCH($W53,""(?i)arremesso""),""Arremesso"",""""))
    )
   )
  )
 )
),
prs!$A$30:$D$36,
4,
FALSE
)
,"""")"),"")</f>
        <v/>
      </c>
      <c r="AB53" s="46"/>
      <c r="AC53" s="49"/>
    </row>
    <row r="54" ht="15.75" customHeight="1">
      <c r="A54" s="49"/>
      <c r="B54" s="53"/>
      <c r="C54" s="50"/>
      <c r="D54" s="50"/>
      <c r="E54" s="51"/>
      <c r="F54" s="46" t="str">
        <f>IFERROR(__xludf.DUMMYFUNCTION("IFERROR(
$E54/
VLOOKUP(
IF(
 REGEXMATCH($B54,""(?i)agachamento""),""Agachamento"",
 IF(
  REGEXMATCH($B54,""(?i)supino""),""Supino"",
  IF(
   REGEXMATCH($B54,""(?i)terra""),""Terra"",
   IF(
    REGEXMATCH($B54,""(?i)desenvolvimento""),""Desenvolvimento"&amp;""",
    IF(
     REGEXMATCH($B54,""(?i)remada""),""Remada"",
     IF(REGEXMATCH($B54,""(?i)arranco""),""Arranco"",IF(REGEXMATCH($B54,""(?i)arremesso""),""Arremesso"",""""))
    )
   )
  )
 )
),
prs!$A$30:$D$36,
4,
FALSE
)
,"""")"),"")</f>
        <v/>
      </c>
      <c r="G54" s="46"/>
      <c r="H54" s="47"/>
      <c r="I54" s="53"/>
      <c r="J54" s="50"/>
      <c r="K54" s="50"/>
      <c r="L54" s="51"/>
      <c r="M54" s="46" t="str">
        <f>IFERROR(__xludf.DUMMYFUNCTION("IFERROR(
$L54/
VLOOKUP(
IF(
 REGEXMATCH($I54,""(?i)agachamento""),""Agachamento"",
 IF(
  REGEXMATCH($I54,""(?i)supino""),""Supino"",
  IF(
   REGEXMATCH($I54,""(?i)terra""),""Terra"",
   IF(
    REGEXMATCH($I54,""(?i)desenvolvimento""),""Desenvolvimento"&amp;""",
    IF(
     REGEXMATCH($I54,""(?i)remada""),""Remada"",
     IF(REGEXMATCH($I54,""(?i)arranco""),""Arranco"",IF(REGEXMATCH($I54,""(?i)arremesso""),""Arremesso"",""""))
    )
   )
  )
 )
),
prs!$A$30:$D$36,
4,
FALSE
)
,"""")"),"")</f>
        <v/>
      </c>
      <c r="N54" s="46"/>
      <c r="O54" s="49"/>
      <c r="P54" s="53"/>
      <c r="Q54" s="50"/>
      <c r="R54" s="50"/>
      <c r="S54" s="51"/>
      <c r="T54" s="46" t="str">
        <f>IFERROR(__xludf.DUMMYFUNCTION("IFERROR(
$S54/
VLOOKUP(
IF(
 REGEXMATCH($P54,""(?i)agachamento""),""Agachamento"",
 IF(
  REGEXMATCH($P54,""(?i)supino""),""Supino"",
  IF(
   REGEXMATCH($P54,""(?i)terra""),""Terra"",
   IF(
    REGEXMATCH($P54,""(?i)desenvolvimento""),""Desenvolvimento"&amp;""",
    IF(
     REGEXMATCH($P54,""(?i)remada""),""Remada"",
     IF(REGEXMATCH($P54,""(?i)arranco""),""Arranco"",IF(REGEXMATCH($P54,""(?i)arremesso""),""Arremesso"",""""))
    )
   )
  )
 )
),
prs!$A$30:$D$36,
4,
FALSE
)
,"""")"),"")</f>
        <v/>
      </c>
      <c r="U54" s="46"/>
      <c r="V54" s="49"/>
      <c r="W54" s="53"/>
      <c r="X54" s="50"/>
      <c r="Y54" s="50"/>
      <c r="Z54" s="51"/>
      <c r="AA54" s="46" t="str">
        <f>IFERROR(__xludf.DUMMYFUNCTION("IFERROR(
$Z54/
VLOOKUP(
IF(
 REGEXMATCH($W54,""(?i)agachamento""),""Agachamento"",
 IF(
  REGEXMATCH($W54,""(?i)supino""),""Supino"",
  IF(
   REGEXMATCH($W54,""(?i)terra""),""Terra"",
   IF(
    REGEXMATCH($W54,""(?i)desenvolvimento""),""Desenvolvimento"&amp;""",
    IF(
     REGEXMATCH($W54,""(?i)remada""),""Remada"",
     IF(REGEXMATCH($W54,""(?i)arranco""),""Arranco"",IF(REGEXMATCH($W54,""(?i)arremesso""),""Arremesso"",""""))
    )
   )
  )
 )
),
prs!$A$30:$D$36,
4,
FALSE
)
,"""")"),"")</f>
        <v/>
      </c>
      <c r="AB54" s="46"/>
      <c r="AC54" s="49"/>
    </row>
    <row r="55" ht="15.75" customHeight="1">
      <c r="A55" s="49"/>
      <c r="B55" s="53"/>
      <c r="C55" s="50"/>
      <c r="D55" s="50"/>
      <c r="E55" s="51"/>
      <c r="F55" s="46" t="str">
        <f>IFERROR(__xludf.DUMMYFUNCTION("IFERROR(
$E55/
VLOOKUP(
IF(
 REGEXMATCH($B55,""(?i)agachamento""),""Agachamento"",
 IF(
  REGEXMATCH($B55,""(?i)supino""),""Supino"",
  IF(
   REGEXMATCH($B55,""(?i)terra""),""Terra"",
   IF(
    REGEXMATCH($B55,""(?i)desenvolvimento""),""Desenvolvimento"&amp;""",
    IF(
     REGEXMATCH($B55,""(?i)remada""),""Remada"",
     IF(REGEXMATCH($B55,""(?i)arranco""),""Arranco"",IF(REGEXMATCH($B55,""(?i)arremesso""),""Arremesso"",""""))
    )
   )
  )
 )
),
prs!$A$30:$D$36,
4,
FALSE
)
,"""")"),"")</f>
        <v/>
      </c>
      <c r="G55" s="46"/>
      <c r="H55" s="47"/>
      <c r="I55" s="53"/>
      <c r="J55" s="50"/>
      <c r="K55" s="50"/>
      <c r="L55" s="51"/>
      <c r="M55" s="46" t="str">
        <f>IFERROR(__xludf.DUMMYFUNCTION("IFERROR(
$L55/
VLOOKUP(
IF(
 REGEXMATCH($I55,""(?i)agachamento""),""Agachamento"",
 IF(
  REGEXMATCH($I55,""(?i)supino""),""Supino"",
  IF(
   REGEXMATCH($I55,""(?i)terra""),""Terra"",
   IF(
    REGEXMATCH($I55,""(?i)desenvolvimento""),""Desenvolvimento"&amp;""",
    IF(
     REGEXMATCH($I55,""(?i)remada""),""Remada"",
     IF(REGEXMATCH($I55,""(?i)arranco""),""Arranco"",IF(REGEXMATCH($I55,""(?i)arremesso""),""Arremesso"",""""))
    )
   )
  )
 )
),
prs!$A$30:$D$36,
4,
FALSE
)
,"""")"),"")</f>
        <v/>
      </c>
      <c r="N55" s="46"/>
      <c r="O55" s="49"/>
      <c r="P55" s="53"/>
      <c r="Q55" s="50"/>
      <c r="R55" s="50"/>
      <c r="S55" s="51"/>
      <c r="T55" s="46" t="str">
        <f>IFERROR(__xludf.DUMMYFUNCTION("IFERROR(
$S55/
VLOOKUP(
IF(
 REGEXMATCH($P55,""(?i)agachamento""),""Agachamento"",
 IF(
  REGEXMATCH($P55,""(?i)supino""),""Supino"",
  IF(
   REGEXMATCH($P55,""(?i)terra""),""Terra"",
   IF(
    REGEXMATCH($P55,""(?i)desenvolvimento""),""Desenvolvimento"&amp;""",
    IF(
     REGEXMATCH($P55,""(?i)remada""),""Remada"",
     IF(REGEXMATCH($P55,""(?i)arranco""),""Arranco"",IF(REGEXMATCH($P55,""(?i)arremesso""),""Arremesso"",""""))
    )
   )
  )
 )
),
prs!$A$30:$D$36,
4,
FALSE
)
,"""")"),"")</f>
        <v/>
      </c>
      <c r="U55" s="46"/>
      <c r="V55" s="49"/>
      <c r="W55" s="53"/>
      <c r="X55" s="50"/>
      <c r="Y55" s="50"/>
      <c r="Z55" s="51"/>
      <c r="AA55" s="46" t="str">
        <f>IFERROR(__xludf.DUMMYFUNCTION("IFERROR(
$Z55/
VLOOKUP(
IF(
 REGEXMATCH($W55,""(?i)agachamento""),""Agachamento"",
 IF(
  REGEXMATCH($W55,""(?i)supino""),""Supino"",
  IF(
   REGEXMATCH($W55,""(?i)terra""),""Terra"",
   IF(
    REGEXMATCH($W55,""(?i)desenvolvimento""),""Desenvolvimento"&amp;""",
    IF(
     REGEXMATCH($W55,""(?i)remada""),""Remada"",
     IF(REGEXMATCH($W55,""(?i)arranco""),""Arranco"",IF(REGEXMATCH($W55,""(?i)arremesso""),""Arremesso"",""""))
    )
   )
  )
 )
),
prs!$A$30:$D$36,
4,
FALSE
)
,"""")"),"")</f>
        <v/>
      </c>
      <c r="AB55" s="46"/>
      <c r="AC55" s="49"/>
    </row>
    <row r="56" ht="15.75" customHeight="1">
      <c r="A56" s="49"/>
      <c r="B56" s="53"/>
      <c r="C56" s="50"/>
      <c r="D56" s="50"/>
      <c r="E56" s="51"/>
      <c r="F56" s="46" t="str">
        <f>IFERROR(__xludf.DUMMYFUNCTION("IFERROR(
$E56/
VLOOKUP(
IF(
 REGEXMATCH($B56,""(?i)agachamento""),""Agachamento"",
 IF(
  REGEXMATCH($B56,""(?i)supino""),""Supino"",
  IF(
   REGEXMATCH($B56,""(?i)terra""),""Terra"",
   IF(
    REGEXMATCH($B56,""(?i)desenvolvimento""),""Desenvolvimento"&amp;""",
    IF(
     REGEXMATCH($B56,""(?i)remada""),""Remada"",
     IF(REGEXMATCH($B56,""(?i)arranco""),""Arranco"",IF(REGEXMATCH($B56,""(?i)arremesso""),""Arremesso"",""""))
    )
   )
  )
 )
),
prs!$A$30:$D$36,
4,
FALSE
)
,"""")"),"")</f>
        <v/>
      </c>
      <c r="G56" s="46"/>
      <c r="H56" s="47"/>
      <c r="I56" s="53"/>
      <c r="J56" s="50"/>
      <c r="K56" s="50"/>
      <c r="L56" s="51"/>
      <c r="M56" s="46" t="str">
        <f>IFERROR(__xludf.DUMMYFUNCTION("IFERROR(
$L56/
VLOOKUP(
IF(
 REGEXMATCH($I56,""(?i)agachamento""),""Agachamento"",
 IF(
  REGEXMATCH($I56,""(?i)supino""),""Supino"",
  IF(
   REGEXMATCH($I56,""(?i)terra""),""Terra"",
   IF(
    REGEXMATCH($I56,""(?i)desenvolvimento""),""Desenvolvimento"&amp;""",
    IF(
     REGEXMATCH($I56,""(?i)remada""),""Remada"",
     IF(REGEXMATCH($I56,""(?i)arranco""),""Arranco"",IF(REGEXMATCH($I56,""(?i)arremesso""),""Arremesso"",""""))
    )
   )
  )
 )
),
prs!$A$30:$D$36,
4,
FALSE
)
,"""")"),"")</f>
        <v/>
      </c>
      <c r="N56" s="46"/>
      <c r="O56" s="49"/>
      <c r="P56" s="53"/>
      <c r="Q56" s="50"/>
      <c r="R56" s="50"/>
      <c r="S56" s="51"/>
      <c r="T56" s="46" t="str">
        <f>IFERROR(__xludf.DUMMYFUNCTION("IFERROR(
$S56/
VLOOKUP(
IF(
 REGEXMATCH($P56,""(?i)agachamento""),""Agachamento"",
 IF(
  REGEXMATCH($P56,""(?i)supino""),""Supino"",
  IF(
   REGEXMATCH($P56,""(?i)terra""),""Terra"",
   IF(
    REGEXMATCH($P56,""(?i)desenvolvimento""),""Desenvolvimento"&amp;""",
    IF(
     REGEXMATCH($P56,""(?i)remada""),""Remada"",
     IF(REGEXMATCH($P56,""(?i)arranco""),""Arranco"",IF(REGEXMATCH($P56,""(?i)arremesso""),""Arremesso"",""""))
    )
   )
  )
 )
),
prs!$A$30:$D$36,
4,
FALSE
)
,"""")"),"")</f>
        <v/>
      </c>
      <c r="U56" s="46"/>
      <c r="V56" s="49"/>
      <c r="W56" s="53"/>
      <c r="X56" s="50"/>
      <c r="Y56" s="50"/>
      <c r="Z56" s="51"/>
      <c r="AA56" s="46" t="str">
        <f>IFERROR(__xludf.DUMMYFUNCTION("IFERROR(
$Z56/
VLOOKUP(
IF(
 REGEXMATCH($W56,""(?i)agachamento""),""Agachamento"",
 IF(
  REGEXMATCH($W56,""(?i)supino""),""Supino"",
  IF(
   REGEXMATCH($W56,""(?i)terra""),""Terra"",
   IF(
    REGEXMATCH($W56,""(?i)desenvolvimento""),""Desenvolvimento"&amp;""",
    IF(
     REGEXMATCH($W56,""(?i)remada""),""Remada"",
     IF(REGEXMATCH($W56,""(?i)arranco""),""Arranco"",IF(REGEXMATCH($W56,""(?i)arremesso""),""Arremesso"",""""))
    )
   )
  )
 )
),
prs!$A$30:$D$36,
4,
FALSE
)
,"""")"),"")</f>
        <v/>
      </c>
      <c r="AB56" s="46"/>
      <c r="AC56" s="49"/>
    </row>
    <row r="57" ht="15.75" customHeight="1">
      <c r="A57" s="49"/>
      <c r="B57" s="53"/>
      <c r="C57" s="50"/>
      <c r="D57" s="50"/>
      <c r="E57" s="51"/>
      <c r="F57" s="46" t="str">
        <f>IFERROR(__xludf.DUMMYFUNCTION("IFERROR(
$E57/
VLOOKUP(
IF(
 REGEXMATCH($B57,""(?i)agachamento""),""Agachamento"",
 IF(
  REGEXMATCH($B57,""(?i)supino""),""Supino"",
  IF(
   REGEXMATCH($B57,""(?i)terra""),""Terra"",
   IF(
    REGEXMATCH($B57,""(?i)desenvolvimento""),""Desenvolvimento"&amp;""",
    IF(
     REGEXMATCH($B57,""(?i)remada""),""Remada"",
     IF(REGEXMATCH($B57,""(?i)arranco""),""Arranco"",IF(REGEXMATCH($B57,""(?i)arremesso""),""Arremesso"",""""))
    )
   )
  )
 )
),
prs!$A$30:$D$36,
4,
FALSE
)
,"""")"),"")</f>
        <v/>
      </c>
      <c r="G57" s="46"/>
      <c r="H57" s="47"/>
      <c r="I57" s="53"/>
      <c r="J57" s="50"/>
      <c r="K57" s="50"/>
      <c r="L57" s="51"/>
      <c r="M57" s="46" t="str">
        <f>IFERROR(__xludf.DUMMYFUNCTION("IFERROR(
$L57/
VLOOKUP(
IF(
 REGEXMATCH($I57,""(?i)agachamento""),""Agachamento"",
 IF(
  REGEXMATCH($I57,""(?i)supino""),""Supino"",
  IF(
   REGEXMATCH($I57,""(?i)terra""),""Terra"",
   IF(
    REGEXMATCH($I57,""(?i)desenvolvimento""),""Desenvolvimento"&amp;""",
    IF(
     REGEXMATCH($I57,""(?i)remada""),""Remada"",
     IF(REGEXMATCH($I57,""(?i)arranco""),""Arranco"",IF(REGEXMATCH($I57,""(?i)arremesso""),""Arremesso"",""""))
    )
   )
  )
 )
),
prs!$A$30:$D$36,
4,
FALSE
)
,"""")"),"")</f>
        <v/>
      </c>
      <c r="N57" s="46"/>
      <c r="O57" s="49"/>
      <c r="P57" s="53"/>
      <c r="Q57" s="50"/>
      <c r="R57" s="50"/>
      <c r="S57" s="51"/>
      <c r="T57" s="46" t="str">
        <f>IFERROR(__xludf.DUMMYFUNCTION("IFERROR(
$S57/
VLOOKUP(
IF(
 REGEXMATCH($P57,""(?i)agachamento""),""Agachamento"",
 IF(
  REGEXMATCH($P57,""(?i)supino""),""Supino"",
  IF(
   REGEXMATCH($P57,""(?i)terra""),""Terra"",
   IF(
    REGEXMATCH($P57,""(?i)desenvolvimento""),""Desenvolvimento"&amp;""",
    IF(
     REGEXMATCH($P57,""(?i)remada""),""Remada"",
     IF(REGEXMATCH($P57,""(?i)arranco""),""Arranco"",IF(REGEXMATCH($P57,""(?i)arremesso""),""Arremesso"",""""))
    )
   )
  )
 )
),
prs!$A$30:$D$36,
4,
FALSE
)
,"""")"),"")</f>
        <v/>
      </c>
      <c r="U57" s="46"/>
      <c r="V57" s="49"/>
      <c r="W57" s="53"/>
      <c r="X57" s="50"/>
      <c r="Y57" s="50"/>
      <c r="Z57" s="51"/>
      <c r="AA57" s="46" t="str">
        <f>IFERROR(__xludf.DUMMYFUNCTION("IFERROR(
$Z57/
VLOOKUP(
IF(
 REGEXMATCH($W57,""(?i)agachamento""),""Agachamento"",
 IF(
  REGEXMATCH($W57,""(?i)supino""),""Supino"",
  IF(
   REGEXMATCH($W57,""(?i)terra""),""Terra"",
   IF(
    REGEXMATCH($W57,""(?i)desenvolvimento""),""Desenvolvimento"&amp;""",
    IF(
     REGEXMATCH($W57,""(?i)remada""),""Remada"",
     IF(REGEXMATCH($W57,""(?i)arranco""),""Arranco"",IF(REGEXMATCH($W57,""(?i)arremesso""),""Arremesso"",""""))
    )
   )
  )
 )
),
prs!$A$30:$D$36,
4,
FALSE
)
,"""")"),"")</f>
        <v/>
      </c>
      <c r="AB57" s="46"/>
      <c r="AC57" s="49"/>
    </row>
    <row r="58" ht="15.75" customHeight="1">
      <c r="A58" s="49"/>
      <c r="B58" s="53"/>
      <c r="C58" s="50"/>
      <c r="D58" s="50"/>
      <c r="E58" s="51"/>
      <c r="F58" s="46" t="str">
        <f>IFERROR(__xludf.DUMMYFUNCTION("IFERROR(
$E58/
VLOOKUP(
IF(
 REGEXMATCH($B58,""(?i)agachamento""),""Agachamento"",
 IF(
  REGEXMATCH($B58,""(?i)supino""),""Supino"",
  IF(
   REGEXMATCH($B58,""(?i)terra""),""Terra"",
   IF(
    REGEXMATCH($B58,""(?i)desenvolvimento""),""Desenvolvimento"&amp;""",
    IF(
     REGEXMATCH($B58,""(?i)remada""),""Remada"",
     IF(REGEXMATCH($B58,""(?i)arranco""),""Arranco"",IF(REGEXMATCH($B58,""(?i)arremesso""),""Arremesso"",""""))
    )
   )
  )
 )
),
prs!$A$30:$D$36,
4,
FALSE
)
,"""")"),"")</f>
        <v/>
      </c>
      <c r="G58" s="46"/>
      <c r="H58" s="47"/>
      <c r="I58" s="53"/>
      <c r="J58" s="50"/>
      <c r="K58" s="50"/>
      <c r="L58" s="51"/>
      <c r="M58" s="46" t="str">
        <f>IFERROR(__xludf.DUMMYFUNCTION("IFERROR(
$L58/
VLOOKUP(
IF(
 REGEXMATCH($I58,""(?i)agachamento""),""Agachamento"",
 IF(
  REGEXMATCH($I58,""(?i)supino""),""Supino"",
  IF(
   REGEXMATCH($I58,""(?i)terra""),""Terra"",
   IF(
    REGEXMATCH($I58,""(?i)desenvolvimento""),""Desenvolvimento"&amp;""",
    IF(
     REGEXMATCH($I58,""(?i)remada""),""Remada"",
     IF(REGEXMATCH($I58,""(?i)arranco""),""Arranco"",IF(REGEXMATCH($I58,""(?i)arremesso""),""Arremesso"",""""))
    )
   )
  )
 )
),
prs!$A$30:$D$36,
4,
FALSE
)
,"""")"),"")</f>
        <v/>
      </c>
      <c r="N58" s="46"/>
      <c r="O58" s="49"/>
      <c r="P58" s="53"/>
      <c r="Q58" s="50"/>
      <c r="R58" s="50"/>
      <c r="S58" s="51"/>
      <c r="T58" s="46" t="str">
        <f>IFERROR(__xludf.DUMMYFUNCTION("IFERROR(
$S58/
VLOOKUP(
IF(
 REGEXMATCH($P58,""(?i)agachamento""),""Agachamento"",
 IF(
  REGEXMATCH($P58,""(?i)supino""),""Supino"",
  IF(
   REGEXMATCH($P58,""(?i)terra""),""Terra"",
   IF(
    REGEXMATCH($P58,""(?i)desenvolvimento""),""Desenvolvimento"&amp;""",
    IF(
     REGEXMATCH($P58,""(?i)remada""),""Remada"",
     IF(REGEXMATCH($P58,""(?i)arranco""),""Arranco"",IF(REGEXMATCH($P58,""(?i)arremesso""),""Arremesso"",""""))
    )
   )
  )
 )
),
prs!$A$30:$D$36,
4,
FALSE
)
,"""")"),"")</f>
        <v/>
      </c>
      <c r="U58" s="46"/>
      <c r="V58" s="49"/>
      <c r="W58" s="53"/>
      <c r="X58" s="50"/>
      <c r="Y58" s="50"/>
      <c r="Z58" s="51"/>
      <c r="AA58" s="46" t="str">
        <f>IFERROR(__xludf.DUMMYFUNCTION("IFERROR(
$Z58/
VLOOKUP(
IF(
 REGEXMATCH($W58,""(?i)agachamento""),""Agachamento"",
 IF(
  REGEXMATCH($W58,""(?i)supino""),""Supino"",
  IF(
   REGEXMATCH($W58,""(?i)terra""),""Terra"",
   IF(
    REGEXMATCH($W58,""(?i)desenvolvimento""),""Desenvolvimento"&amp;""",
    IF(
     REGEXMATCH($W58,""(?i)remada""),""Remada"",
     IF(REGEXMATCH($W58,""(?i)arranco""),""Arranco"",IF(REGEXMATCH($W58,""(?i)arremesso""),""Arremesso"",""""))
    )
   )
  )
 )
),
prs!$A$30:$D$36,
4,
FALSE
)
,"""")"),"")</f>
        <v/>
      </c>
      <c r="AB58" s="46"/>
      <c r="AC58" s="49"/>
    </row>
    <row r="59" ht="15.75" customHeight="1">
      <c r="A59" s="49"/>
      <c r="B59" s="53"/>
      <c r="C59" s="50"/>
      <c r="D59" s="50"/>
      <c r="E59" s="51"/>
      <c r="F59" s="46" t="str">
        <f>IFERROR(__xludf.DUMMYFUNCTION("IFERROR(
$E59/
VLOOKUP(
IF(
 REGEXMATCH($B59,""(?i)agachamento""),""Agachamento"",
 IF(
  REGEXMATCH($B59,""(?i)supino""),""Supino"",
  IF(
   REGEXMATCH($B59,""(?i)terra""),""Terra"",
   IF(
    REGEXMATCH($B59,""(?i)desenvolvimento""),""Desenvolvimento"&amp;""",
    IF(
     REGEXMATCH($B59,""(?i)remada""),""Remada"",
     IF(REGEXMATCH($B59,""(?i)arranco""),""Arranco"",IF(REGEXMATCH($B59,""(?i)arremesso""),""Arremesso"",""""))
    )
   )
  )
 )
),
prs!$A$30:$D$36,
4,
FALSE
)
,"""")"),"")</f>
        <v/>
      </c>
      <c r="G59" s="46"/>
      <c r="H59" s="47"/>
      <c r="I59" s="53"/>
      <c r="J59" s="50"/>
      <c r="K59" s="50"/>
      <c r="L59" s="51"/>
      <c r="M59" s="46" t="str">
        <f>IFERROR(__xludf.DUMMYFUNCTION("IFERROR(
$L59/
VLOOKUP(
IF(
 REGEXMATCH($I59,""(?i)agachamento""),""Agachamento"",
 IF(
  REGEXMATCH($I59,""(?i)supino""),""Supino"",
  IF(
   REGEXMATCH($I59,""(?i)terra""),""Terra"",
   IF(
    REGEXMATCH($I59,""(?i)desenvolvimento""),""Desenvolvimento"&amp;""",
    IF(
     REGEXMATCH($I59,""(?i)remada""),""Remada"",
     IF(REGEXMATCH($I59,""(?i)arranco""),""Arranco"",IF(REGEXMATCH($I59,""(?i)arremesso""),""Arremesso"",""""))
    )
   )
  )
 )
),
prs!$A$30:$D$36,
4,
FALSE
)
,"""")"),"")</f>
        <v/>
      </c>
      <c r="N59" s="46"/>
      <c r="O59" s="49"/>
      <c r="P59" s="53"/>
      <c r="Q59" s="50"/>
      <c r="R59" s="50"/>
      <c r="S59" s="51"/>
      <c r="T59" s="46" t="str">
        <f>IFERROR(__xludf.DUMMYFUNCTION("IFERROR(
$S59/
VLOOKUP(
IF(
 REGEXMATCH($P59,""(?i)agachamento""),""Agachamento"",
 IF(
  REGEXMATCH($P59,""(?i)supino""),""Supino"",
  IF(
   REGEXMATCH($P59,""(?i)terra""),""Terra"",
   IF(
    REGEXMATCH($P59,""(?i)desenvolvimento""),""Desenvolvimento"&amp;""",
    IF(
     REGEXMATCH($P59,""(?i)remada""),""Remada"",
     IF(REGEXMATCH($P59,""(?i)arranco""),""Arranco"",IF(REGEXMATCH($P59,""(?i)arremesso""),""Arremesso"",""""))
    )
   )
  )
 )
),
prs!$A$30:$D$36,
4,
FALSE
)
,"""")"),"")</f>
        <v/>
      </c>
      <c r="U59" s="46"/>
      <c r="V59" s="49"/>
      <c r="W59" s="53"/>
      <c r="X59" s="50"/>
      <c r="Y59" s="50"/>
      <c r="Z59" s="51"/>
      <c r="AA59" s="46" t="str">
        <f>IFERROR(__xludf.DUMMYFUNCTION("IFERROR(
$Z59/
VLOOKUP(
IF(
 REGEXMATCH($W59,""(?i)agachamento""),""Agachamento"",
 IF(
  REGEXMATCH($W59,""(?i)supino""),""Supino"",
  IF(
   REGEXMATCH($W59,""(?i)terra""),""Terra"",
   IF(
    REGEXMATCH($W59,""(?i)desenvolvimento""),""Desenvolvimento"&amp;""",
    IF(
     REGEXMATCH($W59,""(?i)remada""),""Remada"",
     IF(REGEXMATCH($W59,""(?i)arranco""),""Arranco"",IF(REGEXMATCH($W59,""(?i)arremesso""),""Arremesso"",""""))
    )
   )
  )
 )
),
prs!$A$30:$D$36,
4,
FALSE
)
,"""")"),"")</f>
        <v/>
      </c>
      <c r="AB59" s="46"/>
      <c r="AC59" s="49"/>
    </row>
    <row r="60" ht="15.75" customHeight="1">
      <c r="A60" s="49"/>
      <c r="B60" s="53"/>
      <c r="C60" s="50"/>
      <c r="D60" s="50"/>
      <c r="E60" s="51"/>
      <c r="F60" s="46" t="str">
        <f>IFERROR(__xludf.DUMMYFUNCTION("IFERROR(
$E60/
VLOOKUP(
IF(
 REGEXMATCH($B60,""(?i)agachamento""),""Agachamento"",
 IF(
  REGEXMATCH($B60,""(?i)supino""),""Supino"",
  IF(
   REGEXMATCH($B60,""(?i)terra""),""Terra"",
   IF(
    REGEXMATCH($B60,""(?i)desenvolvimento""),""Desenvolvimento"&amp;""",
    IF(
     REGEXMATCH($B60,""(?i)remada""),""Remada"",
     IF(REGEXMATCH($B60,""(?i)arranco""),""Arranco"",IF(REGEXMATCH($B60,""(?i)arremesso""),""Arremesso"",""""))
    )
   )
  )
 )
),
prs!$A$30:$D$36,
4,
FALSE
)
,"""")"),"")</f>
        <v/>
      </c>
      <c r="G60" s="46"/>
      <c r="H60" s="47"/>
      <c r="I60" s="53"/>
      <c r="J60" s="50"/>
      <c r="K60" s="50"/>
      <c r="L60" s="51"/>
      <c r="M60" s="46" t="str">
        <f>IFERROR(__xludf.DUMMYFUNCTION("IFERROR(
$L60/
VLOOKUP(
IF(
 REGEXMATCH($I60,""(?i)agachamento""),""Agachamento"",
 IF(
  REGEXMATCH($I60,""(?i)supino""),""Supino"",
  IF(
   REGEXMATCH($I60,""(?i)terra""),""Terra"",
   IF(
    REGEXMATCH($I60,""(?i)desenvolvimento""),""Desenvolvimento"&amp;""",
    IF(
     REGEXMATCH($I60,""(?i)remada""),""Remada"",
     IF(REGEXMATCH($I60,""(?i)arranco""),""Arranco"",IF(REGEXMATCH($I60,""(?i)arremesso""),""Arremesso"",""""))
    )
   )
  )
 )
),
prs!$A$30:$D$36,
4,
FALSE
)
,"""")"),"")</f>
        <v/>
      </c>
      <c r="N60" s="46"/>
      <c r="O60" s="49"/>
      <c r="P60" s="53"/>
      <c r="Q60" s="50"/>
      <c r="R60" s="50"/>
      <c r="S60" s="51"/>
      <c r="T60" s="46" t="str">
        <f>IFERROR(__xludf.DUMMYFUNCTION("IFERROR(
$S60/
VLOOKUP(
IF(
 REGEXMATCH($P60,""(?i)agachamento""),""Agachamento"",
 IF(
  REGEXMATCH($P60,""(?i)supino""),""Supino"",
  IF(
   REGEXMATCH($P60,""(?i)terra""),""Terra"",
   IF(
    REGEXMATCH($P60,""(?i)desenvolvimento""),""Desenvolvimento"&amp;""",
    IF(
     REGEXMATCH($P60,""(?i)remada""),""Remada"",
     IF(REGEXMATCH($P60,""(?i)arranco""),""Arranco"",IF(REGEXMATCH($P60,""(?i)arremesso""),""Arremesso"",""""))
    )
   )
  )
 )
),
prs!$A$30:$D$36,
4,
FALSE
)
,"""")"),"")</f>
        <v/>
      </c>
      <c r="U60" s="46"/>
      <c r="V60" s="49"/>
      <c r="W60" s="53"/>
      <c r="X60" s="50"/>
      <c r="Y60" s="50"/>
      <c r="Z60" s="51"/>
      <c r="AA60" s="46" t="str">
        <f>IFERROR(__xludf.DUMMYFUNCTION("IFERROR(
$Z60/
VLOOKUP(
IF(
 REGEXMATCH($W60,""(?i)agachamento""),""Agachamento"",
 IF(
  REGEXMATCH($W60,""(?i)supino""),""Supino"",
  IF(
   REGEXMATCH($W60,""(?i)terra""),""Terra"",
   IF(
    REGEXMATCH($W60,""(?i)desenvolvimento""),""Desenvolvimento"&amp;""",
    IF(
     REGEXMATCH($W60,""(?i)remada""),""Remada"",
     IF(REGEXMATCH($W60,""(?i)arranco""),""Arranco"",IF(REGEXMATCH($W60,""(?i)arremesso""),""Arremesso"",""""))
    )
   )
  )
 )
),
prs!$A$30:$D$36,
4,
FALSE
)
,"""")"),"")</f>
        <v/>
      </c>
      <c r="AB60" s="46"/>
      <c r="AC60" s="49"/>
    </row>
    <row r="61" ht="15.75" customHeight="1">
      <c r="A61" s="31"/>
      <c r="B61" s="52"/>
      <c r="C61" s="32" t="s">
        <v>20</v>
      </c>
      <c r="H61" s="29"/>
      <c r="I61" s="52"/>
      <c r="J61" s="32" t="s">
        <v>23</v>
      </c>
      <c r="O61" s="29"/>
      <c r="P61" s="52"/>
      <c r="Q61" s="32" t="s">
        <v>24</v>
      </c>
      <c r="V61" s="29"/>
      <c r="W61" s="52"/>
      <c r="X61" s="32" t="s">
        <v>25</v>
      </c>
      <c r="AC61" s="47"/>
    </row>
    <row r="62" ht="15.75" customHeight="1">
      <c r="A62" s="47"/>
      <c r="B62" s="47"/>
      <c r="C62" s="47"/>
      <c r="D62" s="47"/>
      <c r="H62" s="47"/>
      <c r="I62" s="47"/>
      <c r="J62" s="47"/>
      <c r="K62" s="47"/>
      <c r="O62" s="47"/>
      <c r="P62" s="47"/>
      <c r="Q62" s="47"/>
      <c r="R62" s="47"/>
      <c r="V62" s="47"/>
      <c r="W62" s="47"/>
      <c r="X62" s="47"/>
      <c r="Y62" s="47"/>
      <c r="AC62" s="47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2">
    <mergeCell ref="D2:G2"/>
    <mergeCell ref="K2:N2"/>
    <mergeCell ref="R2:U2"/>
    <mergeCell ref="Y2:AB2"/>
    <mergeCell ref="J3:N3"/>
    <mergeCell ref="Q3:U3"/>
    <mergeCell ref="X3:AB3"/>
    <mergeCell ref="C3:G3"/>
    <mergeCell ref="C16:G16"/>
    <mergeCell ref="J16:N16"/>
    <mergeCell ref="Q16:U16"/>
    <mergeCell ref="D17:G17"/>
    <mergeCell ref="R17:U17"/>
    <mergeCell ref="C18:G18"/>
    <mergeCell ref="Q18:U18"/>
    <mergeCell ref="K17:N17"/>
    <mergeCell ref="J18:N18"/>
    <mergeCell ref="C31:G31"/>
    <mergeCell ref="J31:N31"/>
    <mergeCell ref="Q31:U31"/>
    <mergeCell ref="K32:N32"/>
    <mergeCell ref="R32:U32"/>
    <mergeCell ref="J46:N46"/>
    <mergeCell ref="K47:N47"/>
    <mergeCell ref="J48:N48"/>
    <mergeCell ref="J61:N61"/>
    <mergeCell ref="Q61:U61"/>
    <mergeCell ref="K62:N62"/>
    <mergeCell ref="R62:U62"/>
    <mergeCell ref="D47:G47"/>
    <mergeCell ref="C48:G48"/>
    <mergeCell ref="C61:G61"/>
    <mergeCell ref="D62:G62"/>
    <mergeCell ref="D32:G32"/>
    <mergeCell ref="C33:G33"/>
    <mergeCell ref="J33:N33"/>
    <mergeCell ref="Q33:U33"/>
    <mergeCell ref="C46:G46"/>
    <mergeCell ref="Q46:U46"/>
    <mergeCell ref="R47:U47"/>
    <mergeCell ref="Q48:U48"/>
    <mergeCell ref="Y47:AB47"/>
    <mergeCell ref="X48:AB48"/>
    <mergeCell ref="X61:AB61"/>
    <mergeCell ref="Y62:AB62"/>
    <mergeCell ref="X16:AB16"/>
    <mergeCell ref="Y17:AB17"/>
    <mergeCell ref="X18:AB18"/>
    <mergeCell ref="X31:AB31"/>
    <mergeCell ref="Y32:AB32"/>
    <mergeCell ref="X33:AB33"/>
    <mergeCell ref="X46:AB46"/>
  </mergeCells>
  <conditionalFormatting sqref="B6:B15 B36:B4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36:I4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36:P4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36:W45">
    <cfRule type="colorScale" priority="4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3.75"/>
    <col customWidth="1" min="2" max="6" width="12.63"/>
  </cols>
  <sheetData>
    <row r="1" ht="15.75" customHeight="1">
      <c r="A1" s="55"/>
      <c r="B1" s="49"/>
      <c r="C1" s="49"/>
      <c r="D1" s="49"/>
      <c r="E1" s="49"/>
      <c r="F1" s="49"/>
      <c r="G1" s="49"/>
      <c r="H1" s="49"/>
      <c r="I1" s="49"/>
      <c r="J1" s="49"/>
    </row>
    <row r="2" ht="15.75" customHeight="1">
      <c r="A2" s="56" t="s">
        <v>29</v>
      </c>
      <c r="B2" s="57" t="s">
        <v>30</v>
      </c>
      <c r="C2" s="49"/>
      <c r="D2" s="49"/>
      <c r="E2" s="49"/>
      <c r="F2" s="49"/>
      <c r="G2" s="49"/>
      <c r="H2" s="49"/>
      <c r="I2" s="49"/>
      <c r="J2" s="49"/>
    </row>
    <row r="3" ht="15.75" customHeight="1">
      <c r="A3" s="58" t="s">
        <v>31</v>
      </c>
      <c r="B3" s="59">
        <f>macro!B6</f>
        <v>46296</v>
      </c>
      <c r="C3" s="49"/>
      <c r="D3" s="49"/>
      <c r="E3" s="49"/>
      <c r="F3" s="49"/>
      <c r="G3" s="49"/>
      <c r="H3" s="49"/>
      <c r="I3" s="49"/>
      <c r="J3" s="49"/>
    </row>
    <row r="4" ht="15.75" customHeight="1">
      <c r="A4" s="49"/>
      <c r="B4" s="49"/>
      <c r="C4" s="49"/>
      <c r="D4" s="49"/>
      <c r="E4" s="49"/>
      <c r="F4" s="49"/>
      <c r="G4" s="49"/>
      <c r="H4" s="49"/>
      <c r="I4" s="49"/>
      <c r="J4" s="49"/>
    </row>
    <row r="5" ht="15.75" customHeight="1">
      <c r="A5" s="60"/>
      <c r="B5" s="61" t="s">
        <v>16</v>
      </c>
      <c r="C5" s="62" t="s">
        <v>15</v>
      </c>
      <c r="D5" s="63">
        <v>1.0</v>
      </c>
      <c r="E5" s="63">
        <v>0.95</v>
      </c>
      <c r="F5" s="63">
        <v>0.9</v>
      </c>
      <c r="G5" s="63">
        <v>0.85</v>
      </c>
      <c r="H5" s="63">
        <v>0.8</v>
      </c>
      <c r="I5" s="63">
        <v>0.75</v>
      </c>
      <c r="J5" s="64">
        <v>0.7</v>
      </c>
    </row>
    <row r="6" ht="15.75" customHeight="1">
      <c r="A6" s="65" t="s">
        <v>32</v>
      </c>
      <c r="B6" s="66"/>
      <c r="C6" s="67"/>
      <c r="D6" s="68">
        <f t="shared" ref="D6:D12" si="1">C6/(1.0278-(0.0278*B6))</f>
        <v>0</v>
      </c>
      <c r="E6" s="68">
        <f t="shared" ref="E6:E12" si="2">(D6*0.95)</f>
        <v>0</v>
      </c>
      <c r="F6" s="68">
        <f t="shared" ref="F6:F12" si="3">(D6*0.9)</f>
        <v>0</v>
      </c>
      <c r="G6" s="68">
        <f t="shared" ref="G6:G12" si="4">(D6*0.85)</f>
        <v>0</v>
      </c>
      <c r="H6" s="68">
        <f t="shared" ref="H6:H12" si="5">(D6*0.8)</f>
        <v>0</v>
      </c>
      <c r="I6" s="68">
        <f t="shared" ref="I6:I12" si="6">(D6*0.75)</f>
        <v>0</v>
      </c>
      <c r="J6" s="69">
        <f t="shared" ref="J6:J12" si="7">(D6*0.7)</f>
        <v>0</v>
      </c>
    </row>
    <row r="7" ht="15.75" customHeight="1">
      <c r="A7" s="65" t="s">
        <v>33</v>
      </c>
      <c r="B7" s="70"/>
      <c r="C7" s="44"/>
      <c r="D7" s="68">
        <f t="shared" si="1"/>
        <v>0</v>
      </c>
      <c r="E7" s="68">
        <f t="shared" si="2"/>
        <v>0</v>
      </c>
      <c r="F7" s="68">
        <f t="shared" si="3"/>
        <v>0</v>
      </c>
      <c r="G7" s="68">
        <f t="shared" si="4"/>
        <v>0</v>
      </c>
      <c r="H7" s="68">
        <f t="shared" si="5"/>
        <v>0</v>
      </c>
      <c r="I7" s="68">
        <f t="shared" si="6"/>
        <v>0</v>
      </c>
      <c r="J7" s="69">
        <f t="shared" si="7"/>
        <v>0</v>
      </c>
    </row>
    <row r="8" ht="15.75" customHeight="1">
      <c r="A8" s="65" t="s">
        <v>34</v>
      </c>
      <c r="B8" s="70"/>
      <c r="C8" s="44"/>
      <c r="D8" s="68">
        <f t="shared" si="1"/>
        <v>0</v>
      </c>
      <c r="E8" s="68">
        <f t="shared" si="2"/>
        <v>0</v>
      </c>
      <c r="F8" s="68">
        <f t="shared" si="3"/>
        <v>0</v>
      </c>
      <c r="G8" s="68">
        <f t="shared" si="4"/>
        <v>0</v>
      </c>
      <c r="H8" s="68">
        <f t="shared" si="5"/>
        <v>0</v>
      </c>
      <c r="I8" s="68">
        <f t="shared" si="6"/>
        <v>0</v>
      </c>
      <c r="J8" s="69">
        <f t="shared" si="7"/>
        <v>0</v>
      </c>
    </row>
    <row r="9" ht="15.75" customHeight="1">
      <c r="A9" s="65" t="s">
        <v>35</v>
      </c>
      <c r="B9" s="71"/>
      <c r="C9" s="51"/>
      <c r="D9" s="68">
        <f t="shared" si="1"/>
        <v>0</v>
      </c>
      <c r="E9" s="68">
        <f t="shared" si="2"/>
        <v>0</v>
      </c>
      <c r="F9" s="68">
        <f t="shared" si="3"/>
        <v>0</v>
      </c>
      <c r="G9" s="68">
        <f t="shared" si="4"/>
        <v>0</v>
      </c>
      <c r="H9" s="68">
        <f t="shared" si="5"/>
        <v>0</v>
      </c>
      <c r="I9" s="68">
        <f t="shared" si="6"/>
        <v>0</v>
      </c>
      <c r="J9" s="69">
        <f t="shared" si="7"/>
        <v>0</v>
      </c>
    </row>
    <row r="10" ht="15.75" customHeight="1">
      <c r="A10" s="65" t="s">
        <v>36</v>
      </c>
      <c r="B10" s="71"/>
      <c r="C10" s="51"/>
      <c r="D10" s="68">
        <f t="shared" si="1"/>
        <v>0</v>
      </c>
      <c r="E10" s="68">
        <f t="shared" si="2"/>
        <v>0</v>
      </c>
      <c r="F10" s="68">
        <f t="shared" si="3"/>
        <v>0</v>
      </c>
      <c r="G10" s="68">
        <f t="shared" si="4"/>
        <v>0</v>
      </c>
      <c r="H10" s="68">
        <f t="shared" si="5"/>
        <v>0</v>
      </c>
      <c r="I10" s="68">
        <f t="shared" si="6"/>
        <v>0</v>
      </c>
      <c r="J10" s="69">
        <f t="shared" si="7"/>
        <v>0</v>
      </c>
    </row>
    <row r="11" ht="15.75" customHeight="1">
      <c r="A11" s="65" t="s">
        <v>37</v>
      </c>
      <c r="B11" s="71"/>
      <c r="C11" s="51"/>
      <c r="D11" s="68">
        <f t="shared" si="1"/>
        <v>0</v>
      </c>
      <c r="E11" s="68">
        <f t="shared" si="2"/>
        <v>0</v>
      </c>
      <c r="F11" s="68">
        <f t="shared" si="3"/>
        <v>0</v>
      </c>
      <c r="G11" s="68">
        <f t="shared" si="4"/>
        <v>0</v>
      </c>
      <c r="H11" s="68">
        <f t="shared" si="5"/>
        <v>0</v>
      </c>
      <c r="I11" s="68">
        <f t="shared" si="6"/>
        <v>0</v>
      </c>
      <c r="J11" s="69">
        <f t="shared" si="7"/>
        <v>0</v>
      </c>
    </row>
    <row r="12" ht="15.75" customHeight="1">
      <c r="A12" s="72" t="s">
        <v>38</v>
      </c>
      <c r="B12" s="73"/>
      <c r="C12" s="74"/>
      <c r="D12" s="75">
        <f t="shared" si="1"/>
        <v>0</v>
      </c>
      <c r="E12" s="75">
        <f t="shared" si="2"/>
        <v>0</v>
      </c>
      <c r="F12" s="75">
        <f t="shared" si="3"/>
        <v>0</v>
      </c>
      <c r="G12" s="75">
        <f t="shared" si="4"/>
        <v>0</v>
      </c>
      <c r="H12" s="75">
        <f t="shared" si="5"/>
        <v>0</v>
      </c>
      <c r="I12" s="75">
        <f t="shared" si="6"/>
        <v>0</v>
      </c>
      <c r="J12" s="76">
        <f t="shared" si="7"/>
        <v>0</v>
      </c>
    </row>
    <row r="13" ht="15.75" customHeight="1">
      <c r="A13" s="55"/>
      <c r="B13" s="49"/>
      <c r="C13" s="49"/>
      <c r="D13" s="49"/>
      <c r="E13" s="49"/>
      <c r="F13" s="49"/>
      <c r="G13" s="49"/>
      <c r="H13" s="49"/>
      <c r="I13" s="49"/>
      <c r="J13" s="49"/>
    </row>
    <row r="14" ht="15.75" customHeight="1">
      <c r="A14" s="56" t="s">
        <v>29</v>
      </c>
      <c r="B14" s="57" t="s">
        <v>39</v>
      </c>
      <c r="C14" s="49"/>
      <c r="D14" s="49"/>
      <c r="E14" s="49"/>
      <c r="F14" s="49"/>
      <c r="G14" s="49"/>
      <c r="H14" s="49"/>
      <c r="I14" s="49"/>
      <c r="J14" s="49"/>
    </row>
    <row r="15" ht="15.75" customHeight="1">
      <c r="A15" s="58" t="s">
        <v>31</v>
      </c>
      <c r="B15" s="59">
        <f>B3+28</f>
        <v>46324</v>
      </c>
      <c r="C15" s="49"/>
      <c r="D15" s="49"/>
      <c r="E15" s="49"/>
      <c r="F15" s="49"/>
      <c r="G15" s="49"/>
      <c r="H15" s="49"/>
      <c r="I15" s="49"/>
      <c r="J15" s="49"/>
    </row>
    <row r="16" ht="15.75" customHeight="1">
      <c r="A16" s="49"/>
      <c r="B16" s="49"/>
      <c r="C16" s="49"/>
      <c r="D16" s="49"/>
      <c r="E16" s="49"/>
      <c r="F16" s="49"/>
      <c r="G16" s="49"/>
      <c r="H16" s="49"/>
      <c r="I16" s="49"/>
      <c r="J16" s="49"/>
    </row>
    <row r="17" ht="15.75" customHeight="1">
      <c r="A17" s="60"/>
      <c r="B17" s="61" t="s">
        <v>16</v>
      </c>
      <c r="C17" s="62" t="s">
        <v>15</v>
      </c>
      <c r="D17" s="63">
        <v>1.0</v>
      </c>
      <c r="E17" s="63">
        <v>0.95</v>
      </c>
      <c r="F17" s="63">
        <v>0.9</v>
      </c>
      <c r="G17" s="63">
        <v>0.85</v>
      </c>
      <c r="H17" s="63">
        <v>0.8</v>
      </c>
      <c r="I17" s="63">
        <v>0.75</v>
      </c>
      <c r="J17" s="63">
        <v>0.7</v>
      </c>
    </row>
    <row r="18" ht="15.75" customHeight="1">
      <c r="A18" s="65" t="s">
        <v>32</v>
      </c>
      <c r="B18" s="66"/>
      <c r="C18" s="67"/>
      <c r="D18" s="77">
        <f t="shared" ref="D18:D24" si="8">C18/(1.0278-(0.0278*B18))</f>
        <v>0</v>
      </c>
      <c r="E18" s="77">
        <f t="shared" ref="E18:E24" si="9">(D18*0.95)</f>
        <v>0</v>
      </c>
      <c r="F18" s="77">
        <f t="shared" ref="F18:F24" si="10">(D18*0.9)</f>
        <v>0</v>
      </c>
      <c r="G18" s="77">
        <f t="shared" ref="G18:G24" si="11">(D18*0.85)</f>
        <v>0</v>
      </c>
      <c r="H18" s="77">
        <f t="shared" ref="H18:H24" si="12">(D18*0.8)</f>
        <v>0</v>
      </c>
      <c r="I18" s="77">
        <f t="shared" ref="I18:I24" si="13">(D18*0.75)</f>
        <v>0</v>
      </c>
      <c r="J18" s="78">
        <f t="shared" ref="J18:J24" si="14">(D18*0.7)</f>
        <v>0</v>
      </c>
    </row>
    <row r="19" ht="15.75" customHeight="1">
      <c r="A19" s="65" t="s">
        <v>33</v>
      </c>
      <c r="B19" s="70"/>
      <c r="C19" s="44"/>
      <c r="D19" s="68">
        <f t="shared" si="8"/>
        <v>0</v>
      </c>
      <c r="E19" s="68">
        <f t="shared" si="9"/>
        <v>0</v>
      </c>
      <c r="F19" s="68">
        <f t="shared" si="10"/>
        <v>0</v>
      </c>
      <c r="G19" s="68">
        <f t="shared" si="11"/>
        <v>0</v>
      </c>
      <c r="H19" s="68">
        <f t="shared" si="12"/>
        <v>0</v>
      </c>
      <c r="I19" s="68">
        <f t="shared" si="13"/>
        <v>0</v>
      </c>
      <c r="J19" s="69">
        <f t="shared" si="14"/>
        <v>0</v>
      </c>
    </row>
    <row r="20" ht="15.75" customHeight="1">
      <c r="A20" s="65" t="s">
        <v>34</v>
      </c>
      <c r="B20" s="70"/>
      <c r="C20" s="44"/>
      <c r="D20" s="68">
        <f t="shared" si="8"/>
        <v>0</v>
      </c>
      <c r="E20" s="68">
        <f t="shared" si="9"/>
        <v>0</v>
      </c>
      <c r="F20" s="68">
        <f t="shared" si="10"/>
        <v>0</v>
      </c>
      <c r="G20" s="68">
        <f t="shared" si="11"/>
        <v>0</v>
      </c>
      <c r="H20" s="68">
        <f t="shared" si="12"/>
        <v>0</v>
      </c>
      <c r="I20" s="68">
        <f t="shared" si="13"/>
        <v>0</v>
      </c>
      <c r="J20" s="69">
        <f t="shared" si="14"/>
        <v>0</v>
      </c>
    </row>
    <row r="21" ht="15.75" customHeight="1">
      <c r="A21" s="65" t="s">
        <v>35</v>
      </c>
      <c r="B21" s="71"/>
      <c r="C21" s="51"/>
      <c r="D21" s="68">
        <f t="shared" si="8"/>
        <v>0</v>
      </c>
      <c r="E21" s="68">
        <f t="shared" si="9"/>
        <v>0</v>
      </c>
      <c r="F21" s="68">
        <f t="shared" si="10"/>
        <v>0</v>
      </c>
      <c r="G21" s="68">
        <f t="shared" si="11"/>
        <v>0</v>
      </c>
      <c r="H21" s="68">
        <f t="shared" si="12"/>
        <v>0</v>
      </c>
      <c r="I21" s="68">
        <f t="shared" si="13"/>
        <v>0</v>
      </c>
      <c r="J21" s="69">
        <f t="shared" si="14"/>
        <v>0</v>
      </c>
    </row>
    <row r="22" ht="15.75" customHeight="1">
      <c r="A22" s="65" t="s">
        <v>36</v>
      </c>
      <c r="B22" s="71"/>
      <c r="C22" s="51"/>
      <c r="D22" s="68">
        <f t="shared" si="8"/>
        <v>0</v>
      </c>
      <c r="E22" s="68">
        <f t="shared" si="9"/>
        <v>0</v>
      </c>
      <c r="F22" s="68">
        <f t="shared" si="10"/>
        <v>0</v>
      </c>
      <c r="G22" s="68">
        <f t="shared" si="11"/>
        <v>0</v>
      </c>
      <c r="H22" s="68">
        <f t="shared" si="12"/>
        <v>0</v>
      </c>
      <c r="I22" s="68">
        <f t="shared" si="13"/>
        <v>0</v>
      </c>
      <c r="J22" s="69">
        <f t="shared" si="14"/>
        <v>0</v>
      </c>
    </row>
    <row r="23" ht="15.75" customHeight="1">
      <c r="A23" s="79" t="s">
        <v>37</v>
      </c>
      <c r="B23" s="71"/>
      <c r="C23" s="51"/>
      <c r="D23" s="68">
        <f t="shared" si="8"/>
        <v>0</v>
      </c>
      <c r="E23" s="68">
        <f t="shared" si="9"/>
        <v>0</v>
      </c>
      <c r="F23" s="68">
        <f t="shared" si="10"/>
        <v>0</v>
      </c>
      <c r="G23" s="68">
        <f t="shared" si="11"/>
        <v>0</v>
      </c>
      <c r="H23" s="68">
        <f t="shared" si="12"/>
        <v>0</v>
      </c>
      <c r="I23" s="68">
        <f t="shared" si="13"/>
        <v>0</v>
      </c>
      <c r="J23" s="69">
        <f t="shared" si="14"/>
        <v>0</v>
      </c>
    </row>
    <row r="24" ht="15.75" customHeight="1">
      <c r="A24" s="81" t="s">
        <v>38</v>
      </c>
      <c r="B24" s="73"/>
      <c r="C24" s="74"/>
      <c r="D24" s="75">
        <f t="shared" si="8"/>
        <v>0</v>
      </c>
      <c r="E24" s="75">
        <f t="shared" si="9"/>
        <v>0</v>
      </c>
      <c r="F24" s="75">
        <f t="shared" si="10"/>
        <v>0</v>
      </c>
      <c r="G24" s="75">
        <f t="shared" si="11"/>
        <v>0</v>
      </c>
      <c r="H24" s="75">
        <f t="shared" si="12"/>
        <v>0</v>
      </c>
      <c r="I24" s="75">
        <f t="shared" si="13"/>
        <v>0</v>
      </c>
      <c r="J24" s="76">
        <f t="shared" si="14"/>
        <v>0</v>
      </c>
    </row>
    <row r="25" ht="15.75" customHeight="1">
      <c r="A25" s="55"/>
      <c r="B25" s="49"/>
      <c r="C25" s="49"/>
      <c r="D25" s="49"/>
      <c r="E25" s="49"/>
      <c r="F25" s="49"/>
      <c r="G25" s="49"/>
      <c r="H25" s="49"/>
      <c r="I25" s="49"/>
      <c r="J25" s="49"/>
    </row>
    <row r="26" ht="15.75" customHeight="1">
      <c r="A26" s="56" t="s">
        <v>29</v>
      </c>
      <c r="B26" s="57" t="s">
        <v>40</v>
      </c>
      <c r="C26" s="49"/>
      <c r="D26" s="49"/>
      <c r="E26" s="49"/>
      <c r="F26" s="49"/>
      <c r="G26" s="49"/>
      <c r="H26" s="49"/>
      <c r="I26" s="49"/>
      <c r="J26" s="49"/>
    </row>
    <row r="27" ht="15.75" customHeight="1">
      <c r="A27" s="58" t="s">
        <v>31</v>
      </c>
      <c r="B27" s="59">
        <f>B15+28</f>
        <v>46352</v>
      </c>
      <c r="C27" s="49"/>
      <c r="D27" s="49"/>
      <c r="E27" s="49"/>
      <c r="F27" s="49"/>
      <c r="G27" s="49"/>
      <c r="H27" s="49"/>
      <c r="I27" s="49"/>
      <c r="J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</row>
    <row r="29" ht="15.75" customHeight="1">
      <c r="A29" s="60"/>
      <c r="B29" s="61" t="s">
        <v>16</v>
      </c>
      <c r="C29" s="62" t="s">
        <v>15</v>
      </c>
      <c r="D29" s="63">
        <v>1.0</v>
      </c>
      <c r="E29" s="63">
        <v>0.95</v>
      </c>
      <c r="F29" s="63">
        <v>0.9</v>
      </c>
      <c r="G29" s="63">
        <v>0.85</v>
      </c>
      <c r="H29" s="63">
        <v>0.8</v>
      </c>
      <c r="I29" s="63">
        <v>0.75</v>
      </c>
      <c r="J29" s="63">
        <v>0.7</v>
      </c>
    </row>
    <row r="30" ht="15.75" customHeight="1">
      <c r="A30" s="65" t="s">
        <v>32</v>
      </c>
      <c r="B30" s="66"/>
      <c r="C30" s="67"/>
      <c r="D30" s="77">
        <f t="shared" ref="D30:D36" si="15">C30/(1.0278-(0.0278*B30))</f>
        <v>0</v>
      </c>
      <c r="E30" s="77">
        <f t="shared" ref="E30:E36" si="16">(D30*0.95)</f>
        <v>0</v>
      </c>
      <c r="F30" s="77">
        <f t="shared" ref="F30:F36" si="17">(D30*0.9)</f>
        <v>0</v>
      </c>
      <c r="G30" s="77">
        <f t="shared" ref="G30:G36" si="18">(D30*0.85)</f>
        <v>0</v>
      </c>
      <c r="H30" s="77">
        <f t="shared" ref="H30:H36" si="19">(D30*0.8)</f>
        <v>0</v>
      </c>
      <c r="I30" s="77">
        <f t="shared" ref="I30:I36" si="20">(D30*0.75)</f>
        <v>0</v>
      </c>
      <c r="J30" s="78">
        <f t="shared" ref="J30:J36" si="21">(D30*0.7)</f>
        <v>0</v>
      </c>
    </row>
    <row r="31" ht="15.75" customHeight="1">
      <c r="A31" s="65" t="s">
        <v>33</v>
      </c>
      <c r="B31" s="70"/>
      <c r="C31" s="44"/>
      <c r="D31" s="68">
        <f t="shared" si="15"/>
        <v>0</v>
      </c>
      <c r="E31" s="68">
        <f t="shared" si="16"/>
        <v>0</v>
      </c>
      <c r="F31" s="68">
        <f t="shared" si="17"/>
        <v>0</v>
      </c>
      <c r="G31" s="68">
        <f t="shared" si="18"/>
        <v>0</v>
      </c>
      <c r="H31" s="68">
        <f t="shared" si="19"/>
        <v>0</v>
      </c>
      <c r="I31" s="68">
        <f t="shared" si="20"/>
        <v>0</v>
      </c>
      <c r="J31" s="69">
        <f t="shared" si="21"/>
        <v>0</v>
      </c>
    </row>
    <row r="32" ht="15.75" customHeight="1">
      <c r="A32" s="65" t="s">
        <v>34</v>
      </c>
      <c r="B32" s="70"/>
      <c r="C32" s="44"/>
      <c r="D32" s="68">
        <f t="shared" si="15"/>
        <v>0</v>
      </c>
      <c r="E32" s="68">
        <f t="shared" si="16"/>
        <v>0</v>
      </c>
      <c r="F32" s="68">
        <f t="shared" si="17"/>
        <v>0</v>
      </c>
      <c r="G32" s="68">
        <f t="shared" si="18"/>
        <v>0</v>
      </c>
      <c r="H32" s="68">
        <f t="shared" si="19"/>
        <v>0</v>
      </c>
      <c r="I32" s="68">
        <f t="shared" si="20"/>
        <v>0</v>
      </c>
      <c r="J32" s="69">
        <f t="shared" si="21"/>
        <v>0</v>
      </c>
    </row>
    <row r="33" ht="15.75" customHeight="1">
      <c r="A33" s="65" t="s">
        <v>35</v>
      </c>
      <c r="B33" s="71"/>
      <c r="C33" s="51"/>
      <c r="D33" s="68">
        <f t="shared" si="15"/>
        <v>0</v>
      </c>
      <c r="E33" s="68">
        <f t="shared" si="16"/>
        <v>0</v>
      </c>
      <c r="F33" s="68">
        <f t="shared" si="17"/>
        <v>0</v>
      </c>
      <c r="G33" s="68">
        <f t="shared" si="18"/>
        <v>0</v>
      </c>
      <c r="H33" s="68">
        <f t="shared" si="19"/>
        <v>0</v>
      </c>
      <c r="I33" s="68">
        <f t="shared" si="20"/>
        <v>0</v>
      </c>
      <c r="J33" s="69">
        <f t="shared" si="21"/>
        <v>0</v>
      </c>
    </row>
    <row r="34" ht="15.75" customHeight="1">
      <c r="A34" s="65" t="s">
        <v>36</v>
      </c>
      <c r="B34" s="71"/>
      <c r="C34" s="51"/>
      <c r="D34" s="68">
        <f t="shared" si="15"/>
        <v>0</v>
      </c>
      <c r="E34" s="68">
        <f t="shared" si="16"/>
        <v>0</v>
      </c>
      <c r="F34" s="68">
        <f t="shared" si="17"/>
        <v>0</v>
      </c>
      <c r="G34" s="68">
        <f t="shared" si="18"/>
        <v>0</v>
      </c>
      <c r="H34" s="68">
        <f t="shared" si="19"/>
        <v>0</v>
      </c>
      <c r="I34" s="68">
        <f t="shared" si="20"/>
        <v>0</v>
      </c>
      <c r="J34" s="69">
        <f t="shared" si="21"/>
        <v>0</v>
      </c>
    </row>
    <row r="35" ht="15.75" customHeight="1">
      <c r="A35" s="79" t="s">
        <v>37</v>
      </c>
      <c r="B35" s="71"/>
      <c r="C35" s="51"/>
      <c r="D35" s="68">
        <f t="shared" si="15"/>
        <v>0</v>
      </c>
      <c r="E35" s="68">
        <f t="shared" si="16"/>
        <v>0</v>
      </c>
      <c r="F35" s="68">
        <f t="shared" si="17"/>
        <v>0</v>
      </c>
      <c r="G35" s="68">
        <f t="shared" si="18"/>
        <v>0</v>
      </c>
      <c r="H35" s="68">
        <f t="shared" si="19"/>
        <v>0</v>
      </c>
      <c r="I35" s="68">
        <f t="shared" si="20"/>
        <v>0</v>
      </c>
      <c r="J35" s="69">
        <f t="shared" si="21"/>
        <v>0</v>
      </c>
    </row>
    <row r="36" ht="15.75" customHeight="1">
      <c r="A36" s="81" t="s">
        <v>38</v>
      </c>
      <c r="B36" s="73"/>
      <c r="C36" s="74"/>
      <c r="D36" s="75">
        <f t="shared" si="15"/>
        <v>0</v>
      </c>
      <c r="E36" s="75">
        <f t="shared" si="16"/>
        <v>0</v>
      </c>
      <c r="F36" s="75">
        <f t="shared" si="17"/>
        <v>0</v>
      </c>
      <c r="G36" s="75">
        <f t="shared" si="18"/>
        <v>0</v>
      </c>
      <c r="H36" s="75">
        <f t="shared" si="19"/>
        <v>0</v>
      </c>
      <c r="I36" s="75">
        <f t="shared" si="20"/>
        <v>0</v>
      </c>
      <c r="J36" s="76">
        <f t="shared" si="21"/>
        <v>0</v>
      </c>
    </row>
    <row r="37" ht="15.75" customHeight="1">
      <c r="A37" s="11"/>
    </row>
    <row r="38" ht="15.75" customHeight="1">
      <c r="A38" s="11"/>
    </row>
    <row r="39" ht="15.75" customHeight="1">
      <c r="A39" s="11"/>
    </row>
    <row r="40" ht="15.75" customHeight="1">
      <c r="A40" s="11"/>
    </row>
    <row r="41" ht="15.75" customHeight="1">
      <c r="A41" s="11"/>
    </row>
    <row r="42" ht="15.75" customHeight="1">
      <c r="A42" s="11"/>
    </row>
    <row r="43" ht="15.75" customHeight="1">
      <c r="A43" s="11"/>
    </row>
    <row r="44" ht="15.75" customHeight="1">
      <c r="A44" s="11"/>
    </row>
    <row r="45" ht="15.75" customHeight="1">
      <c r="A45" s="11"/>
    </row>
    <row r="46" ht="15.75" customHeight="1">
      <c r="A46" s="11"/>
    </row>
    <row r="47" ht="15.75" customHeight="1">
      <c r="A47" s="11"/>
    </row>
    <row r="48" ht="15.75" customHeight="1">
      <c r="A48" s="11"/>
    </row>
    <row r="49" ht="15.75" customHeight="1">
      <c r="A49" s="11"/>
    </row>
    <row r="50" ht="15.75" customHeight="1">
      <c r="A50" s="11"/>
    </row>
    <row r="51" ht="15.75" customHeight="1">
      <c r="A51" s="11"/>
    </row>
    <row r="52" ht="15.75" customHeight="1">
      <c r="A52" s="11"/>
    </row>
    <row r="53" ht="15.75" customHeight="1">
      <c r="A53" s="11"/>
    </row>
    <row r="54" ht="15.75" customHeight="1">
      <c r="A54" s="11"/>
    </row>
    <row r="55" ht="15.75" customHeight="1">
      <c r="A55" s="11"/>
    </row>
    <row r="56" ht="15.75" customHeight="1">
      <c r="A56" s="11"/>
    </row>
    <row r="57" ht="15.75" customHeight="1">
      <c r="A57" s="11"/>
    </row>
    <row r="58" ht="15.75" customHeight="1">
      <c r="A58" s="11"/>
    </row>
    <row r="59" ht="15.75" customHeight="1">
      <c r="A59" s="11"/>
    </row>
    <row r="60" ht="15.75" customHeight="1">
      <c r="A60" s="11"/>
    </row>
    <row r="61" ht="15.75" customHeight="1">
      <c r="A61" s="11"/>
    </row>
    <row r="62" ht="15.75" customHeight="1">
      <c r="A62" s="11"/>
    </row>
    <row r="63" ht="15.75" customHeight="1">
      <c r="A63" s="11"/>
    </row>
    <row r="64" ht="15.75" customHeight="1">
      <c r="A64" s="11"/>
    </row>
    <row r="65" ht="15.75" customHeight="1">
      <c r="A65" s="11"/>
    </row>
    <row r="66" ht="15.75" customHeight="1">
      <c r="A66" s="11"/>
    </row>
    <row r="67" ht="15.75" customHeight="1">
      <c r="A67" s="11"/>
    </row>
    <row r="68" ht="15.75" customHeight="1">
      <c r="A68" s="11"/>
    </row>
    <row r="69" ht="15.75" customHeight="1">
      <c r="A69" s="11"/>
    </row>
    <row r="70" ht="15.75" customHeight="1">
      <c r="A70" s="11"/>
    </row>
    <row r="71" ht="15.75" customHeight="1">
      <c r="A71" s="11"/>
    </row>
    <row r="72" ht="15.75" customHeight="1">
      <c r="A72" s="11"/>
    </row>
    <row r="73" ht="15.75" customHeight="1">
      <c r="A73" s="11"/>
    </row>
    <row r="74" ht="15.75" customHeight="1">
      <c r="A74" s="11"/>
    </row>
    <row r="75" ht="15.75" customHeight="1">
      <c r="A75" s="11"/>
    </row>
    <row r="76" ht="15.75" customHeight="1">
      <c r="A76" s="11"/>
    </row>
    <row r="77" ht="15.75" customHeight="1">
      <c r="A77" s="11"/>
    </row>
    <row r="78" ht="15.75" customHeight="1">
      <c r="A78" s="11"/>
    </row>
    <row r="79" ht="15.75" customHeight="1">
      <c r="A79" s="11"/>
    </row>
    <row r="80" ht="15.75" customHeight="1">
      <c r="A80" s="11"/>
    </row>
    <row r="81" ht="15.75" customHeight="1">
      <c r="A81" s="11"/>
    </row>
    <row r="82" ht="15.75" customHeight="1">
      <c r="A82" s="11"/>
    </row>
    <row r="83" ht="15.75" customHeight="1">
      <c r="A83" s="11"/>
    </row>
    <row r="84" ht="15.75" customHeight="1">
      <c r="A84" s="11"/>
    </row>
    <row r="85" ht="15.75" customHeight="1">
      <c r="A85" s="11"/>
    </row>
    <row r="86" ht="15.75" customHeight="1">
      <c r="A86" s="11"/>
    </row>
    <row r="87" ht="15.75" customHeight="1">
      <c r="A87" s="11"/>
    </row>
    <row r="88" ht="15.75" customHeight="1">
      <c r="A88" s="11"/>
    </row>
    <row r="89" ht="15.75" customHeight="1">
      <c r="A89" s="11"/>
    </row>
    <row r="90" ht="15.75" customHeight="1">
      <c r="A90" s="11"/>
    </row>
    <row r="91" ht="15.75" customHeight="1">
      <c r="A91" s="11"/>
    </row>
    <row r="92" ht="15.75" customHeight="1">
      <c r="A92" s="11"/>
    </row>
    <row r="93" ht="15.75" customHeight="1">
      <c r="A93" s="11"/>
    </row>
    <row r="94" ht="15.75" customHeight="1">
      <c r="A94" s="11"/>
    </row>
    <row r="95" ht="15.75" customHeight="1">
      <c r="A95" s="11"/>
    </row>
    <row r="96" ht="15.75" customHeight="1">
      <c r="A96" s="11"/>
    </row>
    <row r="97" ht="15.75" customHeight="1">
      <c r="A97" s="11"/>
    </row>
    <row r="98" ht="15.75" customHeight="1">
      <c r="A98" s="11"/>
    </row>
    <row r="99" ht="15.75" customHeight="1">
      <c r="A99" s="11"/>
    </row>
    <row r="100" ht="15.75" customHeight="1">
      <c r="A100" s="11"/>
    </row>
    <row r="101" ht="15.75" customHeight="1">
      <c r="A101" s="11"/>
    </row>
    <row r="102" ht="15.75" customHeight="1">
      <c r="A102" s="11"/>
    </row>
    <row r="103" ht="15.75" customHeight="1">
      <c r="A103" s="11"/>
    </row>
    <row r="104" ht="15.75" customHeight="1">
      <c r="A104" s="11"/>
    </row>
    <row r="105" ht="15.75" customHeight="1">
      <c r="A105" s="11"/>
    </row>
    <row r="106" ht="15.75" customHeight="1">
      <c r="A106" s="11"/>
    </row>
    <row r="107" ht="15.75" customHeight="1">
      <c r="A107" s="11"/>
    </row>
    <row r="108" ht="15.75" customHeight="1">
      <c r="A108" s="11"/>
    </row>
    <row r="109" ht="15.75" customHeight="1">
      <c r="A109" s="11"/>
    </row>
    <row r="110" ht="15.75" customHeight="1">
      <c r="A110" s="11"/>
    </row>
    <row r="111" ht="15.75" customHeight="1">
      <c r="A111" s="11"/>
    </row>
    <row r="112" ht="15.75" customHeight="1">
      <c r="A112" s="11"/>
    </row>
    <row r="113" ht="15.75" customHeight="1">
      <c r="A113" s="11"/>
    </row>
    <row r="114" ht="15.75" customHeight="1">
      <c r="A114" s="11"/>
    </row>
    <row r="115" ht="15.75" customHeight="1">
      <c r="A115" s="11"/>
    </row>
    <row r="116" ht="15.75" customHeight="1">
      <c r="A116" s="11"/>
    </row>
    <row r="117" ht="15.75" customHeight="1">
      <c r="A117" s="11"/>
    </row>
    <row r="118" ht="15.75" customHeight="1">
      <c r="A118" s="11"/>
    </row>
    <row r="119" ht="15.75" customHeight="1">
      <c r="A119" s="11"/>
    </row>
    <row r="120" ht="15.75" customHeight="1">
      <c r="A120" s="11"/>
    </row>
    <row r="121" ht="15.75" customHeight="1">
      <c r="A121" s="11"/>
    </row>
    <row r="122" ht="15.75" customHeight="1">
      <c r="A122" s="11"/>
    </row>
    <row r="123" ht="15.75" customHeight="1">
      <c r="A123" s="11"/>
    </row>
    <row r="124" ht="15.75" customHeight="1">
      <c r="A124" s="11"/>
    </row>
    <row r="125" ht="15.75" customHeight="1">
      <c r="A125" s="11"/>
    </row>
    <row r="126" ht="15.75" customHeight="1">
      <c r="A126" s="11"/>
    </row>
    <row r="127" ht="15.75" customHeight="1">
      <c r="A127" s="11"/>
    </row>
    <row r="128" ht="15.75" customHeight="1">
      <c r="A128" s="11"/>
    </row>
    <row r="129" ht="15.75" customHeight="1">
      <c r="A129" s="11"/>
    </row>
    <row r="130" ht="15.75" customHeight="1">
      <c r="A130" s="11"/>
    </row>
    <row r="131" ht="15.75" customHeight="1">
      <c r="A131" s="11"/>
    </row>
    <row r="132" ht="15.75" customHeight="1">
      <c r="A132" s="11"/>
    </row>
    <row r="133" ht="15.75" customHeight="1">
      <c r="A133" s="11"/>
    </row>
    <row r="134" ht="15.75" customHeight="1">
      <c r="A134" s="11"/>
    </row>
    <row r="135" ht="15.75" customHeight="1">
      <c r="A135" s="11"/>
    </row>
    <row r="136" ht="15.75" customHeight="1">
      <c r="A136" s="11"/>
    </row>
    <row r="137" ht="15.75" customHeight="1">
      <c r="A137" s="11"/>
    </row>
    <row r="138" ht="15.75" customHeight="1">
      <c r="A138" s="11"/>
    </row>
    <row r="139" ht="15.75" customHeight="1">
      <c r="A139" s="11"/>
    </row>
    <row r="140" ht="15.75" customHeight="1">
      <c r="A140" s="11"/>
    </row>
    <row r="141" ht="15.75" customHeight="1">
      <c r="A141" s="11"/>
    </row>
    <row r="142" ht="15.75" customHeight="1">
      <c r="A142" s="11"/>
    </row>
    <row r="143" ht="15.75" customHeight="1">
      <c r="A143" s="11"/>
    </row>
    <row r="144" ht="15.75" customHeight="1">
      <c r="A144" s="11"/>
    </row>
    <row r="145" ht="15.75" customHeight="1">
      <c r="A145" s="11"/>
    </row>
    <row r="146" ht="15.75" customHeight="1">
      <c r="A146" s="11"/>
    </row>
    <row r="147" ht="15.75" customHeight="1">
      <c r="A147" s="11"/>
    </row>
    <row r="148" ht="15.75" customHeight="1">
      <c r="A148" s="11"/>
    </row>
    <row r="149" ht="15.75" customHeight="1">
      <c r="A149" s="11"/>
    </row>
    <row r="150" ht="15.75" customHeight="1">
      <c r="A150" s="11"/>
    </row>
    <row r="151" ht="15.75" customHeight="1">
      <c r="A151" s="11"/>
    </row>
    <row r="152" ht="15.75" customHeight="1">
      <c r="A152" s="11"/>
    </row>
    <row r="153" ht="15.75" customHeight="1">
      <c r="A153" s="11"/>
    </row>
    <row r="154" ht="15.75" customHeight="1">
      <c r="A154" s="11"/>
    </row>
    <row r="155" ht="15.75" customHeight="1">
      <c r="A155" s="11"/>
    </row>
    <row r="156" ht="15.75" customHeight="1">
      <c r="A156" s="11"/>
    </row>
    <row r="157" ht="15.75" customHeight="1">
      <c r="A157" s="11"/>
    </row>
    <row r="158" ht="15.75" customHeight="1">
      <c r="A158" s="11"/>
    </row>
    <row r="159" ht="15.75" customHeight="1">
      <c r="A159" s="11"/>
    </row>
    <row r="160" ht="15.75" customHeight="1">
      <c r="A160" s="11"/>
    </row>
    <row r="161" ht="15.75" customHeight="1">
      <c r="A161" s="11"/>
    </row>
    <row r="162" ht="15.75" customHeight="1">
      <c r="A162" s="11"/>
    </row>
    <row r="163" ht="15.75" customHeight="1">
      <c r="A163" s="11"/>
    </row>
    <row r="164" ht="15.75" customHeight="1">
      <c r="A164" s="11"/>
    </row>
    <row r="165" ht="15.75" customHeight="1">
      <c r="A165" s="11"/>
    </row>
    <row r="166" ht="15.75" customHeight="1">
      <c r="A166" s="11"/>
    </row>
    <row r="167" ht="15.75" customHeight="1">
      <c r="A167" s="11"/>
    </row>
    <row r="168" ht="15.75" customHeight="1">
      <c r="A168" s="11"/>
    </row>
    <row r="169" ht="15.75" customHeight="1">
      <c r="A169" s="11"/>
    </row>
    <row r="170" ht="15.75" customHeight="1">
      <c r="A170" s="11"/>
    </row>
    <row r="171" ht="15.75" customHeight="1">
      <c r="A171" s="11"/>
    </row>
    <row r="172" ht="15.75" customHeight="1">
      <c r="A172" s="11"/>
    </row>
    <row r="173" ht="15.75" customHeight="1">
      <c r="A173" s="11"/>
    </row>
    <row r="174" ht="15.75" customHeight="1">
      <c r="A174" s="11"/>
    </row>
    <row r="175" ht="15.75" customHeight="1">
      <c r="A175" s="11"/>
    </row>
    <row r="176" ht="15.75" customHeight="1">
      <c r="A176" s="11"/>
    </row>
    <row r="177" ht="15.75" customHeight="1">
      <c r="A177" s="11"/>
    </row>
    <row r="178" ht="15.75" customHeight="1">
      <c r="A178" s="11"/>
    </row>
    <row r="179" ht="15.75" customHeight="1">
      <c r="A179" s="11"/>
    </row>
    <row r="180" ht="15.75" customHeight="1">
      <c r="A180" s="11"/>
    </row>
    <row r="181" ht="15.75" customHeight="1">
      <c r="A181" s="11"/>
    </row>
    <row r="182" ht="15.75" customHeight="1">
      <c r="A182" s="11"/>
    </row>
    <row r="183" ht="15.75" customHeight="1">
      <c r="A183" s="11"/>
    </row>
    <row r="184" ht="15.75" customHeight="1">
      <c r="A184" s="11"/>
    </row>
    <row r="185" ht="15.75" customHeight="1">
      <c r="A185" s="11"/>
    </row>
    <row r="186" ht="15.75" customHeight="1">
      <c r="A186" s="11"/>
    </row>
    <row r="187" ht="15.75" customHeight="1">
      <c r="A187" s="11"/>
    </row>
    <row r="188" ht="15.75" customHeight="1">
      <c r="A188" s="11"/>
    </row>
    <row r="189" ht="15.75" customHeight="1">
      <c r="A189" s="11"/>
    </row>
    <row r="190" ht="15.75" customHeight="1">
      <c r="A190" s="11"/>
    </row>
    <row r="191" ht="15.75" customHeight="1">
      <c r="A191" s="11"/>
    </row>
    <row r="192" ht="15.75" customHeight="1">
      <c r="A192" s="11"/>
    </row>
    <row r="193" ht="15.75" customHeight="1">
      <c r="A193" s="11"/>
    </row>
    <row r="194" ht="15.75" customHeight="1">
      <c r="A194" s="11"/>
    </row>
    <row r="195" ht="15.75" customHeight="1">
      <c r="A195" s="11"/>
    </row>
    <row r="196" ht="15.75" customHeight="1">
      <c r="A196" s="11"/>
    </row>
    <row r="197" ht="15.75" customHeight="1">
      <c r="A197" s="11"/>
    </row>
    <row r="198" ht="15.75" customHeight="1">
      <c r="A198" s="11"/>
    </row>
    <row r="199" ht="15.75" customHeight="1">
      <c r="A199" s="11"/>
    </row>
    <row r="200" ht="15.75" customHeight="1">
      <c r="A200" s="11"/>
    </row>
    <row r="201" ht="15.75" customHeight="1">
      <c r="A201" s="11"/>
    </row>
    <row r="202" ht="15.75" customHeight="1">
      <c r="A202" s="11"/>
    </row>
    <row r="203" ht="15.75" customHeight="1">
      <c r="A203" s="11"/>
    </row>
    <row r="204" ht="15.75" customHeight="1">
      <c r="A204" s="11"/>
    </row>
    <row r="205" ht="15.75" customHeight="1">
      <c r="A205" s="11"/>
    </row>
    <row r="206" ht="15.75" customHeight="1">
      <c r="A206" s="11"/>
    </row>
    <row r="207" ht="15.75" customHeight="1">
      <c r="A207" s="11"/>
    </row>
    <row r="208" ht="15.75" customHeight="1">
      <c r="A208" s="11"/>
    </row>
    <row r="209" ht="15.75" customHeight="1">
      <c r="A209" s="11"/>
    </row>
    <row r="210" ht="15.75" customHeight="1">
      <c r="A210" s="11"/>
    </row>
    <row r="211" ht="15.75" customHeight="1">
      <c r="A211" s="11"/>
    </row>
    <row r="212" ht="15.75" customHeight="1">
      <c r="A212" s="11"/>
    </row>
    <row r="213" ht="15.75" customHeight="1">
      <c r="A213" s="11"/>
    </row>
    <row r="214" ht="15.75" customHeight="1">
      <c r="A214" s="11"/>
    </row>
    <row r="215" ht="15.75" customHeight="1">
      <c r="A215" s="11"/>
    </row>
    <row r="216" ht="15.75" customHeight="1">
      <c r="A216" s="11"/>
    </row>
    <row r="217" ht="15.75" customHeight="1">
      <c r="A217" s="11"/>
    </row>
    <row r="218" ht="15.75" customHeight="1">
      <c r="A218" s="11"/>
    </row>
    <row r="219" ht="15.75" customHeight="1">
      <c r="A219" s="11"/>
    </row>
    <row r="220" ht="15.75" customHeight="1">
      <c r="A220" s="11"/>
    </row>
    <row r="221" ht="15.75" customHeight="1">
      <c r="A221" s="11"/>
    </row>
    <row r="222" ht="15.75" customHeight="1">
      <c r="A222" s="11"/>
    </row>
    <row r="223" ht="15.75" customHeight="1">
      <c r="A223" s="11"/>
    </row>
    <row r="224" ht="15.75" customHeight="1">
      <c r="A224" s="11"/>
    </row>
    <row r="225" ht="15.75" customHeight="1">
      <c r="A225" s="11"/>
    </row>
    <row r="226" ht="15.75" customHeight="1">
      <c r="A226" s="11"/>
    </row>
    <row r="227" ht="15.75" customHeight="1">
      <c r="A227" s="11"/>
    </row>
    <row r="228" ht="15.75" customHeight="1">
      <c r="A228" s="11"/>
    </row>
    <row r="229" ht="15.75" customHeight="1">
      <c r="A229" s="11"/>
    </row>
    <row r="230" ht="15.75" customHeight="1">
      <c r="A230" s="11"/>
    </row>
    <row r="231" ht="15.75" customHeight="1">
      <c r="A231" s="11"/>
    </row>
    <row r="232" ht="15.75" customHeight="1">
      <c r="A232" s="11"/>
    </row>
    <row r="233" ht="15.75" customHeight="1">
      <c r="A233" s="11"/>
    </row>
    <row r="234" ht="15.75" customHeight="1">
      <c r="A234" s="11"/>
    </row>
    <row r="235" ht="15.75" customHeight="1">
      <c r="A235" s="11"/>
    </row>
    <row r="236" ht="15.75" customHeight="1">
      <c r="A236" s="1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3" width="9.5"/>
  </cols>
  <sheetData>
    <row r="1" ht="15.75" customHeight="1">
      <c r="A1" s="82"/>
      <c r="B1" s="83" t="s">
        <v>0</v>
      </c>
      <c r="E1" s="84"/>
      <c r="F1" s="83" t="s">
        <v>1</v>
      </c>
      <c r="I1" s="84"/>
      <c r="J1" s="83" t="s">
        <v>28</v>
      </c>
      <c r="M1" s="84"/>
    </row>
    <row r="2" ht="37.5" customHeight="1">
      <c r="A2" s="85"/>
      <c r="B2" s="86" t="s">
        <v>41</v>
      </c>
      <c r="C2" s="86" t="s">
        <v>42</v>
      </c>
      <c r="D2" s="86" t="s">
        <v>43</v>
      </c>
      <c r="E2" s="87" t="s">
        <v>44</v>
      </c>
      <c r="F2" s="86" t="s">
        <v>45</v>
      </c>
      <c r="G2" s="86" t="s">
        <v>46</v>
      </c>
      <c r="H2" s="86" t="s">
        <v>47</v>
      </c>
      <c r="I2" s="87" t="s">
        <v>48</v>
      </c>
      <c r="J2" s="86" t="s">
        <v>49</v>
      </c>
      <c r="K2" s="86" t="s">
        <v>50</v>
      </c>
      <c r="L2" s="86" t="s">
        <v>51</v>
      </c>
      <c r="M2" s="87" t="s">
        <v>52</v>
      </c>
    </row>
    <row r="3" ht="37.5" customHeight="1">
      <c r="A3" s="88" t="s">
        <v>53</v>
      </c>
      <c r="B3" s="89">
        <f>SUMPRODUCT('bloco 01'!C6:C15, 'bloco 01'!D6:D15, 'bloco 01'!E6:E15) + SUMPRODUCT('bloco 01'!C21:C30, 'bloco 01'!D21:D30, 'bloco 01'!E21:E30) + SUMPRODUCT('bloco 01'!C36:C45, 'bloco 01'!D36:D45, 'bloco 01'!E36:E45) + SUMPRODUCT('bloco 01'!C51:C60, 'bloco 01'!D51:D60, 'bloco 01'!E51:E60)</f>
        <v>0</v>
      </c>
      <c r="C3" s="89">
        <f>SUMPRODUCT('bloco 01'!J6:J15, 'bloco 01'!K6:K15, 'bloco 01'!L6:L15) + SUMPRODUCT('bloco 01'!J21:J30, 'bloco 01'!K21:K30, 'bloco 01'!L21:L30) + SUMPRODUCT('bloco 01'!J36:J45, 'bloco 01'!K36:K45, 'bloco 01'!L36:L45) + SUMPRODUCT('bloco 01'!J51:J60, 'bloco 01'!K51:K60, 'bloco 01'!L51:L60)</f>
        <v>0</v>
      </c>
      <c r="D3" s="89">
        <f>SUMPRODUCT('bloco 01'!Q6:Q15, 'bloco 01'!R6:R15, 'bloco 01'!S6:S15) + SUMPRODUCT('bloco 01'!Q21:Q30, 'bloco 01'!R21:R30, 'bloco 01'!S21:S30) + SUMPRODUCT('bloco 01'!Q36:Q45, 'bloco 01'!R36:R45, 'bloco 01'!S36:S45) + SUMPRODUCT('bloco 01'!Q51:Q60, 'bloco 01'!R51:R60, 'bloco 01'!S51:S60)</f>
        <v>0</v>
      </c>
      <c r="E3" s="90">
        <f>SUMPRODUCT('bloco 01'!X6:X15, 'bloco 01'!Y6:Y15, 'bloco 01'!Z6:Z15) + SUMPRODUCT('bloco 01'!X21:X30, 'bloco 01'!Y21:Y30, 'bloco 01'!Z21:Z30) + SUMPRODUCT('bloco 01'!X36:X45, 'bloco 01'!Y36:Y45, 'bloco 01'!Z36:Z45) + SUMPRODUCT('bloco 01'!X51:X60, 'bloco 01'!Y51:Y60, 'bloco 01'!Z51:Z60)</f>
        <v>0</v>
      </c>
      <c r="F3" s="89">
        <f>SUMPRODUCT('bloco 02'!C6:C15, 'bloco 02'!D6:D15, 'bloco 02'!E6:E15) + SUMPRODUCT('bloco 02'!C21:C30, 'bloco 02'!D21:D30, 'bloco 02'!E21:E30) + SUMPRODUCT('bloco 02'!C36:C45, 'bloco 02'!D36:D45, 'bloco 02'!E36:E45) + SUMPRODUCT('bloco 02'!C51:C60, 'bloco 02'!D51:D60, 'bloco 02'!E51:E60)</f>
        <v>0</v>
      </c>
      <c r="G3" s="89">
        <f>SUMPRODUCT('bloco 02'!J6:J15, 'bloco 02'!K6:K15, 'bloco 02'!L6:L15) + SUMPRODUCT('bloco 02'!J21:J30, 'bloco 02'!K21:K30, 'bloco 02'!L21:L30) + SUMPRODUCT('bloco 02'!J36:J45, 'bloco 02'!K36:K45, 'bloco 02'!L36:L45) + SUMPRODUCT('bloco 02'!J51:J60, 'bloco 02'!K51:K60, 'bloco 02'!L51:L60)</f>
        <v>0</v>
      </c>
      <c r="H3" s="89">
        <f>SUMPRODUCT('bloco 02'!Q6:Q15, 'bloco 02'!R6:R15, 'bloco 02'!S6:S15) + SUMPRODUCT('bloco 02'!Q21:Q30, 'bloco 02'!R21:R30, 'bloco 02'!S21:S30) + SUMPRODUCT('bloco 02'!Q36:Q45, 'bloco 02'!R36:R45, 'bloco 02'!S36:S45) + SUMPRODUCT('bloco 02'!Q51:Q60, 'bloco 02'!R51:R60, 'bloco 02'!S51:S60)</f>
        <v>0</v>
      </c>
      <c r="I3" s="90">
        <f>SUMPRODUCT('bloco 02'!X6:X15, 'bloco 02'!Y6:Y15, 'bloco 02'!Z6:Z15) + SUMPRODUCT('bloco 02'!X21:X30, 'bloco 02'!Y21:Y30, 'bloco 02'!Z21:Z30) + SUMPRODUCT('bloco 02'!X36:X45, 'bloco 02'!Y36:Y45, 'bloco 02'!Z36:Z45) + SUMPRODUCT('bloco 02'!X51:X60, 'bloco 02'!Y51:Y60, 'bloco 02'!Z51:Z60)</f>
        <v>0</v>
      </c>
      <c r="J3" s="89">
        <f>SUMPRODUCT('bloco 03'!C6:C15, 'bloco 03'!D6:D15, 'bloco 03'!E6:E15) + SUMPRODUCT('bloco 03'!C21:C30, 'bloco 03'!D21:D30, 'bloco 03'!E21:E30) + SUMPRODUCT('bloco 03'!C36:C45, 'bloco 03'!D36:D45, 'bloco 03'!E36:E45) + SUMPRODUCT('bloco 03'!C51:C60, 'bloco 03'!D51:D60, 'bloco 03'!E51:E60)</f>
        <v>0</v>
      </c>
      <c r="K3" s="89">
        <f>SUMPRODUCT('bloco 03'!J6:J15, 'bloco 03'!K6:K15, 'bloco 03'!L6:L15) + SUMPRODUCT('bloco 03'!J21:J30, 'bloco 03'!K21:K30, 'bloco 03'!L21:L30) + SUMPRODUCT('bloco 03'!J36:J45, 'bloco 03'!K36:K45, 'bloco 03'!L36:L45) + SUMPRODUCT('bloco 03'!J51:J60, 'bloco 03'!K51:K60, 'bloco 03'!L51:L60)</f>
        <v>0</v>
      </c>
      <c r="L3" s="89">
        <f>SUMPRODUCT('bloco 03'!Q6:Q15, 'bloco 03'!R6:R15, 'bloco 03'!S6:S15) + SUMPRODUCT('bloco 03'!Q21:Q30, 'bloco 03'!R21:R30, 'bloco 03'!S21:S30) + SUMPRODUCT('bloco 03'!Q36:Q45, 'bloco 03'!R36:R45, 'bloco 03'!S36:S45) + SUMPRODUCT('bloco 03'!Q51:Q60, 'bloco 03'!R51:R60, 'bloco 03'!S51:S60)</f>
        <v>0</v>
      </c>
      <c r="M3" s="90">
        <f>SUMPRODUCT('bloco 03'!X6:X15, 'bloco 03'!Y6:Y15, 'bloco 03'!Z6:Z15) + SUMPRODUCT('bloco 03'!X21:X30, 'bloco 03'!Y21:Y30, 'bloco 03'!Z21:Z30) + SUMPRODUCT('bloco 03'!X36:X45, 'bloco 03'!Y36:Y45, 'bloco 03'!Z36:Z45) + SUMPRODUCT('bloco 03'!X51:X60, 'bloco 03'!Y51:Y60, 'bloco 03'!Z51:Z60)</f>
        <v>0</v>
      </c>
    </row>
    <row r="4" ht="37.5" customHeight="1">
      <c r="A4" s="88" t="s">
        <v>54</v>
      </c>
      <c r="B4" s="89">
        <f>SUMPRODUCT('bloco 01'!C6:C15, 'bloco 01'!D6:D15) + SUMPRODUCT('bloco 01'!C21:C30, 'bloco 01'!D21:D30) + SUMPRODUCT('bloco 01'!C36:C45, 'bloco 01'!D36:D45) + SUMPRODUCT('bloco 01'!C51:C60, 'bloco 01'!D51:D60)</f>
        <v>0</v>
      </c>
      <c r="C4" s="89">
        <f>SUMPRODUCT('bloco 01'!J6:J15, 'bloco 01'!K6:K15) + SUMPRODUCT('bloco 01'!J21:J30, 'bloco 01'!K21:K30) + SUMPRODUCT('bloco 01'!J36:J45, 'bloco 01'!K36:K45) + SUMPRODUCT('bloco 01'!J51:J60, 'bloco 01'!K51:K60)</f>
        <v>0</v>
      </c>
      <c r="D4" s="89">
        <f>SUMPRODUCT('bloco 01'!Q6:Q15, 'bloco 01'!R6:R15) + SUMPRODUCT('bloco 01'!Q21:Q30, 'bloco 01'!R21:R30) + SUMPRODUCT('bloco 01'!Q36:Q45, 'bloco 01'!R36:R45) + SUMPRODUCT('bloco 01'!Q51:Q60, 'bloco 01'!R51:R60)</f>
        <v>0</v>
      </c>
      <c r="E4" s="90">
        <f>SUMPRODUCT('bloco 01'!X6:X15, 'bloco 01'!Y6:Y15) + SUMPRODUCT('bloco 01'!X21:X30, 'bloco 01'!Y21:Y30) + SUMPRODUCT('bloco 01'!X36:X45, 'bloco 01'!Y36:Y45) + SUMPRODUCT('bloco 01'!X51:X60, 'bloco 01'!Y51:Y60)</f>
        <v>0</v>
      </c>
      <c r="F4" s="89">
        <f>SUMPRODUCT('bloco 02'!C6:C15, 'bloco 02'!D6:D15) + SUMPRODUCT('bloco 02'!C21:C30, 'bloco 02'!D21:D30) + SUMPRODUCT('bloco 02'!C36:C45, 'bloco 02'!D36:D45) + SUMPRODUCT('bloco 02'!C51:C60, 'bloco 02'!D51:D60)</f>
        <v>0</v>
      </c>
      <c r="G4" s="89">
        <f>SUMPRODUCT('bloco 02'!J6:J15, 'bloco 02'!K6:K15) + SUMPRODUCT('bloco 02'!J21:J30, 'bloco 02'!K21:K30) + SUMPRODUCT('bloco 02'!J36:J45, 'bloco 02'!K36:K45) + SUMPRODUCT('bloco 02'!J51:J60, 'bloco 02'!K51:K60)</f>
        <v>0</v>
      </c>
      <c r="H4" s="89">
        <f>SUMPRODUCT('bloco 02'!Q6:Q15, 'bloco 02'!R6:R15) + SUMPRODUCT('bloco 02'!Q21:Q30, 'bloco 02'!R21:R30) + SUMPRODUCT('bloco 02'!Q36:Q45, 'bloco 02'!R36:R45) + SUMPRODUCT('bloco 02'!Q51:Q60, 'bloco 02'!R51:R60)</f>
        <v>0</v>
      </c>
      <c r="I4" s="90">
        <f>SUMPRODUCT('bloco 02'!X6:X15, 'bloco 02'!Y6:Y15) + SUMPRODUCT('bloco 02'!X21:X30, 'bloco 02'!Y21:Y30) + SUMPRODUCT('bloco 02'!X36:X45, 'bloco 02'!Y36:Y45) + SUMPRODUCT('bloco 02'!X51:X60, 'bloco 02'!Y51:Y60)</f>
        <v>0</v>
      </c>
      <c r="J4" s="89">
        <f>SUMPRODUCT('bloco 03'!C6:C15, 'bloco 03'!D6:D15) + SUMPRODUCT('bloco 03'!C21:C30, 'bloco 03'!D21:D30) + SUMPRODUCT('bloco 03'!C36:C45, 'bloco 03'!D36:D45) + SUMPRODUCT('bloco 03'!C51:C60, 'bloco 03'!D51:D60)</f>
        <v>0</v>
      </c>
      <c r="K4" s="89">
        <f>SUMPRODUCT('bloco 03'!J6:J15, 'bloco 03'!K6:K15) + SUMPRODUCT('bloco 03'!J21:J30, 'bloco 03'!K21:K30) + SUMPRODUCT('bloco 03'!J36:J45, 'bloco 03'!K36:K45) + SUMPRODUCT('bloco 03'!J51:J60, 'bloco 03'!K51:K60)</f>
        <v>0</v>
      </c>
      <c r="L4" s="89">
        <f>SUMPRODUCT('bloco 03'!Q6:Q15, 'bloco 03'!R6:R15) + SUMPRODUCT('bloco 03'!Q21:Q30, 'bloco 03'!R21:R30) + SUMPRODUCT('bloco 03'!Q36:Q45, 'bloco 03'!R36:R45) + SUMPRODUCT('bloco 03'!Q51:Q60, 'bloco 03'!R51:R60)</f>
        <v>0</v>
      </c>
      <c r="M4" s="90">
        <f>SUMPRODUCT('bloco 03'!X6:X15, 'bloco 03'!Y6:Y15) + SUMPRODUCT('bloco 03'!X21:X30, 'bloco 03'!Y21:Y30) + SUMPRODUCT('bloco 03'!X36:X45, 'bloco 03'!Y36:Y45) + SUMPRODUCT('bloco 03'!X51:X60, 'bloco 03'!Y51:Y60)</f>
        <v>0</v>
      </c>
    </row>
    <row r="5" ht="37.5" customHeight="1">
      <c r="A5" s="88" t="s">
        <v>17</v>
      </c>
      <c r="B5" s="91" t="str">
        <f t="array" ref="B5">IFERROR(AVERAGEIF({'bloco 01'!F6:F15; 'bloco 01'!F21:F30; 'bloco 01'!F36:F45; 'bloco 01'!F51:F60}, "&gt;0"), "")</f>
        <v/>
      </c>
      <c r="C5" s="91" t="str">
        <f t="array" ref="C5">IFERROR(AVERAGEIF({'bloco 01'!M6:M15; 'bloco 01'!M21:M30; 'bloco 01'!M36:M45; 'bloco 01'!M51:M60}, "&gt;0"), "")</f>
        <v/>
      </c>
      <c r="D5" s="91" t="str">
        <f t="array" ref="D5">IFERROR(AVERAGEIF({'bloco 01'!T6:T15; 'bloco 01'!T21:T30; 'bloco 01'!T36:T45; 'bloco 01'!T51:T60}, "&gt;0"), "")</f>
        <v/>
      </c>
      <c r="E5" s="92" t="str">
        <f t="array" ref="E5">IFERROR(AVERAGEIF({'bloco 01'!AA6:AA15; 'bloco 01'!AA21:AA30; 'bloco 01'!AA36:AA45; 'bloco 01'!AA51:AA60}, "&gt;0"), "")</f>
        <v/>
      </c>
      <c r="F5" s="91" t="str">
        <f t="array" ref="F5">IFERROR(AVERAGEIF({'bloco 02'!F6:F15; 'bloco 02'!F21:F30; 'bloco 02'!F36:F45; 'bloco 02'!F51:F60}, "&gt;0"), "")</f>
        <v/>
      </c>
      <c r="G5" s="91" t="str">
        <f t="array" ref="G5">IFERROR(AVERAGEIF({'bloco 02'!M6:M15; 'bloco 02'!M21:M30; 'bloco 02'!M36:M45; 'bloco 02'!M51:M60}, "&gt;0"), "")</f>
        <v/>
      </c>
      <c r="H5" s="91" t="str">
        <f t="array" ref="H5">IFERROR(AVERAGEIF({'bloco 02'!T6:T15; 'bloco 02'!T21:T30; 'bloco 02'!T36:T45; 'bloco 02'!T51:T60}, "&gt;0"), "")</f>
        <v/>
      </c>
      <c r="I5" s="92" t="str">
        <f t="array" ref="I5">IFERROR(AVERAGEIF({'bloco 02'!AA6:AA15; 'bloco 02'!AA21:AA30; 'bloco 02'!AA36:AA45; 'bloco 02'!AA51:AA60}, "&gt;0"), "")</f>
        <v/>
      </c>
      <c r="J5" s="91" t="str">
        <f t="array" ref="J5">IFERROR(AVERAGEIF({'bloco 03'!F6:F15; 'bloco 03'!F21:F30; 'bloco 03'!F36:F45; 'bloco 03'!F51:F60}, "&gt;0"), "")</f>
        <v/>
      </c>
      <c r="K5" s="91" t="str">
        <f t="array" ref="K5">IFERROR(AVERAGEIF({'bloco 03'!M6:M15; 'bloco 03'!M21:M30; 'bloco 03'!M36:M45; 'bloco 03'!M51:M60}, "&gt;0"), "")</f>
        <v/>
      </c>
      <c r="L5" s="91" t="str">
        <f t="array" ref="L5">IFERROR(AVERAGEIF({'bloco 03'!T6:T15; 'bloco 03'!T21:T30; 'bloco 03'!T36:T45; 'bloco 03'!T51:T60}, "&gt;0"), "")</f>
        <v/>
      </c>
      <c r="M5" s="92" t="str">
        <f t="array" ref="M5">IFERROR(AVERAGEIF({'bloco 03'!AA6:AA15; 'bloco 03'!AA21:AA30; 'bloco 03'!AA36:AA45; 'bloco 03'!AA51:AA60}, "&gt;0"), "")</f>
        <v/>
      </c>
    </row>
    <row r="6" ht="37.5" customHeight="1">
      <c r="A6" s="93" t="s">
        <v>31</v>
      </c>
      <c r="B6" s="94">
        <v>46296.0</v>
      </c>
      <c r="C6" s="94">
        <f t="shared" ref="C6:M6" si="1">B6+7</f>
        <v>46303</v>
      </c>
      <c r="D6" s="94">
        <f t="shared" si="1"/>
        <v>46310</v>
      </c>
      <c r="E6" s="95">
        <f t="shared" si="1"/>
        <v>46317</v>
      </c>
      <c r="F6" s="94">
        <f t="shared" si="1"/>
        <v>46324</v>
      </c>
      <c r="G6" s="94">
        <f t="shared" si="1"/>
        <v>46331</v>
      </c>
      <c r="H6" s="94">
        <f t="shared" si="1"/>
        <v>46338</v>
      </c>
      <c r="I6" s="95">
        <f t="shared" si="1"/>
        <v>46345</v>
      </c>
      <c r="J6" s="94">
        <f t="shared" si="1"/>
        <v>46352</v>
      </c>
      <c r="K6" s="94">
        <f t="shared" si="1"/>
        <v>46359</v>
      </c>
      <c r="L6" s="94">
        <f t="shared" si="1"/>
        <v>46366</v>
      </c>
      <c r="M6" s="95">
        <f t="shared" si="1"/>
        <v>46373</v>
      </c>
    </row>
    <row r="7" ht="37.5" customHeight="1">
      <c r="A7" s="93" t="s">
        <v>11</v>
      </c>
      <c r="B7" s="96"/>
      <c r="C7" s="96"/>
      <c r="D7" s="96"/>
      <c r="E7" s="97"/>
      <c r="F7" s="96"/>
      <c r="G7" s="96"/>
      <c r="H7" s="96"/>
      <c r="I7" s="97"/>
      <c r="J7" s="96"/>
      <c r="K7" s="96"/>
      <c r="L7" s="96"/>
      <c r="M7" s="97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E1"/>
    <mergeCell ref="F1:I1"/>
    <mergeCell ref="J1:M1"/>
  </mergeCells>
  <printOptions/>
  <pageMargins bottom="1.0" footer="0.0" header="0.0" left="0.75" right="0.75" top="1.0"/>
  <pageSetup orientation="landscape"/>
  <drawing r:id="rId1"/>
</worksheet>
</file>