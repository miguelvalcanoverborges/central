
<file path=[Content_Types].xml><?xml version="1.0" encoding="utf-8"?>
<Types xmlns="http://schemas.openxmlformats.org/package/2006/content-types"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aluno 01" sheetId="1" r:id="rId5"/>
    <sheet state="visible" name="bloco 01" sheetId="2" r:id="rId6"/>
    <sheet state="visible" name="aluno 02" sheetId="3" r:id="rId7"/>
    <sheet state="visible" name="bloco 02" sheetId="4" r:id="rId8"/>
    <sheet state="visible" name="aluno 03" sheetId="5" r:id="rId9"/>
    <sheet state="visible" name="bloco 03" sheetId="6" r:id="rId10"/>
    <sheet state="visible" name="prs" sheetId="7" r:id="rId11"/>
    <sheet state="visible" name="macro" sheetId="8" r:id="rId12"/>
  </sheets>
  <definedNames/>
  <calcPr/>
</workbook>
</file>

<file path=xl/sharedStrings.xml><?xml version="1.0" encoding="utf-8"?>
<sst xmlns="http://schemas.openxmlformats.org/spreadsheetml/2006/main" count="626" uniqueCount="54">
  <si>
    <t>BLOCO 01</t>
  </si>
  <si>
    <t>BLOCO 02</t>
  </si>
  <si>
    <t>PLANILHA DE TREINAMENTO</t>
  </si>
  <si>
    <t>NOME</t>
  </si>
  <si>
    <t>OBJETIVO</t>
  </si>
  <si>
    <t>TREINO 01</t>
  </si>
  <si>
    <t>SEGUNDA</t>
  </si>
  <si>
    <t>TERÇA</t>
  </si>
  <si>
    <t>QUARTA</t>
  </si>
  <si>
    <t>QUINTA</t>
  </si>
  <si>
    <t>SETS</t>
  </si>
  <si>
    <t>SEXTA</t>
  </si>
  <si>
    <t>REPS</t>
  </si>
  <si>
    <t>KG</t>
  </si>
  <si>
    <t>%1RM</t>
  </si>
  <si>
    <t>OBS</t>
  </si>
  <si>
    <t>exercícios</t>
  </si>
  <si>
    <t>pse</t>
  </si>
  <si>
    <t>AQC</t>
  </si>
  <si>
    <t>REPS / TEMPO</t>
  </si>
  <si>
    <t>SEMANA 01</t>
  </si>
  <si>
    <t>%1RM / PSE</t>
  </si>
  <si>
    <t>TREINO 02</t>
  </si>
  <si>
    <t>SEMANA 02</t>
  </si>
  <si>
    <t>SEMANA 03</t>
  </si>
  <si>
    <t>SEMANA 04</t>
  </si>
  <si>
    <t>TREINO 03</t>
  </si>
  <si>
    <t>BLOCO 03</t>
  </si>
  <si>
    <t>BLOCO</t>
  </si>
  <si>
    <t>bloco 01</t>
  </si>
  <si>
    <t>DATA</t>
  </si>
  <si>
    <t>Agachamento</t>
  </si>
  <si>
    <t>Supino</t>
  </si>
  <si>
    <t>Terra</t>
  </si>
  <si>
    <t>Desenvolvimento</t>
  </si>
  <si>
    <t>Remada</t>
  </si>
  <si>
    <t>Arranco</t>
  </si>
  <si>
    <t>Arremesso</t>
  </si>
  <si>
    <t>bloco 02</t>
  </si>
  <si>
    <t>bloco 03</t>
  </si>
  <si>
    <t>S01</t>
  </si>
  <si>
    <t>S02</t>
  </si>
  <si>
    <t>S03</t>
  </si>
  <si>
    <t>S04</t>
  </si>
  <si>
    <t>S05</t>
  </si>
  <si>
    <t>S06</t>
  </si>
  <si>
    <t>S07</t>
  </si>
  <si>
    <t>S08</t>
  </si>
  <si>
    <t>S09</t>
  </si>
  <si>
    <t>S10</t>
  </si>
  <si>
    <t>S11</t>
  </si>
  <si>
    <t>S12</t>
  </si>
  <si>
    <t>VTT</t>
  </si>
  <si>
    <t>VTR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</si>
</sst>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3">
    <numFmt numFmtId="164" formatCode="dd&quot;/&quot;mm"/>
    <numFmt numFmtId="165" formatCode="dd/mm"/>
    <numFmt numFmtId="166" formatCode="dd/MM/yyyy"/>
  </numFmts>
  <fonts count="21">
    <font>
      <sz val="10.0"/>
      <color rgb="FF000000"/>
      <name val="Arial"/>
      <scheme val="minor"/>
    </font>
    <font>
      <b/>
      <color rgb="FFFFFFFF"/>
      <name val="Arial"/>
    </font>
    <font>
      <sz val="12.0"/>
      <color rgb="FFFFFFFF"/>
      <name val="Arial"/>
    </font>
    <font>
      <b/>
      <sz val="20.0"/>
      <color theme="1"/>
      <name val="Arial"/>
    </font>
    <font>
      <b/>
      <sz val="12.0"/>
      <color theme="1"/>
      <name val="Arial"/>
    </font>
    <font>
      <sz val="10.0"/>
      <color rgb="FF000000"/>
      <name val="Arial"/>
    </font>
    <font>
      <color rgb="FFFFFFFF"/>
      <name val="Arial"/>
    </font>
    <font>
      <color theme="1"/>
      <name val="Arial"/>
    </font>
    <font>
      <b/>
      <sz val="9.0"/>
      <color rgb="FFFFFFFF"/>
      <name val="Arial"/>
    </font>
    <font>
      <b/>
      <sz val="12.0"/>
      <color rgb="FFFFFFFF"/>
      <name val="Playfair Display"/>
    </font>
    <font>
      <color rgb="FFFFFFFF"/>
      <name val="Playfair Display"/>
    </font>
    <font>
      <color theme="1"/>
      <name val="Playfair Display"/>
    </font>
    <font>
      <b/>
      <sz val="12.0"/>
      <color rgb="FFFFFFFF"/>
      <name val="Arial"/>
    </font>
    <font>
      <b/>
      <color rgb="FFFF0000"/>
      <name val="Arial"/>
    </font>
    <font>
      <b/>
      <color rgb="FF000000"/>
      <name val="Arial"/>
    </font>
    <font>
      <b/>
      <sz val="14.0"/>
      <color rgb="FFFFFFFF"/>
      <name val="Arial"/>
    </font>
    <font>
      <color rgb="FF000000"/>
      <name val="Arial"/>
    </font>
    <font>
      <b/>
      <sz val="16.0"/>
      <color rgb="FFFFFFFF"/>
      <name val="Arial"/>
    </font>
    <font>
      <b/>
      <color theme="1"/>
      <name val="Arial"/>
    </font>
    <font/>
    <font>
      <b/>
      <sz val="10.0"/>
      <color rgb="FFFFFFFF"/>
      <name val="Arial"/>
    </font>
  </fonts>
  <fills count="6">
    <fill>
      <patternFill patternType="none"/>
    </fill>
    <fill>
      <patternFill patternType="lightGray"/>
    </fill>
    <fill>
      <patternFill patternType="solid">
        <fgColor rgb="FF000000"/>
        <bgColor rgb="FF000000"/>
      </patternFill>
    </fill>
    <fill>
      <patternFill patternType="solid">
        <fgColor rgb="FF434343"/>
        <bgColor rgb="FF434343"/>
      </patternFill>
    </fill>
    <fill>
      <patternFill patternType="solid">
        <fgColor rgb="FFF3F3F3"/>
        <bgColor rgb="FFF3F3F3"/>
      </patternFill>
    </fill>
    <fill>
      <patternFill patternType="solid">
        <fgColor rgb="FFFFFFFF"/>
        <bgColor rgb="FFFFFFFF"/>
      </patternFill>
    </fill>
  </fills>
  <borders count="13">
    <border/>
    <border>
      <left style="thin">
        <color rgb="FF000000"/>
      </left>
    </border>
    <border>
      <right style="medium">
        <color rgb="FF000000"/>
      </right>
    </border>
    <border>
      <top style="medium">
        <color rgb="FF000000"/>
      </top>
    </border>
    <border>
      <bottom style="medium">
        <color rgb="FF000000"/>
      </bottom>
    </border>
    <border>
      <left style="medium">
        <color rgb="FF000000"/>
      </left>
      <top style="medium">
        <color rgb="FF000000"/>
      </top>
    </border>
    <border>
      <right style="medium">
        <color rgb="FF000000"/>
      </right>
      <top style="medium">
        <color rgb="FF000000"/>
      </top>
    </border>
    <border>
      <left style="medium">
        <color rgb="FF000000"/>
      </left>
    </border>
    <border>
      <left style="medium">
        <color rgb="FF000000"/>
      </left>
      <bottom style="medium">
        <color rgb="FF000000"/>
      </bottom>
    </border>
    <border>
      <right style="medium">
        <color rgb="FF000000"/>
      </right>
      <bottom style="medium">
        <color rgb="FF000000"/>
      </bottom>
    </border>
    <border>
      <left style="medium">
        <color rgb="FF000000"/>
      </left>
      <right style="medium">
        <color rgb="FF000000"/>
      </right>
    </border>
    <border>
      <left style="medium">
        <color rgb="FF000000"/>
      </left>
      <right style="medium">
        <color rgb="FF000000"/>
      </right>
      <bottom style="medium">
        <color rgb="FF000000"/>
      </bottom>
    </border>
    <border>
      <right style="medium">
        <color rgb="FFF3F3F3"/>
      </right>
    </border>
  </borders>
  <cellStyleXfs count="1">
    <xf borderId="0" fillId="0" fontId="0" numFmtId="0" applyAlignment="1" applyFont="1"/>
  </cellStyleXfs>
  <cellXfs count="98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left"/>
    </xf>
    <xf borderId="0" fillId="2" fontId="1" numFmtId="0" xfId="0" applyFill="1" applyFont="1"/>
    <xf borderId="0" fillId="2" fontId="1" numFmtId="3" xfId="0" applyAlignment="1" applyFill="1" applyFont="1" applyNumberFormat="1">
      <alignment horizontal="center"/>
    </xf>
    <xf borderId="0" fillId="2" fontId="1" numFmtId="164" xfId="0" applyAlignment="1" applyFill="1" applyFont="1" applyNumberFormat="1">
      <alignment horizontal="center"/>
    </xf>
    <xf borderId="0" fillId="2" fontId="1" numFmtId="0" xfId="0" applyAlignment="1" applyFill="1" applyFont="1">
      <alignment horizontal="center"/>
    </xf>
    <xf borderId="0" fillId="2" fontId="1" numFmtId="0" xfId="0" applyAlignment="1" applyFill="1" applyFont="1">
      <alignment horizontal="right"/>
    </xf>
    <xf borderId="0" fillId="2" fontId="1" numFmtId="165" xfId="0" applyAlignment="1" applyFill="1" applyFont="1" applyNumberFormat="1">
      <alignment horizontal="left"/>
    </xf>
    <xf borderId="0" fillId="2" fontId="2" numFmtId="0" xfId="0" applyAlignment="1" applyFill="1" applyFont="1">
      <alignment horizontal="center" vertical="center"/>
    </xf>
    <xf borderId="0" fillId="0" fontId="3" numFmtId="0" xfId="0" applyAlignment="1" applyFont="1">
      <alignment horizontal="center" vertical="center"/>
    </xf>
    <xf borderId="0" fillId="0" fontId="4" numFmtId="0" xfId="0" applyAlignment="1" applyFont="1">
      <alignment horizontal="right" vertical="center"/>
    </xf>
    <xf borderId="0" fillId="3" fontId="1" numFmtId="0" xfId="0" applyAlignment="1" applyFill="1" applyFont="1">
      <alignment horizontal="center"/>
    </xf>
    <xf borderId="0" fillId="0" fontId="5" numFmtId="0" xfId="0" applyFont="1"/>
    <xf borderId="0" fillId="2" fontId="6" numFmtId="0" xfId="0" applyFill="1" applyFont="1"/>
    <xf borderId="0" fillId="0" fontId="7" numFmtId="0" xfId="0" applyAlignment="1" applyFont="1">
      <alignment vertical="bottom"/>
    </xf>
    <xf borderId="0" fillId="2" fontId="8" numFmtId="0" xfId="0" applyFill="1" applyFont="1"/>
    <xf borderId="0" fillId="2" fontId="1" numFmtId="164" xfId="0" applyAlignment="1" applyFill="1" applyFont="1" applyNumberFormat="1">
      <alignment horizontal="center" vertical="bottom"/>
    </xf>
    <xf borderId="0" fillId="2" fontId="9" numFmtId="0" xfId="0" applyFill="1" applyFont="1"/>
    <xf borderId="0" fillId="3" fontId="6" numFmtId="0" xfId="0" applyAlignment="1" applyFill="1" applyFont="1">
      <alignment horizontal="center"/>
    </xf>
    <xf borderId="0" fillId="2" fontId="4" numFmtId="0" xfId="0" applyFill="1" applyFont="1"/>
    <xf borderId="0" fillId="2" fontId="10" numFmtId="0" xfId="0" applyFill="1" applyFont="1"/>
    <xf borderId="0" fillId="0" fontId="7" numFmtId="0" xfId="0" applyFont="1"/>
    <xf borderId="0" fillId="2" fontId="11" numFmtId="0" xfId="0" applyFill="1" applyFont="1"/>
    <xf borderId="0" fillId="2" fontId="7" numFmtId="0" xfId="0" applyFill="1" applyFont="1"/>
    <xf borderId="0" fillId="2" fontId="6" numFmtId="0" xfId="0" applyAlignment="1" applyFill="1" applyFont="1">
      <alignment horizontal="center"/>
    </xf>
    <xf borderId="0" fillId="2" fontId="12" numFmtId="0" xfId="0" applyAlignment="1" applyFill="1" applyFont="1">
      <alignment horizontal="center"/>
    </xf>
    <xf borderId="0" fillId="2" fontId="13" numFmtId="0" xfId="0" applyAlignment="1" applyFill="1" applyFont="1">
      <alignment horizontal="center"/>
    </xf>
    <xf borderId="0" fillId="0" fontId="14" numFmtId="0" xfId="0" applyAlignment="1" applyFont="1">
      <alignment horizontal="center"/>
    </xf>
    <xf borderId="0" fillId="2" fontId="14" numFmtId="0" xfId="0" applyAlignment="1" applyFill="1" applyFont="1">
      <alignment horizontal="center"/>
    </xf>
    <xf borderId="1" fillId="2" fontId="1" numFmtId="0" xfId="0" applyAlignment="1" applyBorder="1" applyFill="1" applyFont="1">
      <alignment horizontal="center"/>
    </xf>
    <xf borderId="0" fillId="3" fontId="15" numFmtId="0" xfId="0" applyAlignment="1" applyFill="1" applyFont="1">
      <alignment horizontal="center" vertical="center"/>
    </xf>
    <xf borderId="0" fillId="0" fontId="16" numFmtId="0" xfId="0" applyAlignment="1" applyFont="1">
      <alignment horizontal="center" vertical="center"/>
    </xf>
    <xf borderId="0" fillId="3" fontId="1" numFmtId="0" xfId="0" applyAlignment="1" applyFill="1" applyFont="1">
      <alignment horizontal="center" vertical="center"/>
    </xf>
    <xf borderId="0" fillId="2" fontId="1" numFmtId="0" xfId="0" applyAlignment="1" applyFill="1" applyFont="1">
      <alignment vertical="bottom"/>
    </xf>
    <xf borderId="0" fillId="0" fontId="7" numFmtId="0" xfId="0" applyAlignment="1" applyFont="1">
      <alignment horizontal="center"/>
    </xf>
    <xf borderId="2" fillId="0" fontId="7" numFmtId="0" xfId="0" applyBorder="1" applyFont="1"/>
    <xf borderId="0" fillId="4" fontId="7" numFmtId="0" xfId="0" applyAlignment="1" applyFill="1" applyFont="1">
      <alignment horizontal="center"/>
    </xf>
    <xf borderId="0" fillId="2" fontId="1" numFmtId="0" xfId="0" applyAlignment="1" applyFill="1" applyFont="1">
      <alignment horizontal="center" vertical="bottom"/>
    </xf>
    <xf borderId="2" fillId="4" fontId="7" numFmtId="0" xfId="0" applyAlignment="1" applyBorder="1" applyFill="1" applyFont="1">
      <alignment horizontal="center"/>
    </xf>
    <xf borderId="0" fillId="0" fontId="7" numFmtId="0" xfId="0" applyAlignment="1" applyFont="1">
      <alignment horizontal="left"/>
    </xf>
    <xf borderId="0" fillId="0" fontId="7" numFmtId="0" xfId="0" applyAlignment="1" applyFont="1">
      <alignment horizontal="right"/>
    </xf>
    <xf borderId="0" fillId="0" fontId="7" numFmtId="9" xfId="0" applyAlignment="1" applyFont="1" applyNumberFormat="1">
      <alignment horizontal="center" vertical="bottom"/>
    </xf>
    <xf borderId="0" fillId="5" fontId="7" numFmtId="0" xfId="0" applyAlignment="1" applyFill="1" applyFont="1">
      <alignment horizontal="left"/>
    </xf>
    <xf borderId="0" fillId="5" fontId="7" numFmtId="0" xfId="0" applyAlignment="1" applyFill="1" applyFont="1">
      <alignment horizontal="right"/>
    </xf>
    <xf borderId="0" fillId="3" fontId="7" numFmtId="0" xfId="0" applyAlignment="1" applyFill="1" applyFont="1">
      <alignment vertical="bottom"/>
    </xf>
    <xf borderId="0" fillId="2" fontId="12" numFmtId="164" xfId="0" applyAlignment="1" applyFill="1" applyFont="1" applyNumberFormat="1">
      <alignment horizontal="center" vertical="center"/>
    </xf>
    <xf borderId="0" fillId="2" fontId="17" numFmtId="0" xfId="0" applyAlignment="1" applyFill="1" applyFont="1">
      <alignment horizontal="center" vertical="center"/>
    </xf>
    <xf borderId="0" fillId="3" fontId="7" numFmtId="0" xfId="0" applyFill="1" applyFont="1"/>
    <xf borderId="0" fillId="0" fontId="7" numFmtId="0" xfId="0" applyAlignment="1" applyFont="1">
      <alignment horizontal="center" vertical="bottom"/>
    </xf>
    <xf borderId="0" fillId="0" fontId="7" numFmtId="9" xfId="0" applyAlignment="1" applyFont="1" applyNumberFormat="1">
      <alignment horizontal="center"/>
    </xf>
    <xf borderId="0" fillId="4" fontId="7" numFmtId="0" xfId="0" applyAlignment="1" applyFill="1" applyFont="1">
      <alignment horizontal="center" vertical="bottom"/>
    </xf>
    <xf borderId="2" fillId="4" fontId="7" numFmtId="0" xfId="0" applyAlignment="1" applyBorder="1" applyFill="1" applyFont="1">
      <alignment horizontal="center" vertical="bottom"/>
    </xf>
    <xf borderId="0" fillId="2" fontId="7" numFmtId="0" xfId="0" applyAlignment="1" applyFill="1" applyFont="1">
      <alignment vertical="bottom"/>
    </xf>
    <xf borderId="2" fillId="0" fontId="7" numFmtId="0" xfId="0" applyAlignment="1" applyBorder="1" applyFont="1">
      <alignment vertical="bottom"/>
    </xf>
    <xf borderId="0" fillId="3" fontId="6" numFmtId="0" xfId="0" applyFill="1" applyFont="1"/>
    <xf borderId="0" fillId="3" fontId="18" numFmtId="0" xfId="0" applyAlignment="1" applyFill="1" applyFont="1">
      <alignment horizontal="right"/>
    </xf>
    <xf borderId="3" fillId="2" fontId="1" numFmtId="0" xfId="0" applyAlignment="1" applyBorder="1" applyFill="1" applyFont="1">
      <alignment horizontal="right"/>
    </xf>
    <xf borderId="3" fillId="2" fontId="6" numFmtId="0" xfId="0" applyBorder="1" applyFill="1" applyFont="1"/>
    <xf borderId="4" fillId="2" fontId="1" numFmtId="0" xfId="0" applyAlignment="1" applyBorder="1" applyFill="1" applyFont="1">
      <alignment horizontal="right"/>
    </xf>
    <xf borderId="4" fillId="2" fontId="6" numFmtId="166" xfId="0" applyAlignment="1" applyBorder="1" applyFill="1" applyFont="1" applyNumberFormat="1">
      <alignment horizontal="left"/>
    </xf>
    <xf borderId="5" fillId="2" fontId="1" numFmtId="0" xfId="0" applyAlignment="1" applyBorder="1" applyFill="1" applyFont="1">
      <alignment horizontal="center" vertical="bottom"/>
    </xf>
    <xf borderId="3" fillId="2" fontId="1" numFmtId="0" xfId="0" applyBorder="1" applyFill="1" applyFont="1"/>
    <xf borderId="3" fillId="2" fontId="1" numFmtId="0" xfId="0" applyAlignment="1" applyBorder="1" applyFill="1" applyFont="1">
      <alignment horizontal="center"/>
    </xf>
    <xf borderId="3" fillId="2" fontId="1" numFmtId="9" xfId="0" applyAlignment="1" applyBorder="1" applyFill="1" applyFont="1" applyNumberFormat="1">
      <alignment horizontal="center" vertical="bottom"/>
    </xf>
    <xf borderId="6" fillId="2" fontId="1" numFmtId="9" xfId="0" applyAlignment="1" applyBorder="1" applyFill="1" applyFont="1" applyNumberFormat="1">
      <alignment horizontal="center" vertical="bottom"/>
    </xf>
    <xf borderId="7" fillId="0" fontId="7" numFmtId="0" xfId="0" applyAlignment="1" applyBorder="1" applyFont="1">
      <alignment vertical="bottom"/>
    </xf>
    <xf borderId="5" fillId="4" fontId="7" numFmtId="0" xfId="0" applyAlignment="1" applyBorder="1" applyFill="1" applyFont="1">
      <alignment horizontal="center"/>
    </xf>
    <xf borderId="6" fillId="4" fontId="7" numFmtId="0" xfId="0" applyAlignment="1" applyBorder="1" applyFill="1" applyFont="1">
      <alignment horizontal="center"/>
    </xf>
    <xf borderId="0" fillId="5" fontId="16" numFmtId="1" xfId="0" applyAlignment="1" applyFill="1" applyFont="1" applyNumberFormat="1">
      <alignment horizontal="center" vertical="bottom"/>
    </xf>
    <xf borderId="2" fillId="5" fontId="16" numFmtId="1" xfId="0" applyAlignment="1" applyBorder="1" applyFill="1" applyFont="1" applyNumberFormat="1">
      <alignment horizontal="center" vertical="bottom"/>
    </xf>
    <xf borderId="7" fillId="4" fontId="7" numFmtId="0" xfId="0" applyAlignment="1" applyBorder="1" applyFill="1" applyFont="1">
      <alignment horizontal="center"/>
    </xf>
    <xf borderId="7" fillId="4" fontId="7" numFmtId="0" xfId="0" applyAlignment="1" applyBorder="1" applyFill="1" applyFont="1">
      <alignment horizontal="center" vertical="bottom"/>
    </xf>
    <xf borderId="8" fillId="0" fontId="7" numFmtId="0" xfId="0" applyAlignment="1" applyBorder="1" applyFont="1">
      <alignment vertical="bottom"/>
    </xf>
    <xf borderId="8" fillId="4" fontId="7" numFmtId="0" xfId="0" applyAlignment="1" applyBorder="1" applyFill="1" applyFont="1">
      <alignment horizontal="center" vertical="bottom"/>
    </xf>
    <xf borderId="9" fillId="4" fontId="7" numFmtId="0" xfId="0" applyAlignment="1" applyBorder="1" applyFill="1" applyFont="1">
      <alignment horizontal="center" vertical="bottom"/>
    </xf>
    <xf borderId="4" fillId="5" fontId="16" numFmtId="1" xfId="0" applyAlignment="1" applyBorder="1" applyFill="1" applyFont="1" applyNumberFormat="1">
      <alignment horizontal="center" vertical="bottom"/>
    </xf>
    <xf borderId="9" fillId="5" fontId="16" numFmtId="1" xfId="0" applyAlignment="1" applyBorder="1" applyFill="1" applyFont="1" applyNumberFormat="1">
      <alignment horizontal="center" vertical="bottom"/>
    </xf>
    <xf borderId="3" fillId="5" fontId="16" numFmtId="1" xfId="0" applyAlignment="1" applyBorder="1" applyFill="1" applyFont="1" applyNumberFormat="1">
      <alignment horizontal="center" vertical="bottom"/>
    </xf>
    <xf borderId="0" fillId="2" fontId="1" numFmtId="9" xfId="0" applyAlignment="1" applyFill="1" applyFont="1" applyNumberFormat="1">
      <alignment horizontal="center" vertical="bottom"/>
    </xf>
    <xf borderId="6" fillId="5" fontId="16" numFmtId="1" xfId="0" applyAlignment="1" applyBorder="1" applyFill="1" applyFont="1" applyNumberFormat="1">
      <alignment horizontal="center" vertical="bottom"/>
    </xf>
    <xf borderId="10" fillId="0" fontId="7" numFmtId="0" xfId="0" applyAlignment="1" applyBorder="1" applyFont="1">
      <alignment vertical="bottom"/>
    </xf>
    <xf borderId="11" fillId="0" fontId="7" numFmtId="0" xfId="0" applyAlignment="1" applyBorder="1" applyFont="1">
      <alignment vertical="bottom"/>
    </xf>
    <xf borderId="0" fillId="4" fontId="7" numFmtId="0" xfId="0" applyFill="1" applyFont="1"/>
    <xf borderId="0" fillId="4" fontId="18" numFmtId="0" xfId="0" applyAlignment="1" applyFill="1" applyFont="1">
      <alignment horizontal="center"/>
    </xf>
    <xf borderId="12" fillId="0" fontId="19" numFmtId="0" xfId="0" applyBorder="1" applyFont="1"/>
    <xf borderId="0" fillId="2" fontId="1" numFmtId="0" xfId="0" applyAlignment="1" applyFill="1" applyFont="1">
      <alignment vertical="center"/>
    </xf>
    <xf borderId="0" fillId="2" fontId="1" numFmtId="0" xfId="0" applyAlignment="1" applyFill="1" applyFont="1">
      <alignment horizontal="center" vertical="center"/>
    </xf>
    <xf borderId="12" fillId="2" fontId="1" numFmtId="0" xfId="0" applyAlignment="1" applyBorder="1" applyFill="1" applyFont="1">
      <alignment horizontal="center" vertical="center"/>
    </xf>
    <xf borderId="0" fillId="2" fontId="1" numFmtId="0" xfId="0" applyAlignment="1" applyFill="1" applyFont="1">
      <alignment horizontal="right" vertical="center"/>
    </xf>
    <xf borderId="0" fillId="2" fontId="6" numFmtId="3" xfId="0" applyAlignment="1" applyFill="1" applyFont="1" applyNumberFormat="1">
      <alignment horizontal="center" vertical="center"/>
    </xf>
    <xf borderId="12" fillId="2" fontId="6" numFmtId="3" xfId="0" applyAlignment="1" applyBorder="1" applyFill="1" applyFont="1" applyNumberFormat="1">
      <alignment horizontal="center" vertical="center"/>
    </xf>
    <xf borderId="0" fillId="2" fontId="6" numFmtId="9" xfId="0" applyAlignment="1" applyFill="1" applyFont="1" applyNumberFormat="1">
      <alignment horizontal="center" vertical="center"/>
    </xf>
    <xf borderId="12" fillId="2" fontId="6" numFmtId="9" xfId="0" applyAlignment="1" applyBorder="1" applyFill="1" applyFont="1" applyNumberFormat="1">
      <alignment horizontal="center" vertical="center"/>
    </xf>
    <xf borderId="0" fillId="3" fontId="1" numFmtId="0" xfId="0" applyAlignment="1" applyFill="1" applyFont="1">
      <alignment horizontal="right" vertical="center"/>
    </xf>
    <xf borderId="0" fillId="3" fontId="1" numFmtId="164" xfId="0" applyAlignment="1" applyFill="1" applyFont="1" applyNumberFormat="1">
      <alignment horizontal="center" vertical="center"/>
    </xf>
    <xf borderId="12" fillId="3" fontId="1" numFmtId="164" xfId="0" applyAlignment="1" applyBorder="1" applyFill="1" applyFont="1" applyNumberFormat="1">
      <alignment horizontal="center" vertical="center"/>
    </xf>
    <xf borderId="0" fillId="3" fontId="20" numFmtId="49" xfId="0" applyAlignment="1" applyFill="1" applyFont="1" applyNumberFormat="1">
      <alignment horizontal="left" vertical="center"/>
    </xf>
    <xf borderId="12" fillId="3" fontId="20" numFmtId="49" xfId="0" applyAlignment="1" applyBorder="1" applyFill="1" applyFont="1" applyNumberFormat="1">
      <alignment horizontal="left" vertical="center"/>
    </xf>
  </cellXfs>
  <cellStyles count="1">
    <cellStyle xfId="0" name="Normal" builtinId="0"/>
  </cellStyles>
  <dxfs count="1">
    <dxf>
      <font/>
      <fill>
        <patternFill patternType="solid">
          <fgColor rgb="FFB7E1CD"/>
          <bgColor rgb="FFB7E1CD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1" i="0">
                <a:solidFill>
                  <a:srgbClr val="000000"/>
                </a:solidFill>
                <a:latin typeface="+mn-lt"/>
              </a:defRPr>
            </a:pPr>
            <a:r>
              <a:rPr b="1" i="0">
                <a:solidFill>
                  <a:srgbClr val="000000"/>
                </a:solidFill>
                <a:latin typeface="+mn-lt"/>
              </a:rPr>
              <a:t>VTT x VTR</a:t>
            </a:r>
          </a:p>
        </c:rich>
      </c:tx>
      <c:overlay val="0"/>
    </c:title>
    <c:plotArea>
      <c:layout/>
      <c:barChart>
        <c:barDir val="col"/>
        <c:varyColors val="0"/>
        <c:ser>
          <c:idx val="0"/>
          <c:order val="0"/>
          <c:tx>
            <c:strRef>
              <c:f>macro!$A$3</c:f>
            </c:strRef>
          </c:tx>
          <c:spPr>
            <a:solidFill>
              <a:srgbClr val="1C4587"/>
            </a:solidFill>
            <a:ln cmpd="sng">
              <a:noFill/>
            </a:ln>
          </c:spPr>
          <c:invertIfNegative val="0"/>
          <c:cat>
            <c:strRef>
              <c:f>macro!$B$2:$M$2</c:f>
            </c:strRef>
          </c:cat>
          <c:val>
            <c:numRef>
              <c:f>macro!$B$3:$M$3</c:f>
              <c:numCache/>
            </c:numRef>
          </c:val>
        </c:ser>
        <c:axId val="325528735"/>
        <c:axId val="1480461795"/>
      </c:barChart>
      <c:lineChart>
        <c:varyColors val="0"/>
        <c:ser>
          <c:idx val="1"/>
          <c:order val="1"/>
          <c:tx>
            <c:strRef>
              <c:f>macro!$A$4</c:f>
            </c:strRef>
          </c:tx>
          <c:spPr>
            <a:ln cmpd="sng">
              <a:solidFill>
                <a:srgbClr val="FF9900"/>
              </a:solidFill>
            </a:ln>
          </c:spPr>
          <c:marker>
            <c:symbol val="none"/>
          </c:marker>
          <c:cat>
            <c:strRef>
              <c:f>macro!$B$2:$M$2</c:f>
            </c:strRef>
          </c:cat>
          <c:val>
            <c:numRef>
              <c:f>macro!$B$4:$M$4</c:f>
              <c:numCache/>
            </c:numRef>
          </c:val>
          <c:smooth val="0"/>
        </c:ser>
        <c:axId val="325528735"/>
        <c:axId val="1480461795"/>
      </c:lineChart>
      <c:catAx>
        <c:axId val="32552873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 i="0">
                <a:solidFill>
                  <a:srgbClr val="000000"/>
                </a:solidFill>
                <a:latin typeface="+mn-lt"/>
              </a:defRPr>
            </a:pPr>
          </a:p>
        </c:txPr>
        <c:crossAx val="1480461795"/>
      </c:catAx>
      <c:valAx>
        <c:axId val="1480461795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 i="0">
                <a:solidFill>
                  <a:srgbClr val="000000"/>
                </a:solidFill>
                <a:latin typeface="+mn-lt"/>
              </a:defRPr>
            </a:pPr>
          </a:p>
        </c:txPr>
        <c:crossAx val="325528735"/>
      </c:valAx>
    </c:plotArea>
    <c:legend>
      <c:legendPos val="r"/>
      <c:overlay val="0"/>
      <c:txPr>
        <a:bodyPr/>
        <a:lstStyle/>
        <a:p>
          <a:pPr lvl="0">
            <a:defRPr b="0" i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1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png"/></Relationships>
</file>

<file path=xl/drawings/_rels/drawing3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png"/></Relationships>
</file>

<file path=xl/drawings/_rels/drawing5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png"/></Relationships>
</file>

<file path=xl/drawings/_rels/drawing8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142875</xdr:colOff>
      <xdr:row>0</xdr:row>
      <xdr:rowOff>0</xdr:rowOff>
    </xdr:from>
    <xdr:ext cx="1590675" cy="1590675"/>
    <xdr:pic>
      <xdr:nvPicPr>
        <xdr:cNvPr id="0" name="image1.png" title="Imagem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91</xdr:row>
      <xdr:rowOff>0</xdr:rowOff>
    </xdr:from>
    <xdr:ext cx="200025" cy="200025"/>
    <xdr:pic>
      <xdr:nvPicPr>
        <xdr:cNvPr id="0" name="image2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146</xdr:row>
      <xdr:rowOff>0</xdr:rowOff>
    </xdr:from>
    <xdr:ext cx="200025" cy="200025"/>
    <xdr:pic>
      <xdr:nvPicPr>
        <xdr:cNvPr id="0" name="image2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201</xdr:row>
      <xdr:rowOff>0</xdr:rowOff>
    </xdr:from>
    <xdr:ext cx="200025" cy="200025"/>
    <xdr:pic>
      <xdr:nvPicPr>
        <xdr:cNvPr id="0" name="image2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142875</xdr:colOff>
      <xdr:row>0</xdr:row>
      <xdr:rowOff>0</xdr:rowOff>
    </xdr:from>
    <xdr:ext cx="1590675" cy="1590675"/>
    <xdr:pic>
      <xdr:nvPicPr>
        <xdr:cNvPr id="0" name="image1.png" title="Imagem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91</xdr:row>
      <xdr:rowOff>0</xdr:rowOff>
    </xdr:from>
    <xdr:ext cx="200025" cy="200025"/>
    <xdr:pic>
      <xdr:nvPicPr>
        <xdr:cNvPr id="0" name="image2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146</xdr:row>
      <xdr:rowOff>0</xdr:rowOff>
    </xdr:from>
    <xdr:ext cx="200025" cy="200025"/>
    <xdr:pic>
      <xdr:nvPicPr>
        <xdr:cNvPr id="0" name="image2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201</xdr:row>
      <xdr:rowOff>0</xdr:rowOff>
    </xdr:from>
    <xdr:ext cx="200025" cy="200025"/>
    <xdr:pic>
      <xdr:nvPicPr>
        <xdr:cNvPr id="0" name="image2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142875</xdr:colOff>
      <xdr:row>0</xdr:row>
      <xdr:rowOff>0</xdr:rowOff>
    </xdr:from>
    <xdr:ext cx="1590675" cy="1590675"/>
    <xdr:pic>
      <xdr:nvPicPr>
        <xdr:cNvPr id="0" name="image1.png" title="Imagem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91</xdr:row>
      <xdr:rowOff>0</xdr:rowOff>
    </xdr:from>
    <xdr:ext cx="200025" cy="200025"/>
    <xdr:pic>
      <xdr:nvPicPr>
        <xdr:cNvPr id="0" name="image2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146</xdr:row>
      <xdr:rowOff>0</xdr:rowOff>
    </xdr:from>
    <xdr:ext cx="200025" cy="200025"/>
    <xdr:pic>
      <xdr:nvPicPr>
        <xdr:cNvPr id="0" name="image2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201</xdr:row>
      <xdr:rowOff>0</xdr:rowOff>
    </xdr:from>
    <xdr:ext cx="200025" cy="200025"/>
    <xdr:pic>
      <xdr:nvPicPr>
        <xdr:cNvPr id="0" name="image2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0</xdr:colOff>
      <xdr:row>6</xdr:row>
      <xdr:rowOff>447675</xdr:rowOff>
    </xdr:from>
    <xdr:ext cx="9420225" cy="2457450"/>
    <xdr:graphicFrame>
      <xdr:nvGraphicFramePr>
        <xdr:cNvPr id="1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0"/>
  <cols>
    <col customWidth="1" min="1" max="1" width="25.13"/>
    <col customWidth="1" min="2" max="7" width="12.63"/>
  </cols>
  <sheetData>
    <row r="1" ht="37.5" customHeight="1">
      <c r="A1" s="8"/>
      <c r="B1" s="9" t="s">
        <v>2</v>
      </c>
    </row>
    <row r="2" ht="15.75" customHeight="1">
      <c r="B2" s="10" t="s">
        <v>3</v>
      </c>
      <c r="C2" s="12"/>
    </row>
    <row r="3" ht="15.75" customHeight="1">
      <c r="B3" s="10" t="s">
        <v>4</v>
      </c>
      <c r="C3" s="14"/>
    </row>
    <row r="4" ht="15.75" customHeight="1">
      <c r="A4" s="15"/>
      <c r="B4" s="17"/>
      <c r="C4" s="19"/>
      <c r="D4" s="20"/>
      <c r="E4" s="22"/>
      <c r="F4" s="23"/>
      <c r="G4" s="23"/>
    </row>
    <row r="5" ht="15.75" customHeight="1">
      <c r="A5" s="24"/>
      <c r="B5" s="25" t="s">
        <v>6</v>
      </c>
      <c r="C5" s="25" t="s">
        <v>7</v>
      </c>
      <c r="D5" s="25" t="s">
        <v>8</v>
      </c>
      <c r="E5" s="25" t="s">
        <v>9</v>
      </c>
      <c r="F5" s="25" t="s">
        <v>11</v>
      </c>
      <c r="G5" s="5"/>
    </row>
    <row r="6" ht="15.75" customHeight="1">
      <c r="A6" s="26"/>
      <c r="B6" s="27"/>
      <c r="C6" s="27"/>
      <c r="D6" s="27"/>
      <c r="E6" s="27"/>
      <c r="F6" s="27"/>
      <c r="G6" s="5"/>
    </row>
    <row r="7" ht="15.75" customHeight="1">
      <c r="A7" s="26"/>
      <c r="B7" s="28"/>
      <c r="C7" s="28"/>
      <c r="D7" s="28"/>
      <c r="E7" s="28"/>
      <c r="F7" s="28"/>
      <c r="G7" s="28"/>
    </row>
    <row r="8" ht="15.75" customHeight="1">
      <c r="A8" s="30" t="s">
        <v>15</v>
      </c>
    </row>
    <row r="9" ht="15.75" customHeight="1">
      <c r="A9" s="31"/>
    </row>
    <row r="10" ht="15.75" customHeight="1"/>
    <row r="11" ht="15.75" customHeight="1">
      <c r="A11" s="30" t="s">
        <v>18</v>
      </c>
    </row>
    <row r="12" ht="15.75" customHeight="1">
      <c r="A12" s="2"/>
      <c r="B12" s="33" t="s">
        <v>10</v>
      </c>
      <c r="C12" s="33" t="s">
        <v>19</v>
      </c>
      <c r="D12" s="37" t="s">
        <v>13</v>
      </c>
      <c r="E12" s="37" t="s">
        <v>15</v>
      </c>
    </row>
    <row r="13" ht="15.75" customHeight="1">
      <c r="A13" s="39"/>
      <c r="B13" s="40"/>
      <c r="C13" s="40"/>
      <c r="D13" s="40"/>
      <c r="E13" s="34"/>
    </row>
    <row r="14" ht="15.75" customHeight="1">
      <c r="A14" s="42"/>
      <c r="B14" s="43"/>
      <c r="C14" s="43"/>
      <c r="D14" s="40"/>
      <c r="E14" s="34"/>
    </row>
    <row r="15" ht="15.75" customHeight="1">
      <c r="A15" s="39"/>
      <c r="B15" s="40"/>
      <c r="C15" s="40"/>
      <c r="D15" s="40"/>
      <c r="E15" s="34"/>
    </row>
    <row r="16" ht="15.75" customHeight="1">
      <c r="A16" s="45">
        <f>'bloco 01'!C3</f>
        <v>46246</v>
      </c>
    </row>
    <row r="17" ht="15.75" customHeight="1">
      <c r="A17" s="46" t="s">
        <v>20</v>
      </c>
    </row>
    <row r="18" ht="15.75" customHeight="1">
      <c r="A18" s="30" t="s">
        <v>5</v>
      </c>
    </row>
    <row r="19" ht="15.75" customHeight="1">
      <c r="A19" s="33"/>
      <c r="B19" s="33" t="s">
        <v>10</v>
      </c>
      <c r="C19" s="37" t="s">
        <v>12</v>
      </c>
      <c r="D19" s="37" t="s">
        <v>13</v>
      </c>
      <c r="E19" s="37" t="s">
        <v>21</v>
      </c>
      <c r="F19" s="37" t="s">
        <v>15</v>
      </c>
    </row>
    <row r="20" ht="15.75" customHeight="1">
      <c r="A20" s="14" t="str">
        <f>'bloco 01'!$B$6</f>
        <v/>
      </c>
      <c r="B20" s="48" t="str">
        <f>'bloco 01'!C6</f>
        <v/>
      </c>
      <c r="C20" s="48" t="str">
        <f>'bloco 01'!D6</f>
        <v/>
      </c>
      <c r="D20" s="48" t="str">
        <f>'bloco 01'!E6</f>
        <v/>
      </c>
      <c r="E20" s="41" t="str">
        <f>IFERROR(('bloco 01'!F6),"")</f>
        <v/>
      </c>
      <c r="F20" s="49" t="str">
        <f>'bloco 01'!G6</f>
        <v/>
      </c>
    </row>
    <row r="21" ht="15.75" customHeight="1">
      <c r="A21" s="14" t="str">
        <f>'bloco 01'!$B$7</f>
        <v/>
      </c>
      <c r="B21" s="48" t="str">
        <f>'bloco 01'!C7</f>
        <v/>
      </c>
      <c r="C21" s="48" t="str">
        <f>'bloco 01'!D7</f>
        <v/>
      </c>
      <c r="D21" s="48" t="str">
        <f>'bloco 01'!E7</f>
        <v/>
      </c>
      <c r="E21" s="41" t="str">
        <f>IFERROR(('bloco 01'!F7),"")</f>
        <v/>
      </c>
      <c r="F21" s="49" t="str">
        <f>'bloco 01'!G7</f>
        <v/>
      </c>
    </row>
    <row r="22" ht="15.75" customHeight="1">
      <c r="A22" s="14" t="str">
        <f>'bloco 01'!$B$8</f>
        <v/>
      </c>
      <c r="B22" s="48" t="str">
        <f>'bloco 01'!C8</f>
        <v/>
      </c>
      <c r="C22" s="48" t="str">
        <f>'bloco 01'!D8</f>
        <v/>
      </c>
      <c r="D22" s="48" t="str">
        <f>'bloco 01'!E8</f>
        <v/>
      </c>
      <c r="E22" s="41" t="str">
        <f>IFERROR(('bloco 01'!F8),"")</f>
        <v/>
      </c>
      <c r="F22" s="49" t="str">
        <f>'bloco 01'!G8</f>
        <v/>
      </c>
    </row>
    <row r="23" ht="15.75" customHeight="1">
      <c r="A23" s="14" t="str">
        <f>'bloco 01'!$B$9</f>
        <v/>
      </c>
      <c r="B23" s="48" t="str">
        <f>'bloco 01'!C9</f>
        <v/>
      </c>
      <c r="C23" s="48" t="str">
        <f>'bloco 01'!D9</f>
        <v/>
      </c>
      <c r="D23" s="48" t="str">
        <f>'bloco 01'!E9</f>
        <v/>
      </c>
      <c r="E23" s="41" t="str">
        <f>IFERROR(('bloco 01'!F9),"")</f>
        <v/>
      </c>
      <c r="F23" s="49" t="str">
        <f>'bloco 01'!G9</f>
        <v/>
      </c>
    </row>
    <row r="24" ht="15.75" customHeight="1">
      <c r="A24" s="14" t="str">
        <f>'bloco 01'!$B$10</f>
        <v/>
      </c>
      <c r="B24" s="48" t="str">
        <f>'bloco 01'!C10</f>
        <v/>
      </c>
      <c r="C24" s="48" t="str">
        <f>'bloco 01'!D10</f>
        <v/>
      </c>
      <c r="D24" s="48" t="str">
        <f>'bloco 01'!E10</f>
        <v/>
      </c>
      <c r="E24" s="41" t="str">
        <f>IFERROR(('bloco 01'!F10),"")</f>
        <v/>
      </c>
      <c r="F24" s="49" t="str">
        <f>'bloco 01'!G10</f>
        <v/>
      </c>
    </row>
    <row r="25" ht="15.75" customHeight="1">
      <c r="A25" s="14" t="str">
        <f>'bloco 01'!$B$11</f>
        <v/>
      </c>
      <c r="B25" s="48" t="str">
        <f>'bloco 01'!C11</f>
        <v/>
      </c>
      <c r="C25" s="48" t="str">
        <f>'bloco 01'!D11</f>
        <v/>
      </c>
      <c r="D25" s="48" t="str">
        <f>'bloco 01'!E11</f>
        <v/>
      </c>
      <c r="E25" s="41" t="str">
        <f>IFERROR(('bloco 01'!F11),"")</f>
        <v/>
      </c>
      <c r="F25" s="49" t="str">
        <f>'bloco 01'!G11</f>
        <v/>
      </c>
    </row>
    <row r="26" ht="15.75" customHeight="1">
      <c r="A26" s="14" t="str">
        <f>'bloco 01'!$B$12</f>
        <v/>
      </c>
      <c r="B26" s="48" t="str">
        <f>'bloco 01'!C12</f>
        <v/>
      </c>
      <c r="C26" s="48" t="str">
        <f>'bloco 01'!D12</f>
        <v/>
      </c>
      <c r="D26" s="48" t="str">
        <f>'bloco 01'!E12</f>
        <v/>
      </c>
      <c r="E26" s="41" t="str">
        <f>IFERROR(('bloco 01'!F12),"")</f>
        <v/>
      </c>
      <c r="F26" s="49" t="str">
        <f>'bloco 01'!G12</f>
        <v/>
      </c>
    </row>
    <row r="27" ht="15.75" customHeight="1">
      <c r="A27" s="14" t="str">
        <f>'bloco 01'!$B$13</f>
        <v/>
      </c>
      <c r="B27" s="48" t="str">
        <f>'bloco 01'!C13</f>
        <v/>
      </c>
      <c r="C27" s="48" t="str">
        <f>'bloco 01'!D13</f>
        <v/>
      </c>
      <c r="D27" s="48" t="str">
        <f>'bloco 01'!E13</f>
        <v/>
      </c>
      <c r="E27" s="41" t="str">
        <f>IFERROR(('bloco 01'!F13),"")</f>
        <v/>
      </c>
      <c r="F27" s="49" t="str">
        <f>'bloco 01'!G13</f>
        <v/>
      </c>
    </row>
    <row r="28" ht="15.75" customHeight="1">
      <c r="A28" s="14" t="str">
        <f>'bloco 01'!$B$14</f>
        <v/>
      </c>
      <c r="B28" s="48" t="str">
        <f>'bloco 01'!C14</f>
        <v/>
      </c>
      <c r="C28" s="48" t="str">
        <f>'bloco 01'!D14</f>
        <v/>
      </c>
      <c r="D28" s="48" t="str">
        <f>'bloco 01'!E14</f>
        <v/>
      </c>
      <c r="E28" s="41" t="str">
        <f>IFERROR(('bloco 01'!F14),"")</f>
        <v/>
      </c>
      <c r="F28" s="49" t="str">
        <f>'bloco 01'!G14</f>
        <v/>
      </c>
    </row>
    <row r="29" ht="15.75" customHeight="1">
      <c r="A29" s="14" t="str">
        <f>'bloco 01'!$B$15</f>
        <v/>
      </c>
      <c r="B29" s="48" t="str">
        <f>'bloco 01'!C15</f>
        <v/>
      </c>
      <c r="C29" s="48" t="str">
        <f>'bloco 01'!D15</f>
        <v/>
      </c>
      <c r="D29" s="48" t="str">
        <f>'bloco 01'!E15</f>
        <v/>
      </c>
      <c r="E29" s="41" t="str">
        <f>IFERROR(('bloco 01'!F15),"")</f>
        <v/>
      </c>
      <c r="F29" s="49" t="str">
        <f>'bloco 01'!G15</f>
        <v/>
      </c>
    </row>
    <row r="30" ht="15.75" customHeight="1">
      <c r="A30" s="30" t="s">
        <v>22</v>
      </c>
    </row>
    <row r="31" ht="15.75" customHeight="1">
      <c r="A31" s="33"/>
      <c r="B31" s="33" t="s">
        <v>10</v>
      </c>
      <c r="C31" s="37" t="s">
        <v>12</v>
      </c>
      <c r="D31" s="37" t="s">
        <v>13</v>
      </c>
      <c r="E31" s="37" t="s">
        <v>21</v>
      </c>
      <c r="F31" s="37" t="s">
        <v>15</v>
      </c>
    </row>
    <row r="32" ht="15.75" customHeight="1">
      <c r="A32" s="14" t="str">
        <f>'bloco 01'!$B$21</f>
        <v/>
      </c>
      <c r="B32" s="48" t="str">
        <f>'bloco 01'!C21</f>
        <v/>
      </c>
      <c r="C32" s="48" t="str">
        <f>'bloco 01'!D21</f>
        <v/>
      </c>
      <c r="D32" s="48" t="str">
        <f>'bloco 01'!E21</f>
        <v/>
      </c>
      <c r="E32" s="41" t="str">
        <f>IFERROR(('bloco 01'!F21),"")</f>
        <v/>
      </c>
      <c r="F32" s="49" t="str">
        <f>'bloco 01'!G21</f>
        <v/>
      </c>
    </row>
    <row r="33" ht="15.75" customHeight="1">
      <c r="A33" s="14" t="str">
        <f>'bloco 01'!$B$22</f>
        <v/>
      </c>
      <c r="B33" s="48" t="str">
        <f>'bloco 01'!C22</f>
        <v/>
      </c>
      <c r="C33" s="48" t="str">
        <f>'bloco 01'!D22</f>
        <v/>
      </c>
      <c r="D33" s="48" t="str">
        <f>'bloco 01'!E22</f>
        <v/>
      </c>
      <c r="E33" s="41" t="str">
        <f>IFERROR(('bloco 01'!F22),"")</f>
        <v/>
      </c>
      <c r="F33" s="49" t="str">
        <f>'bloco 01'!G22</f>
        <v/>
      </c>
    </row>
    <row r="34" ht="15.75" customHeight="1">
      <c r="A34" s="14" t="str">
        <f>'bloco 01'!$B$23</f>
        <v/>
      </c>
      <c r="B34" s="48" t="str">
        <f>'bloco 01'!C23</f>
        <v/>
      </c>
      <c r="C34" s="48" t="str">
        <f>'bloco 01'!D23</f>
        <v/>
      </c>
      <c r="D34" s="48" t="str">
        <f>'bloco 01'!E23</f>
        <v/>
      </c>
      <c r="E34" s="41" t="str">
        <f>IFERROR(('bloco 01'!F23),"")</f>
        <v/>
      </c>
      <c r="F34" s="49" t="str">
        <f>'bloco 01'!G23</f>
        <v/>
      </c>
    </row>
    <row r="35" ht="15.75" customHeight="1">
      <c r="A35" s="14" t="str">
        <f>'bloco 01'!$B$24</f>
        <v/>
      </c>
      <c r="B35" s="48" t="str">
        <f>'bloco 01'!C24</f>
        <v/>
      </c>
      <c r="C35" s="48" t="str">
        <f>'bloco 01'!D24</f>
        <v/>
      </c>
      <c r="D35" s="48" t="str">
        <f>'bloco 01'!E24</f>
        <v/>
      </c>
      <c r="E35" s="41" t="str">
        <f>IFERROR(('bloco 01'!F24),"")</f>
        <v/>
      </c>
      <c r="F35" s="49" t="str">
        <f>'bloco 01'!G24</f>
        <v/>
      </c>
    </row>
    <row r="36" ht="15.75" customHeight="1">
      <c r="A36" s="14" t="str">
        <f>'bloco 01'!$B$25</f>
        <v/>
      </c>
      <c r="B36" s="48" t="str">
        <f>'bloco 01'!C25</f>
        <v/>
      </c>
      <c r="C36" s="48" t="str">
        <f>'bloco 01'!D25</f>
        <v/>
      </c>
      <c r="D36" s="48" t="str">
        <f>'bloco 01'!E25</f>
        <v/>
      </c>
      <c r="E36" s="41" t="str">
        <f>IFERROR(('bloco 01'!F25),"")</f>
        <v/>
      </c>
      <c r="F36" s="49" t="str">
        <f>'bloco 01'!G25</f>
        <v/>
      </c>
    </row>
    <row r="37" ht="15.75" customHeight="1">
      <c r="A37" s="14" t="str">
        <f>'bloco 01'!$B$26</f>
        <v/>
      </c>
      <c r="B37" s="48" t="str">
        <f>'bloco 01'!C26</f>
        <v/>
      </c>
      <c r="C37" s="48" t="str">
        <f>'bloco 01'!D26</f>
        <v/>
      </c>
      <c r="D37" s="48" t="str">
        <f>'bloco 01'!E26</f>
        <v/>
      </c>
      <c r="E37" s="41" t="str">
        <f>IFERROR(('bloco 01'!F26),"")</f>
        <v/>
      </c>
      <c r="F37" s="49" t="str">
        <f>'bloco 01'!G26</f>
        <v/>
      </c>
    </row>
    <row r="38" ht="15.75" customHeight="1">
      <c r="A38" s="14" t="str">
        <f>'bloco 01'!$B$27</f>
        <v/>
      </c>
      <c r="B38" s="48" t="str">
        <f>'bloco 01'!C27</f>
        <v/>
      </c>
      <c r="C38" s="48" t="str">
        <f>'bloco 01'!D27</f>
        <v/>
      </c>
      <c r="D38" s="48" t="str">
        <f>'bloco 01'!E27</f>
        <v/>
      </c>
      <c r="E38" s="41" t="str">
        <f>IFERROR(('bloco 01'!F27),"")</f>
        <v/>
      </c>
      <c r="F38" s="49" t="str">
        <f>'bloco 01'!G27</f>
        <v/>
      </c>
    </row>
    <row r="39" ht="15.75" customHeight="1">
      <c r="A39" s="14" t="str">
        <f>'bloco 01'!$B$28</f>
        <v/>
      </c>
      <c r="B39" s="48" t="str">
        <f>'bloco 01'!C28</f>
        <v/>
      </c>
      <c r="C39" s="48" t="str">
        <f>'bloco 01'!D28</f>
        <v/>
      </c>
      <c r="D39" s="48" t="str">
        <f>'bloco 01'!E28</f>
        <v/>
      </c>
      <c r="E39" s="41" t="str">
        <f>IFERROR(('bloco 01'!F28),"")</f>
        <v/>
      </c>
      <c r="F39" s="49" t="str">
        <f>'bloco 01'!G28</f>
        <v/>
      </c>
    </row>
    <row r="40" ht="15.75" customHeight="1">
      <c r="A40" s="14" t="str">
        <f>'bloco 01'!$B$29</f>
        <v/>
      </c>
      <c r="B40" s="48" t="str">
        <f>'bloco 01'!C29</f>
        <v/>
      </c>
      <c r="C40" s="48" t="str">
        <f>'bloco 01'!D29</f>
        <v/>
      </c>
      <c r="D40" s="48" t="str">
        <f>'bloco 01'!E29</f>
        <v/>
      </c>
      <c r="E40" s="41" t="str">
        <f>IFERROR(('bloco 01'!F29),"")</f>
        <v/>
      </c>
      <c r="F40" s="49" t="str">
        <f>'bloco 01'!G29</f>
        <v/>
      </c>
    </row>
    <row r="41" ht="15.75" customHeight="1">
      <c r="A41" s="14" t="str">
        <f>'bloco 01'!$B$30</f>
        <v/>
      </c>
      <c r="B41" s="48" t="str">
        <f>'bloco 01'!C30</f>
        <v/>
      </c>
      <c r="C41" s="48" t="str">
        <f>'bloco 01'!D30</f>
        <v/>
      </c>
      <c r="D41" s="48" t="str">
        <f>'bloco 01'!E30</f>
        <v/>
      </c>
      <c r="E41" s="41" t="str">
        <f>IFERROR(('bloco 01'!F30),"")</f>
        <v/>
      </c>
      <c r="F41" s="49" t="str">
        <f>'bloco 01'!G30</f>
        <v/>
      </c>
    </row>
    <row r="42" ht="15.75" customHeight="1">
      <c r="A42" s="30" t="s">
        <v>26</v>
      </c>
    </row>
    <row r="43" ht="15.75" customHeight="1">
      <c r="A43" s="33"/>
      <c r="B43" s="33" t="s">
        <v>10</v>
      </c>
      <c r="C43" s="37" t="s">
        <v>12</v>
      </c>
      <c r="D43" s="37" t="s">
        <v>13</v>
      </c>
      <c r="E43" s="37" t="s">
        <v>21</v>
      </c>
      <c r="F43" s="37" t="s">
        <v>15</v>
      </c>
    </row>
    <row r="44" ht="15.75" customHeight="1">
      <c r="A44" s="14" t="str">
        <f>'bloco 01'!$B$36</f>
        <v/>
      </c>
      <c r="B44" s="48" t="str">
        <f>'bloco 01'!C36</f>
        <v/>
      </c>
      <c r="C44" s="48" t="str">
        <f>'bloco 01'!D36</f>
        <v/>
      </c>
      <c r="D44" s="48" t="str">
        <f>'bloco 01'!E36</f>
        <v/>
      </c>
      <c r="E44" s="41" t="str">
        <f>IFERROR(('bloco 01'!F36),"")</f>
        <v/>
      </c>
      <c r="F44" s="49" t="str">
        <f>'bloco 01'!G36</f>
        <v/>
      </c>
    </row>
    <row r="45" ht="15.75" customHeight="1">
      <c r="A45" s="14" t="str">
        <f>'bloco 01'!$B$37</f>
        <v/>
      </c>
      <c r="B45" s="48" t="str">
        <f>'bloco 01'!C37</f>
        <v/>
      </c>
      <c r="C45" s="48" t="str">
        <f>'bloco 01'!D37</f>
        <v/>
      </c>
      <c r="D45" s="48" t="str">
        <f>'bloco 01'!E37</f>
        <v/>
      </c>
      <c r="E45" s="41" t="str">
        <f>IFERROR(('bloco 01'!F37),"")</f>
        <v/>
      </c>
      <c r="F45" s="49" t="str">
        <f>'bloco 01'!G37</f>
        <v/>
      </c>
    </row>
    <row r="46" ht="15.75" customHeight="1">
      <c r="A46" s="14" t="str">
        <f>'bloco 01'!$B$38</f>
        <v/>
      </c>
      <c r="B46" s="48" t="str">
        <f>'bloco 01'!C38</f>
        <v/>
      </c>
      <c r="C46" s="48" t="str">
        <f>'bloco 01'!D38</f>
        <v/>
      </c>
      <c r="D46" s="48" t="str">
        <f>'bloco 01'!E38</f>
        <v/>
      </c>
      <c r="E46" s="41" t="str">
        <f>IFERROR(('bloco 01'!F38),"")</f>
        <v/>
      </c>
      <c r="F46" s="49" t="str">
        <f>'bloco 01'!G38</f>
        <v/>
      </c>
    </row>
    <row r="47" ht="15.75" customHeight="1">
      <c r="A47" s="14" t="str">
        <f>'bloco 01'!$B$39</f>
        <v/>
      </c>
      <c r="B47" s="48" t="str">
        <f>'bloco 01'!C39</f>
        <v/>
      </c>
      <c r="C47" s="48" t="str">
        <f>'bloco 01'!D39</f>
        <v/>
      </c>
      <c r="D47" s="48" t="str">
        <f>'bloco 01'!E39</f>
        <v/>
      </c>
      <c r="E47" s="41" t="str">
        <f>IFERROR(('bloco 01'!F39),"")</f>
        <v/>
      </c>
      <c r="F47" s="49" t="str">
        <f>'bloco 01'!G39</f>
        <v/>
      </c>
    </row>
    <row r="48" ht="15.75" customHeight="1">
      <c r="A48" s="14" t="str">
        <f>'bloco 01'!$B$40</f>
        <v/>
      </c>
      <c r="B48" s="48" t="str">
        <f>'bloco 01'!C40</f>
        <v/>
      </c>
      <c r="C48" s="48" t="str">
        <f>'bloco 01'!D40</f>
        <v/>
      </c>
      <c r="D48" s="48" t="str">
        <f>'bloco 01'!E40</f>
        <v/>
      </c>
      <c r="E48" s="41" t="str">
        <f>IFERROR(('bloco 01'!F40),"")</f>
        <v/>
      </c>
      <c r="F48" s="49" t="str">
        <f>'bloco 01'!G40</f>
        <v/>
      </c>
    </row>
    <row r="49" ht="15.75" customHeight="1">
      <c r="A49" s="14" t="str">
        <f>'bloco 01'!$B$41</f>
        <v/>
      </c>
      <c r="B49" s="48" t="str">
        <f>'bloco 01'!C41</f>
        <v/>
      </c>
      <c r="C49" s="48" t="str">
        <f>'bloco 01'!D41</f>
        <v/>
      </c>
      <c r="D49" s="48" t="str">
        <f>'bloco 01'!E41</f>
        <v/>
      </c>
      <c r="E49" s="41" t="str">
        <f>IFERROR(('bloco 01'!F41),"")</f>
        <v/>
      </c>
      <c r="F49" s="49" t="str">
        <f>'bloco 01'!G41</f>
        <v/>
      </c>
    </row>
    <row r="50" ht="15.75" customHeight="1">
      <c r="A50" s="14" t="str">
        <f>'bloco 01'!$B$42</f>
        <v/>
      </c>
      <c r="B50" s="48" t="str">
        <f>'bloco 01'!C42</f>
        <v/>
      </c>
      <c r="C50" s="48" t="str">
        <f>'bloco 01'!D42</f>
        <v/>
      </c>
      <c r="D50" s="48" t="str">
        <f>'bloco 01'!E42</f>
        <v/>
      </c>
      <c r="E50" s="41" t="str">
        <f>IFERROR(('bloco 01'!F42),"")</f>
        <v/>
      </c>
      <c r="F50" s="49" t="str">
        <f>'bloco 01'!G42</f>
        <v/>
      </c>
    </row>
    <row r="51" ht="15.75" customHeight="1">
      <c r="A51" s="14" t="str">
        <f>'bloco 01'!$B$43</f>
        <v/>
      </c>
      <c r="B51" s="48" t="str">
        <f>'bloco 01'!C43</f>
        <v/>
      </c>
      <c r="C51" s="48" t="str">
        <f>'bloco 01'!D43</f>
        <v/>
      </c>
      <c r="D51" s="48" t="str">
        <f>'bloco 01'!E43</f>
        <v/>
      </c>
      <c r="E51" s="41" t="str">
        <f>IFERROR(('bloco 01'!F43),"")</f>
        <v/>
      </c>
      <c r="F51" s="49" t="str">
        <f>'bloco 01'!G43</f>
        <v/>
      </c>
    </row>
    <row r="52" ht="15.75" customHeight="1">
      <c r="A52" s="14" t="str">
        <f>'bloco 01'!$B$44</f>
        <v/>
      </c>
      <c r="B52" s="48" t="str">
        <f>'bloco 01'!C44</f>
        <v/>
      </c>
      <c r="C52" s="48" t="str">
        <f>'bloco 01'!D44</f>
        <v/>
      </c>
      <c r="D52" s="48" t="str">
        <f>'bloco 01'!E44</f>
        <v/>
      </c>
      <c r="E52" s="41" t="str">
        <f>IFERROR(('bloco 01'!F44),"")</f>
        <v/>
      </c>
      <c r="F52" s="49" t="str">
        <f>'bloco 01'!G44</f>
        <v/>
      </c>
    </row>
    <row r="53" ht="15.75" customHeight="1">
      <c r="A53" s="14" t="str">
        <f>'bloco 01'!$B$45</f>
        <v/>
      </c>
      <c r="B53" s="48" t="str">
        <f>'bloco 01'!C45</f>
        <v/>
      </c>
      <c r="C53" s="48" t="str">
        <f>'bloco 01'!D45</f>
        <v/>
      </c>
      <c r="D53" s="48" t="str">
        <f>'bloco 01'!E45</f>
        <v/>
      </c>
      <c r="E53" s="41" t="str">
        <f>IFERROR(('bloco 01'!F45),"")</f>
        <v/>
      </c>
      <c r="F53" s="49" t="str">
        <f>'bloco 01'!G45</f>
        <v/>
      </c>
    </row>
    <row r="54" ht="15.75" customHeight="1">
      <c r="A54" s="45">
        <f>'bloco 01'!J3</f>
        <v>46253</v>
      </c>
    </row>
    <row r="55" ht="15.75" customHeight="1">
      <c r="A55" s="46" t="s">
        <v>23</v>
      </c>
    </row>
    <row r="56" ht="15.75" customHeight="1">
      <c r="A56" s="30" t="s">
        <v>5</v>
      </c>
    </row>
    <row r="57" ht="15.75" customHeight="1">
      <c r="A57" s="33"/>
      <c r="B57" s="33" t="s">
        <v>10</v>
      </c>
      <c r="C57" s="37" t="s">
        <v>12</v>
      </c>
      <c r="D57" s="37" t="s">
        <v>13</v>
      </c>
      <c r="E57" s="37" t="s">
        <v>21</v>
      </c>
      <c r="F57" s="37" t="s">
        <v>15</v>
      </c>
    </row>
    <row r="58" ht="15.75" customHeight="1">
      <c r="A58" s="14" t="str">
        <f>'bloco 01'!$I$6</f>
        <v/>
      </c>
      <c r="B58" s="48" t="str">
        <f>'bloco 01'!J6</f>
        <v/>
      </c>
      <c r="C58" s="48" t="str">
        <f>'bloco 01'!K6</f>
        <v/>
      </c>
      <c r="D58" s="48" t="str">
        <f>'bloco 01'!L6</f>
        <v/>
      </c>
      <c r="E58" s="41" t="str">
        <f>IFERROR(('bloco 01'!M6),"")</f>
        <v/>
      </c>
      <c r="F58" s="49" t="str">
        <f>'bloco 01'!N6</f>
        <v/>
      </c>
    </row>
    <row r="59" ht="15.75" customHeight="1">
      <c r="A59" s="14" t="str">
        <f>'bloco 01'!$I$7</f>
        <v/>
      </c>
      <c r="B59" s="48" t="str">
        <f>'bloco 01'!J7</f>
        <v/>
      </c>
      <c r="C59" s="48" t="str">
        <f>'bloco 01'!K7</f>
        <v/>
      </c>
      <c r="D59" s="48" t="str">
        <f>'bloco 01'!L7</f>
        <v/>
      </c>
      <c r="E59" s="41" t="str">
        <f>IFERROR(('bloco 01'!M7),"")</f>
        <v/>
      </c>
      <c r="F59" s="49" t="str">
        <f>'bloco 01'!N7</f>
        <v/>
      </c>
    </row>
    <row r="60" ht="15.75" customHeight="1">
      <c r="A60" s="14" t="str">
        <f>'bloco 01'!$I$8</f>
        <v/>
      </c>
      <c r="B60" s="48" t="str">
        <f>'bloco 01'!J8</f>
        <v/>
      </c>
      <c r="C60" s="48" t="str">
        <f>'bloco 01'!K8</f>
        <v/>
      </c>
      <c r="D60" s="48" t="str">
        <f>'bloco 01'!L8</f>
        <v/>
      </c>
      <c r="E60" s="41" t="str">
        <f>IFERROR(('bloco 01'!M8),"")</f>
        <v/>
      </c>
      <c r="F60" s="49" t="str">
        <f>'bloco 01'!N8</f>
        <v/>
      </c>
    </row>
    <row r="61" ht="15.75" customHeight="1">
      <c r="A61" s="14" t="str">
        <f>'bloco 01'!$I$9</f>
        <v/>
      </c>
      <c r="B61" s="48" t="str">
        <f>'bloco 01'!J9</f>
        <v/>
      </c>
      <c r="C61" s="48" t="str">
        <f>'bloco 01'!K9</f>
        <v/>
      </c>
      <c r="D61" s="48" t="str">
        <f>'bloco 01'!L9</f>
        <v/>
      </c>
      <c r="E61" s="41" t="str">
        <f>IFERROR(('bloco 01'!M9),"")</f>
        <v/>
      </c>
      <c r="F61" s="49" t="str">
        <f>'bloco 01'!N9</f>
        <v/>
      </c>
    </row>
    <row r="62" ht="15.75" customHeight="1">
      <c r="A62" s="14" t="str">
        <f>'bloco 01'!$I$10</f>
        <v/>
      </c>
      <c r="B62" s="48" t="str">
        <f>'bloco 01'!J10</f>
        <v/>
      </c>
      <c r="C62" s="48" t="str">
        <f>'bloco 01'!K10</f>
        <v/>
      </c>
      <c r="D62" s="48" t="str">
        <f>'bloco 01'!L10</f>
        <v/>
      </c>
      <c r="E62" s="41" t="str">
        <f>IFERROR(('bloco 01'!M10),"")</f>
        <v/>
      </c>
      <c r="F62" s="49" t="str">
        <f>'bloco 01'!N10</f>
        <v/>
      </c>
    </row>
    <row r="63" ht="15.75" customHeight="1">
      <c r="A63" s="14" t="str">
        <f>'bloco 01'!$I$11</f>
        <v/>
      </c>
      <c r="B63" s="48" t="str">
        <f>'bloco 01'!J11</f>
        <v/>
      </c>
      <c r="C63" s="48" t="str">
        <f>'bloco 01'!K11</f>
        <v/>
      </c>
      <c r="D63" s="48" t="str">
        <f>'bloco 01'!L11</f>
        <v/>
      </c>
      <c r="E63" s="41" t="str">
        <f>IFERROR(('bloco 01'!M11),"")</f>
        <v/>
      </c>
      <c r="F63" s="49" t="str">
        <f>'bloco 01'!N11</f>
        <v/>
      </c>
    </row>
    <row r="64" ht="15.75" customHeight="1">
      <c r="A64" s="14" t="str">
        <f>'bloco 01'!$I$12</f>
        <v/>
      </c>
      <c r="B64" s="48" t="str">
        <f>'bloco 01'!J12</f>
        <v/>
      </c>
      <c r="C64" s="48" t="str">
        <f>'bloco 01'!K12</f>
        <v/>
      </c>
      <c r="D64" s="48" t="str">
        <f>'bloco 01'!L12</f>
        <v/>
      </c>
      <c r="E64" s="41" t="str">
        <f>IFERROR(('bloco 01'!M12),"")</f>
        <v/>
      </c>
      <c r="F64" s="49" t="str">
        <f>'bloco 01'!N12</f>
        <v/>
      </c>
    </row>
    <row r="65" ht="15.75" customHeight="1">
      <c r="A65" s="14" t="str">
        <f>'bloco 01'!$I$13</f>
        <v/>
      </c>
      <c r="B65" s="48" t="str">
        <f>'bloco 01'!J13</f>
        <v/>
      </c>
      <c r="C65" s="48" t="str">
        <f>'bloco 01'!K13</f>
        <v/>
      </c>
      <c r="D65" s="48" t="str">
        <f>'bloco 01'!L13</f>
        <v/>
      </c>
      <c r="E65" s="41" t="str">
        <f>IFERROR(('bloco 01'!M13),"")</f>
        <v/>
      </c>
      <c r="F65" s="49" t="str">
        <f>'bloco 01'!N13</f>
        <v/>
      </c>
    </row>
    <row r="66" ht="15.75" customHeight="1">
      <c r="A66" s="14" t="str">
        <f>'bloco 01'!$I$14</f>
        <v/>
      </c>
      <c r="B66" s="48" t="str">
        <f>'bloco 01'!J14</f>
        <v/>
      </c>
      <c r="C66" s="48" t="str">
        <f>'bloco 01'!K14</f>
        <v/>
      </c>
      <c r="D66" s="48" t="str">
        <f>'bloco 01'!L14</f>
        <v/>
      </c>
      <c r="E66" s="41" t="str">
        <f>IFERROR(('bloco 01'!M14),"")</f>
        <v/>
      </c>
      <c r="F66" s="49" t="str">
        <f>'bloco 01'!N14</f>
        <v/>
      </c>
    </row>
    <row r="67" ht="15.75" customHeight="1">
      <c r="A67" s="14" t="str">
        <f>'bloco 01'!$I$15</f>
        <v/>
      </c>
      <c r="B67" s="48" t="str">
        <f>'bloco 01'!J15</f>
        <v/>
      </c>
      <c r="C67" s="48" t="str">
        <f>'bloco 01'!K15</f>
        <v/>
      </c>
      <c r="D67" s="48" t="str">
        <f>'bloco 01'!L15</f>
        <v/>
      </c>
      <c r="E67" s="41" t="str">
        <f>IFERROR(('bloco 01'!M15),"")</f>
        <v/>
      </c>
      <c r="F67" s="49" t="str">
        <f>'bloco 01'!N15</f>
        <v/>
      </c>
    </row>
    <row r="68" ht="15.75" customHeight="1">
      <c r="A68" s="30" t="s">
        <v>22</v>
      </c>
    </row>
    <row r="69" ht="15.75" customHeight="1">
      <c r="A69" s="33"/>
      <c r="B69" s="33" t="s">
        <v>10</v>
      </c>
      <c r="C69" s="37" t="s">
        <v>12</v>
      </c>
      <c r="D69" s="37" t="s">
        <v>13</v>
      </c>
      <c r="E69" s="37" t="s">
        <v>21</v>
      </c>
      <c r="F69" s="37" t="s">
        <v>15</v>
      </c>
    </row>
    <row r="70" ht="15.75" customHeight="1">
      <c r="A70" s="14" t="str">
        <f>'bloco 01'!$I$21</f>
        <v/>
      </c>
      <c r="B70" s="48" t="str">
        <f>'bloco 01'!J21</f>
        <v/>
      </c>
      <c r="C70" s="48" t="str">
        <f>'bloco 01'!K21</f>
        <v/>
      </c>
      <c r="D70" s="48" t="str">
        <f>'bloco 01'!L21</f>
        <v/>
      </c>
      <c r="E70" s="41" t="str">
        <f>IFERROR(('bloco 01'!M21),"")</f>
        <v/>
      </c>
      <c r="F70" s="49" t="str">
        <f>'bloco 01'!N21</f>
        <v/>
      </c>
    </row>
    <row r="71" ht="15.75" customHeight="1">
      <c r="A71" s="14" t="str">
        <f>'bloco 01'!$I$22</f>
        <v/>
      </c>
      <c r="B71" s="48" t="str">
        <f>'bloco 01'!J22</f>
        <v/>
      </c>
      <c r="C71" s="48" t="str">
        <f>'bloco 01'!K22</f>
        <v/>
      </c>
      <c r="D71" s="48" t="str">
        <f>'bloco 01'!L22</f>
        <v/>
      </c>
      <c r="E71" s="41" t="str">
        <f>IFERROR(('bloco 01'!M22),"")</f>
        <v/>
      </c>
      <c r="F71" s="49" t="str">
        <f>'bloco 01'!N22</f>
        <v/>
      </c>
    </row>
    <row r="72" ht="15.75" customHeight="1">
      <c r="A72" s="14" t="str">
        <f>'bloco 01'!$I$23</f>
        <v/>
      </c>
      <c r="B72" s="48" t="str">
        <f>'bloco 01'!J23</f>
        <v/>
      </c>
      <c r="C72" s="48" t="str">
        <f>'bloco 01'!K23</f>
        <v/>
      </c>
      <c r="D72" s="48" t="str">
        <f>'bloco 01'!L23</f>
        <v/>
      </c>
      <c r="E72" s="41" t="str">
        <f>IFERROR(('bloco 01'!M23),"")</f>
        <v/>
      </c>
      <c r="F72" s="49" t="str">
        <f>'bloco 01'!N23</f>
        <v/>
      </c>
    </row>
    <row r="73" ht="15.75" customHeight="1">
      <c r="A73" s="14" t="str">
        <f>'bloco 01'!$I$24</f>
        <v/>
      </c>
      <c r="B73" s="48" t="str">
        <f>'bloco 01'!J24</f>
        <v/>
      </c>
      <c r="C73" s="48" t="str">
        <f>'bloco 01'!K24</f>
        <v/>
      </c>
      <c r="D73" s="48" t="str">
        <f>'bloco 01'!L24</f>
        <v/>
      </c>
      <c r="E73" s="41" t="str">
        <f>IFERROR(('bloco 01'!M24),"")</f>
        <v/>
      </c>
      <c r="F73" s="49" t="str">
        <f>'bloco 01'!N24</f>
        <v/>
      </c>
    </row>
    <row r="74" ht="15.75" customHeight="1">
      <c r="A74" s="14" t="str">
        <f>'bloco 01'!$I$25</f>
        <v/>
      </c>
      <c r="B74" s="48" t="str">
        <f>'bloco 01'!J25</f>
        <v/>
      </c>
      <c r="C74" s="48" t="str">
        <f>'bloco 01'!K25</f>
        <v/>
      </c>
      <c r="D74" s="48" t="str">
        <f>'bloco 01'!L25</f>
        <v/>
      </c>
      <c r="E74" s="41" t="str">
        <f>IFERROR(('bloco 01'!M25),"")</f>
        <v/>
      </c>
      <c r="F74" s="49" t="str">
        <f>'bloco 01'!N25</f>
        <v/>
      </c>
    </row>
    <row r="75" ht="15.75" customHeight="1">
      <c r="A75" s="14" t="str">
        <f>'bloco 01'!$I$26</f>
        <v/>
      </c>
      <c r="B75" s="48" t="str">
        <f>'bloco 01'!J26</f>
        <v/>
      </c>
      <c r="C75" s="48" t="str">
        <f>'bloco 01'!K26</f>
        <v/>
      </c>
      <c r="D75" s="48" t="str">
        <f>'bloco 01'!L26</f>
        <v/>
      </c>
      <c r="E75" s="41" t="str">
        <f>IFERROR(('bloco 01'!M26),"")</f>
        <v/>
      </c>
      <c r="F75" s="49" t="str">
        <f>'bloco 01'!N26</f>
        <v/>
      </c>
    </row>
    <row r="76" ht="15.75" customHeight="1">
      <c r="A76" s="14" t="str">
        <f>'bloco 01'!$I$27</f>
        <v/>
      </c>
      <c r="B76" s="48" t="str">
        <f>'bloco 01'!J27</f>
        <v/>
      </c>
      <c r="C76" s="48" t="str">
        <f>'bloco 01'!K27</f>
        <v/>
      </c>
      <c r="D76" s="48" t="str">
        <f>'bloco 01'!L27</f>
        <v/>
      </c>
      <c r="E76" s="41" t="str">
        <f>IFERROR(('bloco 01'!M27),"")</f>
        <v/>
      </c>
      <c r="F76" s="49" t="str">
        <f>'bloco 01'!N27</f>
        <v/>
      </c>
    </row>
    <row r="77" ht="15.75" customHeight="1">
      <c r="A77" s="14" t="str">
        <f>'bloco 01'!$I$28</f>
        <v/>
      </c>
      <c r="B77" s="48" t="str">
        <f>'bloco 01'!J28</f>
        <v/>
      </c>
      <c r="C77" s="48" t="str">
        <f>'bloco 01'!K28</f>
        <v/>
      </c>
      <c r="D77" s="48" t="str">
        <f>'bloco 01'!L28</f>
        <v/>
      </c>
      <c r="E77" s="41" t="str">
        <f>IFERROR(('bloco 01'!M28),"")</f>
        <v/>
      </c>
      <c r="F77" s="49" t="str">
        <f>'bloco 01'!N28</f>
        <v/>
      </c>
    </row>
    <row r="78" ht="15.75" customHeight="1">
      <c r="A78" s="14" t="str">
        <f>'bloco 01'!$I$29</f>
        <v/>
      </c>
      <c r="B78" s="48" t="str">
        <f>'bloco 01'!J29</f>
        <v/>
      </c>
      <c r="C78" s="48" t="str">
        <f>'bloco 01'!K29</f>
        <v/>
      </c>
      <c r="D78" s="48" t="str">
        <f>'bloco 01'!L29</f>
        <v/>
      </c>
      <c r="E78" s="41" t="str">
        <f>IFERROR(('bloco 01'!M29),"")</f>
        <v/>
      </c>
      <c r="F78" s="49" t="str">
        <f>'bloco 01'!N29</f>
        <v/>
      </c>
    </row>
    <row r="79" ht="15.75" customHeight="1">
      <c r="A79" s="14" t="str">
        <f>'bloco 01'!$I$30</f>
        <v/>
      </c>
      <c r="B79" s="48" t="str">
        <f>'bloco 01'!J30</f>
        <v/>
      </c>
      <c r="C79" s="48" t="str">
        <f>'bloco 01'!K30</f>
        <v/>
      </c>
      <c r="D79" s="48" t="str">
        <f>'bloco 01'!L30</f>
        <v/>
      </c>
      <c r="E79" s="41" t="str">
        <f>IFERROR(('bloco 01'!M30),"")</f>
        <v/>
      </c>
      <c r="F79" s="49" t="str">
        <f>'bloco 01'!N30</f>
        <v/>
      </c>
    </row>
    <row r="80" ht="15.75" customHeight="1">
      <c r="A80" s="30" t="s">
        <v>26</v>
      </c>
    </row>
    <row r="81" ht="15.75" customHeight="1">
      <c r="A81" s="33"/>
      <c r="B81" s="33" t="s">
        <v>10</v>
      </c>
      <c r="C81" s="37" t="s">
        <v>12</v>
      </c>
      <c r="D81" s="37" t="s">
        <v>13</v>
      </c>
      <c r="E81" s="37" t="s">
        <v>21</v>
      </c>
      <c r="F81" s="37" t="s">
        <v>15</v>
      </c>
    </row>
    <row r="82" ht="15.75" customHeight="1">
      <c r="A82" s="14" t="str">
        <f>'bloco 01'!$I$36</f>
        <v/>
      </c>
      <c r="B82" s="48" t="str">
        <f>'bloco 01'!J36</f>
        <v/>
      </c>
      <c r="C82" s="48" t="str">
        <f>'bloco 01'!K36</f>
        <v/>
      </c>
      <c r="D82" s="48" t="str">
        <f>'bloco 01'!L36</f>
        <v/>
      </c>
      <c r="E82" s="41" t="str">
        <f>IFERROR(('bloco 01'!M36),"")</f>
        <v/>
      </c>
      <c r="F82" s="49" t="str">
        <f>'bloco 01'!N36</f>
        <v/>
      </c>
    </row>
    <row r="83" ht="15.75" customHeight="1">
      <c r="A83" s="14" t="str">
        <f>'bloco 01'!$I$37</f>
        <v/>
      </c>
      <c r="B83" s="48" t="str">
        <f>'bloco 01'!J37</f>
        <v/>
      </c>
      <c r="C83" s="48" t="str">
        <f>'bloco 01'!K37</f>
        <v/>
      </c>
      <c r="D83" s="48" t="str">
        <f>'bloco 01'!L37</f>
        <v/>
      </c>
      <c r="E83" s="41" t="str">
        <f>IFERROR(('bloco 01'!M37),"")</f>
        <v/>
      </c>
      <c r="F83" s="49" t="str">
        <f>'bloco 01'!N37</f>
        <v/>
      </c>
    </row>
    <row r="84" ht="15.75" customHeight="1">
      <c r="A84" s="14" t="str">
        <f>'bloco 01'!$I$38</f>
        <v/>
      </c>
      <c r="B84" s="48" t="str">
        <f>'bloco 01'!J38</f>
        <v/>
      </c>
      <c r="C84" s="48" t="str">
        <f>'bloco 01'!K38</f>
        <v/>
      </c>
      <c r="D84" s="48" t="str">
        <f>'bloco 01'!L38</f>
        <v/>
      </c>
      <c r="E84" s="41" t="str">
        <f>IFERROR(('bloco 01'!M38),"")</f>
        <v/>
      </c>
      <c r="F84" s="49" t="str">
        <f>'bloco 01'!N38</f>
        <v/>
      </c>
    </row>
    <row r="85" ht="15.75" customHeight="1">
      <c r="A85" s="14" t="str">
        <f>'bloco 01'!$I$39</f>
        <v/>
      </c>
      <c r="B85" s="48" t="str">
        <f>'bloco 01'!J39</f>
        <v/>
      </c>
      <c r="C85" s="48" t="str">
        <f>'bloco 01'!K39</f>
        <v/>
      </c>
      <c r="D85" s="48" t="str">
        <f>'bloco 01'!L39</f>
        <v/>
      </c>
      <c r="E85" s="41" t="str">
        <f>IFERROR(('bloco 01'!M39),"")</f>
        <v/>
      </c>
      <c r="F85" s="49" t="str">
        <f>'bloco 01'!N39</f>
        <v/>
      </c>
    </row>
    <row r="86" ht="15.75" customHeight="1">
      <c r="A86" s="14" t="str">
        <f>'bloco 01'!$I$40</f>
        <v/>
      </c>
      <c r="B86" s="48" t="str">
        <f>'bloco 01'!J40</f>
        <v/>
      </c>
      <c r="C86" s="48" t="str">
        <f>'bloco 01'!K40</f>
        <v/>
      </c>
      <c r="D86" s="48" t="str">
        <f>'bloco 01'!L40</f>
        <v/>
      </c>
      <c r="E86" s="41" t="str">
        <f>IFERROR(('bloco 01'!M40),"")</f>
        <v/>
      </c>
      <c r="F86" s="49" t="str">
        <f>'bloco 01'!N40</f>
        <v/>
      </c>
    </row>
    <row r="87" ht="15.75" customHeight="1">
      <c r="A87" s="14" t="str">
        <f>'bloco 01'!$I$41</f>
        <v/>
      </c>
      <c r="B87" s="48" t="str">
        <f>'bloco 01'!J41</f>
        <v/>
      </c>
      <c r="C87" s="48" t="str">
        <f>'bloco 01'!K41</f>
        <v/>
      </c>
      <c r="D87" s="48" t="str">
        <f>'bloco 01'!L41</f>
        <v/>
      </c>
      <c r="E87" s="41" t="str">
        <f>IFERROR(('bloco 01'!M41),"")</f>
        <v/>
      </c>
      <c r="F87" s="49" t="str">
        <f>'bloco 01'!N41</f>
        <v/>
      </c>
    </row>
    <row r="88" ht="15.75" customHeight="1">
      <c r="A88" s="14" t="str">
        <f>'bloco 01'!$I$42</f>
        <v/>
      </c>
      <c r="B88" s="48" t="str">
        <f>'bloco 01'!J42</f>
        <v/>
      </c>
      <c r="C88" s="48" t="str">
        <f>'bloco 01'!K42</f>
        <v/>
      </c>
      <c r="D88" s="48" t="str">
        <f>'bloco 01'!L42</f>
        <v/>
      </c>
      <c r="E88" s="41" t="str">
        <f>IFERROR(('bloco 01'!M42),"")</f>
        <v/>
      </c>
      <c r="F88" s="49" t="str">
        <f>'bloco 01'!N42</f>
        <v/>
      </c>
    </row>
    <row r="89" ht="15.75" customHeight="1">
      <c r="A89" s="14" t="str">
        <f>'bloco 01'!$I$43</f>
        <v/>
      </c>
      <c r="B89" s="48" t="str">
        <f>'bloco 01'!J43</f>
        <v/>
      </c>
      <c r="C89" s="48" t="str">
        <f>'bloco 01'!K43</f>
        <v/>
      </c>
      <c r="D89" s="48" t="str">
        <f>'bloco 01'!L43</f>
        <v/>
      </c>
      <c r="E89" s="41" t="str">
        <f>IFERROR(('bloco 01'!M43),"")</f>
        <v/>
      </c>
      <c r="F89" s="49" t="str">
        <f>'bloco 01'!N43</f>
        <v/>
      </c>
    </row>
    <row r="90" ht="15.75" customHeight="1">
      <c r="A90" s="14" t="str">
        <f>'bloco 01'!$I$44</f>
        <v/>
      </c>
      <c r="B90" s="48" t="str">
        <f>'bloco 01'!J44</f>
        <v/>
      </c>
      <c r="C90" s="48" t="str">
        <f>'bloco 01'!K44</f>
        <v/>
      </c>
      <c r="D90" s="48" t="str">
        <f>'bloco 01'!L44</f>
        <v/>
      </c>
      <c r="E90" s="41" t="str">
        <f>IFERROR(('bloco 01'!M44),"")</f>
        <v/>
      </c>
      <c r="F90" s="49" t="str">
        <f>'bloco 01'!N44</f>
        <v/>
      </c>
    </row>
    <row r="91" ht="15.75" customHeight="1">
      <c r="A91" s="14" t="str">
        <f>'bloco 01'!$I$45</f>
        <v/>
      </c>
      <c r="B91" s="48" t="str">
        <f>'bloco 01'!J45</f>
        <v/>
      </c>
      <c r="C91" s="48" t="str">
        <f>'bloco 01'!K45</f>
        <v/>
      </c>
      <c r="D91" s="48" t="str">
        <f>'bloco 01'!L45</f>
        <v/>
      </c>
      <c r="E91" s="41" t="str">
        <f>IFERROR(('bloco 01'!M45),"")</f>
        <v/>
      </c>
      <c r="F91" s="49" t="str">
        <f>'bloco 01'!N45</f>
        <v/>
      </c>
    </row>
    <row r="92" ht="15.75" customHeight="1">
      <c r="A92" s="48"/>
    </row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>
      <c r="A109" s="45">
        <f>'bloco 01'!Q3</f>
        <v>46260</v>
      </c>
    </row>
    <row r="110" ht="15.75" customHeight="1">
      <c r="A110" s="46" t="s">
        <v>24</v>
      </c>
    </row>
    <row r="111" ht="15.75" customHeight="1">
      <c r="A111" s="30" t="s">
        <v>5</v>
      </c>
    </row>
    <row r="112" ht="15.75" customHeight="1">
      <c r="A112" s="33"/>
      <c r="B112" s="33" t="s">
        <v>10</v>
      </c>
      <c r="C112" s="37" t="s">
        <v>12</v>
      </c>
      <c r="D112" s="37" t="s">
        <v>13</v>
      </c>
      <c r="E112" s="37" t="s">
        <v>21</v>
      </c>
      <c r="F112" s="37" t="s">
        <v>15</v>
      </c>
    </row>
    <row r="113" ht="15.75" customHeight="1">
      <c r="A113" s="14" t="str">
        <f>'bloco 01'!$P$6</f>
        <v/>
      </c>
      <c r="B113" s="48" t="str">
        <f>'bloco 01'!Q6</f>
        <v/>
      </c>
      <c r="C113" s="48" t="str">
        <f>'bloco 01'!R6</f>
        <v/>
      </c>
      <c r="D113" s="48" t="str">
        <f>'bloco 01'!S6</f>
        <v/>
      </c>
      <c r="E113" s="41" t="str">
        <f>IFERROR(('bloco 01'!T6),"")</f>
        <v/>
      </c>
      <c r="F113" s="49" t="str">
        <f>'bloco 01'!U6</f>
        <v/>
      </c>
    </row>
    <row r="114" ht="15.75" customHeight="1">
      <c r="A114" s="14" t="str">
        <f>'bloco 01'!$P$7</f>
        <v/>
      </c>
      <c r="B114" s="48" t="str">
        <f>'bloco 01'!Q7</f>
        <v/>
      </c>
      <c r="C114" s="48" t="str">
        <f>'bloco 01'!R7</f>
        <v/>
      </c>
      <c r="D114" s="48" t="str">
        <f>'bloco 01'!S7</f>
        <v/>
      </c>
      <c r="E114" s="41" t="str">
        <f>IFERROR(('bloco 01'!T7),"")</f>
        <v/>
      </c>
      <c r="F114" s="49" t="str">
        <f>'bloco 01'!U7</f>
        <v/>
      </c>
    </row>
    <row r="115" ht="15.75" customHeight="1">
      <c r="A115" s="14" t="str">
        <f>'bloco 01'!$P$8</f>
        <v/>
      </c>
      <c r="B115" s="48" t="str">
        <f>'bloco 01'!Q8</f>
        <v/>
      </c>
      <c r="C115" s="48" t="str">
        <f>'bloco 01'!R8</f>
        <v/>
      </c>
      <c r="D115" s="48" t="str">
        <f>'bloco 01'!S8</f>
        <v/>
      </c>
      <c r="E115" s="41" t="str">
        <f>IFERROR(('bloco 01'!T8),"")</f>
        <v/>
      </c>
      <c r="F115" s="49" t="str">
        <f>'bloco 01'!U8</f>
        <v/>
      </c>
    </row>
    <row r="116" ht="15.75" customHeight="1">
      <c r="A116" s="14" t="str">
        <f>'bloco 01'!$P$9</f>
        <v/>
      </c>
      <c r="B116" s="48" t="str">
        <f>'bloco 01'!Q9</f>
        <v/>
      </c>
      <c r="C116" s="48" t="str">
        <f>'bloco 01'!R9</f>
        <v/>
      </c>
      <c r="D116" s="48" t="str">
        <f>'bloco 01'!S9</f>
        <v/>
      </c>
      <c r="E116" s="41" t="str">
        <f>IFERROR(('bloco 01'!T9),"")</f>
        <v/>
      </c>
      <c r="F116" s="49" t="str">
        <f>'bloco 01'!U9</f>
        <v/>
      </c>
    </row>
    <row r="117" ht="15.75" customHeight="1">
      <c r="A117" s="14" t="str">
        <f>'bloco 01'!$P$10</f>
        <v/>
      </c>
      <c r="B117" s="48" t="str">
        <f>'bloco 01'!Q10</f>
        <v/>
      </c>
      <c r="C117" s="48" t="str">
        <f>'bloco 01'!R10</f>
        <v/>
      </c>
      <c r="D117" s="48" t="str">
        <f>'bloco 01'!S10</f>
        <v/>
      </c>
      <c r="E117" s="41" t="str">
        <f>IFERROR(('bloco 01'!T10),"")</f>
        <v/>
      </c>
      <c r="F117" s="49" t="str">
        <f>'bloco 01'!U10</f>
        <v/>
      </c>
    </row>
    <row r="118" ht="15.75" customHeight="1">
      <c r="A118" s="14" t="str">
        <f>'bloco 01'!$P$11</f>
        <v/>
      </c>
      <c r="B118" s="48" t="str">
        <f>'bloco 01'!Q11</f>
        <v/>
      </c>
      <c r="C118" s="48" t="str">
        <f>'bloco 01'!R11</f>
        <v/>
      </c>
      <c r="D118" s="48" t="str">
        <f>'bloco 01'!S11</f>
        <v/>
      </c>
      <c r="E118" s="41" t="str">
        <f>IFERROR(('bloco 01'!T11),"")</f>
        <v/>
      </c>
      <c r="F118" s="49" t="str">
        <f>'bloco 01'!U11</f>
        <v/>
      </c>
    </row>
    <row r="119" ht="15.75" customHeight="1">
      <c r="A119" s="14" t="str">
        <f>'bloco 01'!$P$12</f>
        <v/>
      </c>
      <c r="B119" s="48" t="str">
        <f>'bloco 01'!Q12</f>
        <v/>
      </c>
      <c r="C119" s="48" t="str">
        <f>'bloco 01'!R12</f>
        <v/>
      </c>
      <c r="D119" s="48" t="str">
        <f>'bloco 01'!S12</f>
        <v/>
      </c>
      <c r="E119" s="41" t="str">
        <f>IFERROR(('bloco 01'!T12),"")</f>
        <v/>
      </c>
      <c r="F119" s="49" t="str">
        <f>'bloco 01'!U12</f>
        <v/>
      </c>
    </row>
    <row r="120" ht="15.75" customHeight="1">
      <c r="A120" s="14" t="str">
        <f>'bloco 01'!$P$13</f>
        <v/>
      </c>
      <c r="B120" s="48" t="str">
        <f>'bloco 01'!Q13</f>
        <v/>
      </c>
      <c r="C120" s="48" t="str">
        <f>'bloco 01'!R13</f>
        <v/>
      </c>
      <c r="D120" s="48" t="str">
        <f>'bloco 01'!S13</f>
        <v/>
      </c>
      <c r="E120" s="41" t="str">
        <f>IFERROR(('bloco 01'!T13),"")</f>
        <v/>
      </c>
      <c r="F120" s="49" t="str">
        <f>'bloco 01'!U13</f>
        <v/>
      </c>
    </row>
    <row r="121" ht="15.75" customHeight="1">
      <c r="A121" s="14" t="str">
        <f>'bloco 01'!$P$14</f>
        <v/>
      </c>
      <c r="B121" s="48" t="str">
        <f>'bloco 01'!Q14</f>
        <v/>
      </c>
      <c r="C121" s="48" t="str">
        <f>'bloco 01'!R14</f>
        <v/>
      </c>
      <c r="D121" s="48" t="str">
        <f>'bloco 01'!S14</f>
        <v/>
      </c>
      <c r="E121" s="41" t="str">
        <f>IFERROR(('bloco 01'!T14),"")</f>
        <v/>
      </c>
      <c r="F121" s="49" t="str">
        <f>'bloco 01'!U14</f>
        <v/>
      </c>
    </row>
    <row r="122" ht="15.75" customHeight="1">
      <c r="A122" s="14" t="str">
        <f>'bloco 01'!$P$15</f>
        <v/>
      </c>
      <c r="B122" s="48" t="str">
        <f>'bloco 01'!Q15</f>
        <v/>
      </c>
      <c r="C122" s="48" t="str">
        <f>'bloco 01'!R15</f>
        <v/>
      </c>
      <c r="D122" s="48" t="str">
        <f>'bloco 01'!S15</f>
        <v/>
      </c>
      <c r="E122" s="41" t="str">
        <f>IFERROR(('bloco 01'!T15),"")</f>
        <v/>
      </c>
      <c r="F122" s="49" t="str">
        <f>'bloco 01'!U15</f>
        <v/>
      </c>
    </row>
    <row r="123" ht="15.75" customHeight="1">
      <c r="A123" s="30" t="s">
        <v>22</v>
      </c>
    </row>
    <row r="124" ht="15.75" customHeight="1">
      <c r="A124" s="33"/>
      <c r="B124" s="33" t="s">
        <v>10</v>
      </c>
      <c r="C124" s="37" t="s">
        <v>12</v>
      </c>
      <c r="D124" s="37" t="s">
        <v>13</v>
      </c>
      <c r="E124" s="37" t="s">
        <v>21</v>
      </c>
      <c r="F124" s="37" t="s">
        <v>15</v>
      </c>
    </row>
    <row r="125" ht="15.75" customHeight="1">
      <c r="A125" s="14" t="str">
        <f>'bloco 01'!$P$21</f>
        <v/>
      </c>
      <c r="B125" s="48" t="str">
        <f>'bloco 01'!Q21</f>
        <v/>
      </c>
      <c r="C125" s="48" t="str">
        <f>'bloco 01'!R21</f>
        <v/>
      </c>
      <c r="D125" s="48" t="str">
        <f>'bloco 01'!S21</f>
        <v/>
      </c>
      <c r="E125" s="41" t="str">
        <f>IFERROR(('bloco 01'!T21),"")</f>
        <v/>
      </c>
      <c r="F125" s="49" t="str">
        <f>'bloco 01'!U21</f>
        <v/>
      </c>
    </row>
    <row r="126" ht="15.75" customHeight="1">
      <c r="A126" s="14" t="str">
        <f>'bloco 01'!$P$22</f>
        <v/>
      </c>
      <c r="B126" s="48" t="str">
        <f>'bloco 01'!Q22</f>
        <v/>
      </c>
      <c r="C126" s="48" t="str">
        <f>'bloco 01'!R22</f>
        <v/>
      </c>
      <c r="D126" s="48" t="str">
        <f>'bloco 01'!S22</f>
        <v/>
      </c>
      <c r="E126" s="41" t="str">
        <f>IFERROR(('bloco 01'!T22),"")</f>
        <v/>
      </c>
      <c r="F126" s="49" t="str">
        <f>'bloco 01'!U22</f>
        <v/>
      </c>
    </row>
    <row r="127" ht="15.75" customHeight="1">
      <c r="A127" s="14" t="str">
        <f>'bloco 01'!$P$23</f>
        <v/>
      </c>
      <c r="B127" s="48" t="str">
        <f>'bloco 01'!Q23</f>
        <v/>
      </c>
      <c r="C127" s="48" t="str">
        <f>'bloco 01'!R23</f>
        <v/>
      </c>
      <c r="D127" s="48" t="str">
        <f>'bloco 01'!S23</f>
        <v/>
      </c>
      <c r="E127" s="41" t="str">
        <f>IFERROR(('bloco 01'!T23),"")</f>
        <v/>
      </c>
      <c r="F127" s="49" t="str">
        <f>'bloco 01'!U23</f>
        <v/>
      </c>
    </row>
    <row r="128" ht="15.75" customHeight="1">
      <c r="A128" s="14" t="str">
        <f>'bloco 01'!$P$24</f>
        <v/>
      </c>
      <c r="B128" s="48" t="str">
        <f>'bloco 01'!Q24</f>
        <v/>
      </c>
      <c r="C128" s="48" t="str">
        <f>'bloco 01'!R24</f>
        <v/>
      </c>
      <c r="D128" s="48" t="str">
        <f>'bloco 01'!S24</f>
        <v/>
      </c>
      <c r="E128" s="41" t="str">
        <f>IFERROR(('bloco 01'!T24),"")</f>
        <v/>
      </c>
      <c r="F128" s="49" t="str">
        <f>'bloco 01'!U24</f>
        <v/>
      </c>
    </row>
    <row r="129" ht="15.75" customHeight="1">
      <c r="A129" s="14" t="str">
        <f>'bloco 01'!$P$25</f>
        <v/>
      </c>
      <c r="B129" s="48" t="str">
        <f>'bloco 01'!Q25</f>
        <v/>
      </c>
      <c r="C129" s="48" t="str">
        <f>'bloco 01'!R25</f>
        <v/>
      </c>
      <c r="D129" s="48" t="str">
        <f>'bloco 01'!S25</f>
        <v/>
      </c>
      <c r="E129" s="41" t="str">
        <f>IFERROR(('bloco 01'!T25),"")</f>
        <v/>
      </c>
      <c r="F129" s="49" t="str">
        <f>'bloco 01'!U25</f>
        <v/>
      </c>
    </row>
    <row r="130" ht="15.75" customHeight="1">
      <c r="A130" s="14" t="str">
        <f>'bloco 01'!$P$26</f>
        <v/>
      </c>
      <c r="B130" s="48" t="str">
        <f>'bloco 01'!Q26</f>
        <v/>
      </c>
      <c r="C130" s="48" t="str">
        <f>'bloco 01'!R26</f>
        <v/>
      </c>
      <c r="D130" s="48" t="str">
        <f>'bloco 01'!S26</f>
        <v/>
      </c>
      <c r="E130" s="41" t="str">
        <f>IFERROR(('bloco 01'!T26),"")</f>
        <v/>
      </c>
      <c r="F130" s="49" t="str">
        <f>'bloco 01'!U26</f>
        <v/>
      </c>
    </row>
    <row r="131" ht="15.75" customHeight="1">
      <c r="A131" s="14" t="str">
        <f>'bloco 01'!$P$27</f>
        <v/>
      </c>
      <c r="B131" s="48" t="str">
        <f>'bloco 01'!Q27</f>
        <v/>
      </c>
      <c r="C131" s="48" t="str">
        <f>'bloco 01'!R27</f>
        <v/>
      </c>
      <c r="D131" s="48" t="str">
        <f>'bloco 01'!S27</f>
        <v/>
      </c>
      <c r="E131" s="41" t="str">
        <f>IFERROR(('bloco 01'!T27),"")</f>
        <v/>
      </c>
      <c r="F131" s="49" t="str">
        <f>'bloco 01'!U27</f>
        <v/>
      </c>
    </row>
    <row r="132" ht="15.75" customHeight="1">
      <c r="A132" s="14" t="str">
        <f>'bloco 01'!$P$28</f>
        <v/>
      </c>
      <c r="B132" s="48" t="str">
        <f>'bloco 01'!Q28</f>
        <v/>
      </c>
      <c r="C132" s="48" t="str">
        <f>'bloco 01'!R28</f>
        <v/>
      </c>
      <c r="D132" s="48" t="str">
        <f>'bloco 01'!S28</f>
        <v/>
      </c>
      <c r="E132" s="41" t="str">
        <f>IFERROR(('bloco 01'!T28),"")</f>
        <v/>
      </c>
      <c r="F132" s="49" t="str">
        <f>'bloco 01'!U28</f>
        <v/>
      </c>
    </row>
    <row r="133" ht="15.75" customHeight="1">
      <c r="A133" s="14" t="str">
        <f>'bloco 01'!$P$29</f>
        <v/>
      </c>
      <c r="B133" s="48" t="str">
        <f>'bloco 01'!Q29</f>
        <v/>
      </c>
      <c r="C133" s="48" t="str">
        <f>'bloco 01'!R29</f>
        <v/>
      </c>
      <c r="D133" s="48" t="str">
        <f>'bloco 01'!S29</f>
        <v/>
      </c>
      <c r="E133" s="41" t="str">
        <f>IFERROR(('bloco 01'!T29),"")</f>
        <v/>
      </c>
      <c r="F133" s="49" t="str">
        <f>'bloco 01'!U29</f>
        <v/>
      </c>
    </row>
    <row r="134" ht="15.75" customHeight="1">
      <c r="A134" s="14" t="str">
        <f>'bloco 01'!$P$30</f>
        <v/>
      </c>
      <c r="B134" s="48" t="str">
        <f>'bloco 01'!Q30</f>
        <v/>
      </c>
      <c r="C134" s="48" t="str">
        <f>'bloco 01'!R30</f>
        <v/>
      </c>
      <c r="D134" s="48" t="str">
        <f>'bloco 01'!S30</f>
        <v/>
      </c>
      <c r="E134" s="41" t="str">
        <f>IFERROR(('bloco 01'!T30),"")</f>
        <v/>
      </c>
      <c r="F134" s="49" t="str">
        <f>'bloco 01'!U30</f>
        <v/>
      </c>
    </row>
    <row r="135" ht="15.75" customHeight="1">
      <c r="A135" s="30" t="s">
        <v>26</v>
      </c>
    </row>
    <row r="136" ht="15.75" customHeight="1">
      <c r="A136" s="33"/>
      <c r="B136" s="33" t="s">
        <v>10</v>
      </c>
      <c r="C136" s="37" t="s">
        <v>12</v>
      </c>
      <c r="D136" s="37" t="s">
        <v>13</v>
      </c>
      <c r="E136" s="37" t="s">
        <v>21</v>
      </c>
      <c r="F136" s="37" t="s">
        <v>15</v>
      </c>
    </row>
    <row r="137" ht="15.75" customHeight="1">
      <c r="A137" s="14" t="str">
        <f>'bloco 01'!$P$36</f>
        <v/>
      </c>
      <c r="B137" s="48" t="str">
        <f>'bloco 01'!Q36</f>
        <v/>
      </c>
      <c r="C137" s="48" t="str">
        <f>'bloco 01'!R36</f>
        <v/>
      </c>
      <c r="D137" s="48" t="str">
        <f>'bloco 01'!S36</f>
        <v/>
      </c>
      <c r="E137" s="41" t="str">
        <f>IFERROR(('bloco 01'!T36),"")</f>
        <v/>
      </c>
      <c r="F137" s="49" t="str">
        <f>'bloco 01'!U36</f>
        <v/>
      </c>
    </row>
    <row r="138" ht="15.75" customHeight="1">
      <c r="A138" s="14" t="str">
        <f>'bloco 01'!$P$37</f>
        <v/>
      </c>
      <c r="B138" s="48" t="str">
        <f>'bloco 01'!Q37</f>
        <v/>
      </c>
      <c r="C138" s="48" t="str">
        <f>'bloco 01'!R37</f>
        <v/>
      </c>
      <c r="D138" s="48" t="str">
        <f>'bloco 01'!S37</f>
        <v/>
      </c>
      <c r="E138" s="41" t="str">
        <f>IFERROR(('bloco 01'!T37),"")</f>
        <v/>
      </c>
      <c r="F138" s="49" t="str">
        <f>'bloco 01'!U37</f>
        <v/>
      </c>
    </row>
    <row r="139" ht="15.75" customHeight="1">
      <c r="A139" s="14" t="str">
        <f>'bloco 01'!$P$38</f>
        <v/>
      </c>
      <c r="B139" s="48" t="str">
        <f>'bloco 01'!Q38</f>
        <v/>
      </c>
      <c r="C139" s="48" t="str">
        <f>'bloco 01'!R38</f>
        <v/>
      </c>
      <c r="D139" s="48" t="str">
        <f>'bloco 01'!S38</f>
        <v/>
      </c>
      <c r="E139" s="41" t="str">
        <f>IFERROR(('bloco 01'!T38),"")</f>
        <v/>
      </c>
      <c r="F139" s="49" t="str">
        <f>'bloco 01'!U38</f>
        <v/>
      </c>
    </row>
    <row r="140" ht="15.75" customHeight="1">
      <c r="A140" s="14" t="str">
        <f>'bloco 01'!$P$39</f>
        <v/>
      </c>
      <c r="B140" s="48" t="str">
        <f>'bloco 01'!Q39</f>
        <v/>
      </c>
      <c r="C140" s="48" t="str">
        <f>'bloco 01'!R39</f>
        <v/>
      </c>
      <c r="D140" s="48" t="str">
        <f>'bloco 01'!S39</f>
        <v/>
      </c>
      <c r="E140" s="41" t="str">
        <f>IFERROR(('bloco 01'!T39),"")</f>
        <v/>
      </c>
      <c r="F140" s="49" t="str">
        <f>'bloco 01'!U39</f>
        <v/>
      </c>
    </row>
    <row r="141" ht="15.75" customHeight="1">
      <c r="A141" s="14" t="str">
        <f>'bloco 01'!$P$40</f>
        <v/>
      </c>
      <c r="B141" s="48" t="str">
        <f>'bloco 01'!Q40</f>
        <v/>
      </c>
      <c r="C141" s="48" t="str">
        <f>'bloco 01'!R40</f>
        <v/>
      </c>
      <c r="D141" s="48" t="str">
        <f>'bloco 01'!S40</f>
        <v/>
      </c>
      <c r="E141" s="41" t="str">
        <f>IFERROR(('bloco 01'!T40),"")</f>
        <v/>
      </c>
      <c r="F141" s="49" t="str">
        <f>'bloco 01'!U40</f>
        <v/>
      </c>
    </row>
    <row r="142" ht="15.75" customHeight="1">
      <c r="A142" s="14" t="str">
        <f>'bloco 01'!$P$41</f>
        <v/>
      </c>
      <c r="B142" s="48" t="str">
        <f>'bloco 01'!Q41</f>
        <v/>
      </c>
      <c r="C142" s="48" t="str">
        <f>'bloco 01'!R41</f>
        <v/>
      </c>
      <c r="D142" s="48" t="str">
        <f>'bloco 01'!S41</f>
        <v/>
      </c>
      <c r="E142" s="41" t="str">
        <f>IFERROR(('bloco 01'!T41),"")</f>
        <v/>
      </c>
      <c r="F142" s="49" t="str">
        <f>'bloco 01'!U41</f>
        <v/>
      </c>
    </row>
    <row r="143" ht="15.75" customHeight="1">
      <c r="A143" s="14" t="str">
        <f>'bloco 01'!$P$42</f>
        <v/>
      </c>
      <c r="B143" s="48" t="str">
        <f>'bloco 01'!Q42</f>
        <v/>
      </c>
      <c r="C143" s="48" t="str">
        <f>'bloco 01'!R42</f>
        <v/>
      </c>
      <c r="D143" s="48" t="str">
        <f>'bloco 01'!S42</f>
        <v/>
      </c>
      <c r="E143" s="41" t="str">
        <f>IFERROR(('bloco 01'!T42),"")</f>
        <v/>
      </c>
      <c r="F143" s="49" t="str">
        <f>'bloco 01'!U42</f>
        <v/>
      </c>
    </row>
    <row r="144" ht="15.75" customHeight="1">
      <c r="A144" s="14" t="str">
        <f>'bloco 01'!$P$43</f>
        <v/>
      </c>
      <c r="B144" s="48" t="str">
        <f>'bloco 01'!Q43</f>
        <v/>
      </c>
      <c r="C144" s="48" t="str">
        <f>'bloco 01'!R43</f>
        <v/>
      </c>
      <c r="D144" s="48" t="str">
        <f>'bloco 01'!S43</f>
        <v/>
      </c>
      <c r="E144" s="41" t="str">
        <f>IFERROR(('bloco 01'!T43),"")</f>
        <v/>
      </c>
      <c r="F144" s="49" t="str">
        <f>'bloco 01'!U43</f>
        <v/>
      </c>
    </row>
    <row r="145" ht="15.75" customHeight="1">
      <c r="A145" s="14" t="str">
        <f>'bloco 01'!$P$44</f>
        <v/>
      </c>
      <c r="B145" s="48" t="str">
        <f>'bloco 01'!Q44</f>
        <v/>
      </c>
      <c r="C145" s="48" t="str">
        <f>'bloco 01'!R44</f>
        <v/>
      </c>
      <c r="D145" s="48" t="str">
        <f>'bloco 01'!S44</f>
        <v/>
      </c>
      <c r="E145" s="41" t="str">
        <f>IFERROR(('bloco 01'!T44),"")</f>
        <v/>
      </c>
      <c r="F145" s="49" t="str">
        <f>'bloco 01'!U44</f>
        <v/>
      </c>
    </row>
    <row r="146" ht="15.75" customHeight="1">
      <c r="A146" s="14" t="str">
        <f>'bloco 01'!$P$45</f>
        <v/>
      </c>
      <c r="B146" s="48" t="str">
        <f>'bloco 01'!Q45</f>
        <v/>
      </c>
      <c r="C146" s="48" t="str">
        <f>'bloco 01'!R45</f>
        <v/>
      </c>
      <c r="D146" s="48" t="str">
        <f>'bloco 01'!S45</f>
        <v/>
      </c>
      <c r="E146" s="41" t="str">
        <f>IFERROR(('bloco 01'!T45),"")</f>
        <v/>
      </c>
      <c r="F146" s="49" t="str">
        <f>'bloco 01'!U45</f>
        <v/>
      </c>
    </row>
    <row r="147" ht="15.75" customHeight="1">
      <c r="A147" s="48"/>
    </row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>
      <c r="A164" s="45">
        <f>'bloco 01'!X3</f>
        <v>46267</v>
      </c>
    </row>
    <row r="165" ht="15.75" customHeight="1">
      <c r="A165" s="46" t="s">
        <v>25</v>
      </c>
    </row>
    <row r="166" ht="15.75" customHeight="1">
      <c r="A166" s="30" t="s">
        <v>5</v>
      </c>
    </row>
    <row r="167" ht="15.75" customHeight="1">
      <c r="A167" s="33"/>
      <c r="B167" s="33" t="s">
        <v>10</v>
      </c>
      <c r="C167" s="37" t="s">
        <v>12</v>
      </c>
      <c r="D167" s="37" t="s">
        <v>13</v>
      </c>
      <c r="E167" s="37" t="s">
        <v>21</v>
      </c>
      <c r="F167" s="37" t="s">
        <v>15</v>
      </c>
    </row>
    <row r="168" ht="15.75" customHeight="1">
      <c r="A168" s="14" t="str">
        <f>'bloco 01'!$W$6</f>
        <v/>
      </c>
      <c r="B168" s="48" t="str">
        <f>'bloco 01'!X6</f>
        <v/>
      </c>
      <c r="C168" s="48" t="str">
        <f>'bloco 01'!Y6</f>
        <v/>
      </c>
      <c r="D168" s="48" t="str">
        <f>'bloco 01'!Z6</f>
        <v/>
      </c>
      <c r="E168" s="41" t="str">
        <f>IFERROR(('bloco 01'!AA6),"")</f>
        <v/>
      </c>
      <c r="F168" s="49" t="str">
        <f>'bloco 01'!AB6</f>
        <v/>
      </c>
    </row>
    <row r="169" ht="15.75" customHeight="1">
      <c r="A169" s="14" t="str">
        <f>'bloco 01'!$W$7</f>
        <v/>
      </c>
      <c r="B169" s="48" t="str">
        <f>'bloco 01'!X7</f>
        <v/>
      </c>
      <c r="C169" s="48" t="str">
        <f>'bloco 01'!Y7</f>
        <v/>
      </c>
      <c r="D169" s="48" t="str">
        <f>'bloco 01'!Z7</f>
        <v/>
      </c>
      <c r="E169" s="41" t="str">
        <f>IFERROR(('bloco 01'!AA7),"")</f>
        <v/>
      </c>
      <c r="F169" s="49" t="str">
        <f>'bloco 01'!AB7</f>
        <v/>
      </c>
    </row>
    <row r="170" ht="15.75" customHeight="1">
      <c r="A170" s="14" t="str">
        <f>'bloco 01'!$W$8</f>
        <v/>
      </c>
      <c r="B170" s="48" t="str">
        <f>'bloco 01'!X8</f>
        <v/>
      </c>
      <c r="C170" s="48" t="str">
        <f>'bloco 01'!Y8</f>
        <v/>
      </c>
      <c r="D170" s="48" t="str">
        <f>'bloco 01'!Z8</f>
        <v/>
      </c>
      <c r="E170" s="41" t="str">
        <f>IFERROR(('bloco 01'!AA8),"")</f>
        <v/>
      </c>
      <c r="F170" s="49" t="str">
        <f>'bloco 01'!AB8</f>
        <v/>
      </c>
    </row>
    <row r="171" ht="15.75" customHeight="1">
      <c r="A171" s="14" t="str">
        <f>'bloco 01'!$W$9</f>
        <v/>
      </c>
      <c r="B171" s="48" t="str">
        <f>'bloco 01'!X9</f>
        <v/>
      </c>
      <c r="C171" s="48" t="str">
        <f>'bloco 01'!Y9</f>
        <v/>
      </c>
      <c r="D171" s="48" t="str">
        <f>'bloco 01'!Z9</f>
        <v/>
      </c>
      <c r="E171" s="41" t="str">
        <f>IFERROR(('bloco 01'!AA9),"")</f>
        <v/>
      </c>
      <c r="F171" s="49" t="str">
        <f>'bloco 01'!AB9</f>
        <v/>
      </c>
    </row>
    <row r="172" ht="15.75" customHeight="1">
      <c r="A172" s="14" t="str">
        <f>'bloco 01'!$W$10</f>
        <v/>
      </c>
      <c r="B172" s="48" t="str">
        <f>'bloco 01'!X10</f>
        <v/>
      </c>
      <c r="C172" s="48" t="str">
        <f>'bloco 01'!Y10</f>
        <v/>
      </c>
      <c r="D172" s="48" t="str">
        <f>'bloco 01'!Z10</f>
        <v/>
      </c>
      <c r="E172" s="41" t="str">
        <f>IFERROR(('bloco 01'!AA10),"")</f>
        <v/>
      </c>
      <c r="F172" s="49" t="str">
        <f>'bloco 01'!AB10</f>
        <v/>
      </c>
    </row>
    <row r="173" ht="15.75" customHeight="1">
      <c r="A173" s="14" t="str">
        <f>'bloco 01'!$W$11</f>
        <v/>
      </c>
      <c r="B173" s="48" t="str">
        <f>'bloco 01'!X11</f>
        <v/>
      </c>
      <c r="C173" s="48" t="str">
        <f>'bloco 01'!Y11</f>
        <v/>
      </c>
      <c r="D173" s="48" t="str">
        <f>'bloco 01'!Z11</f>
        <v/>
      </c>
      <c r="E173" s="41" t="str">
        <f>IFERROR(('bloco 01'!AA11),"")</f>
        <v/>
      </c>
      <c r="F173" s="49" t="str">
        <f>'bloco 01'!AB11</f>
        <v/>
      </c>
    </row>
    <row r="174" ht="15.75" customHeight="1">
      <c r="A174" s="14" t="str">
        <f>'bloco 01'!$W$12</f>
        <v/>
      </c>
      <c r="B174" s="48" t="str">
        <f>'bloco 01'!X12</f>
        <v/>
      </c>
      <c r="C174" s="48" t="str">
        <f>'bloco 01'!Y12</f>
        <v/>
      </c>
      <c r="D174" s="48" t="str">
        <f>'bloco 01'!Z12</f>
        <v/>
      </c>
      <c r="E174" s="41" t="str">
        <f>IFERROR(('bloco 01'!AA12),"")</f>
        <v/>
      </c>
      <c r="F174" s="49" t="str">
        <f>'bloco 01'!AB12</f>
        <v/>
      </c>
    </row>
    <row r="175" ht="15.75" customHeight="1">
      <c r="A175" s="14" t="str">
        <f>'bloco 01'!$W$13</f>
        <v/>
      </c>
      <c r="B175" s="48" t="str">
        <f>'bloco 01'!X13</f>
        <v/>
      </c>
      <c r="C175" s="48" t="str">
        <f>'bloco 01'!Y13</f>
        <v/>
      </c>
      <c r="D175" s="48" t="str">
        <f>'bloco 01'!Z13</f>
        <v/>
      </c>
      <c r="E175" s="41" t="str">
        <f>IFERROR(('bloco 01'!AA13),"")</f>
        <v/>
      </c>
      <c r="F175" s="49" t="str">
        <f>'bloco 01'!AB13</f>
        <v/>
      </c>
    </row>
    <row r="176" ht="15.75" customHeight="1">
      <c r="A176" s="14" t="str">
        <f>'bloco 01'!$W$14</f>
        <v/>
      </c>
      <c r="B176" s="48" t="str">
        <f>'bloco 01'!X14</f>
        <v/>
      </c>
      <c r="C176" s="48" t="str">
        <f>'bloco 01'!Y14</f>
        <v/>
      </c>
      <c r="D176" s="48" t="str">
        <f>'bloco 01'!Z14</f>
        <v/>
      </c>
      <c r="E176" s="41" t="str">
        <f>IFERROR(('bloco 01'!AA14),"")</f>
        <v/>
      </c>
      <c r="F176" s="49" t="str">
        <f>'bloco 01'!AB14</f>
        <v/>
      </c>
    </row>
    <row r="177" ht="15.75" customHeight="1">
      <c r="A177" s="14" t="str">
        <f>'bloco 01'!$W$15</f>
        <v/>
      </c>
      <c r="B177" s="48" t="str">
        <f>'bloco 01'!X15</f>
        <v/>
      </c>
      <c r="C177" s="48" t="str">
        <f>'bloco 01'!Y15</f>
        <v/>
      </c>
      <c r="D177" s="48" t="str">
        <f>'bloco 01'!Z15</f>
        <v/>
      </c>
      <c r="E177" s="41" t="str">
        <f>IFERROR(('bloco 01'!AA15),"")</f>
        <v/>
      </c>
      <c r="F177" s="49" t="str">
        <f>'bloco 01'!AB15</f>
        <v/>
      </c>
    </row>
    <row r="178" ht="15.75" customHeight="1">
      <c r="A178" s="30" t="s">
        <v>22</v>
      </c>
    </row>
    <row r="179" ht="15.75" customHeight="1">
      <c r="A179" s="33"/>
      <c r="B179" s="33" t="s">
        <v>10</v>
      </c>
      <c r="C179" s="37" t="s">
        <v>12</v>
      </c>
      <c r="D179" s="37" t="s">
        <v>13</v>
      </c>
      <c r="E179" s="37" t="s">
        <v>21</v>
      </c>
      <c r="F179" s="37" t="s">
        <v>15</v>
      </c>
    </row>
    <row r="180" ht="15.75" customHeight="1">
      <c r="A180" s="14" t="str">
        <f>'bloco 01'!$W$21</f>
        <v/>
      </c>
      <c r="B180" s="48" t="str">
        <f>'bloco 01'!X21</f>
        <v/>
      </c>
      <c r="C180" s="48" t="str">
        <f>'bloco 01'!Y21</f>
        <v/>
      </c>
      <c r="D180" s="48" t="str">
        <f>'bloco 01'!Z21</f>
        <v/>
      </c>
      <c r="E180" s="41" t="str">
        <f>IFERROR(('bloco 01'!AA21),"")</f>
        <v/>
      </c>
      <c r="F180" s="49" t="str">
        <f>'bloco 01'!AB21</f>
        <v/>
      </c>
    </row>
    <row r="181" ht="15.75" customHeight="1">
      <c r="A181" s="14" t="str">
        <f>'bloco 01'!$W$22</f>
        <v/>
      </c>
      <c r="B181" s="48" t="str">
        <f>'bloco 01'!X22</f>
        <v/>
      </c>
      <c r="C181" s="48" t="str">
        <f>'bloco 01'!Y22</f>
        <v/>
      </c>
      <c r="D181" s="48" t="str">
        <f>'bloco 01'!Z22</f>
        <v/>
      </c>
      <c r="E181" s="41" t="str">
        <f>IFERROR(('bloco 01'!AA22),"")</f>
        <v/>
      </c>
      <c r="F181" s="49" t="str">
        <f>'bloco 01'!AB22</f>
        <v/>
      </c>
    </row>
    <row r="182" ht="15.75" customHeight="1">
      <c r="A182" s="14" t="str">
        <f>'bloco 01'!$W$23</f>
        <v/>
      </c>
      <c r="B182" s="48" t="str">
        <f>'bloco 01'!X23</f>
        <v/>
      </c>
      <c r="C182" s="48" t="str">
        <f>'bloco 01'!Y23</f>
        <v/>
      </c>
      <c r="D182" s="48" t="str">
        <f>'bloco 01'!Z23</f>
        <v/>
      </c>
      <c r="E182" s="41" t="str">
        <f>IFERROR(('bloco 01'!AA23),"")</f>
        <v/>
      </c>
      <c r="F182" s="49" t="str">
        <f>'bloco 01'!AB23</f>
        <v/>
      </c>
    </row>
    <row r="183" ht="15.75" customHeight="1">
      <c r="A183" s="14" t="str">
        <f>'bloco 01'!$W$24</f>
        <v/>
      </c>
      <c r="B183" s="48" t="str">
        <f>'bloco 01'!X24</f>
        <v/>
      </c>
      <c r="C183" s="48" t="str">
        <f>'bloco 01'!Y24</f>
        <v/>
      </c>
      <c r="D183" s="48" t="str">
        <f>'bloco 01'!Z24</f>
        <v/>
      </c>
      <c r="E183" s="41" t="str">
        <f>IFERROR(('bloco 01'!AA24),"")</f>
        <v/>
      </c>
      <c r="F183" s="49" t="str">
        <f>'bloco 01'!AB24</f>
        <v/>
      </c>
    </row>
    <row r="184" ht="15.75" customHeight="1">
      <c r="A184" s="14" t="str">
        <f>'bloco 01'!$W$25</f>
        <v/>
      </c>
      <c r="B184" s="48" t="str">
        <f>'bloco 01'!X25</f>
        <v/>
      </c>
      <c r="C184" s="48" t="str">
        <f>'bloco 01'!Y25</f>
        <v/>
      </c>
      <c r="D184" s="48" t="str">
        <f>'bloco 01'!Z25</f>
        <v/>
      </c>
      <c r="E184" s="41" t="str">
        <f>IFERROR(('bloco 01'!AA25),"")</f>
        <v/>
      </c>
      <c r="F184" s="49" t="str">
        <f>'bloco 01'!AB25</f>
        <v/>
      </c>
    </row>
    <row r="185" ht="15.75" customHeight="1">
      <c r="A185" s="14" t="str">
        <f>'bloco 01'!$W$26</f>
        <v/>
      </c>
      <c r="B185" s="48" t="str">
        <f>'bloco 01'!X26</f>
        <v/>
      </c>
      <c r="C185" s="48" t="str">
        <f>'bloco 01'!Y26</f>
        <v/>
      </c>
      <c r="D185" s="48" t="str">
        <f>'bloco 01'!Z26</f>
        <v/>
      </c>
      <c r="E185" s="41" t="str">
        <f>IFERROR(('bloco 01'!AA26),"")</f>
        <v/>
      </c>
      <c r="F185" s="49" t="str">
        <f>'bloco 01'!AB26</f>
        <v/>
      </c>
    </row>
    <row r="186" ht="15.75" customHeight="1">
      <c r="A186" s="14" t="str">
        <f>'bloco 01'!$W$27</f>
        <v/>
      </c>
      <c r="B186" s="48" t="str">
        <f>'bloco 01'!X27</f>
        <v/>
      </c>
      <c r="C186" s="48" t="str">
        <f>'bloco 01'!Y27</f>
        <v/>
      </c>
      <c r="D186" s="48" t="str">
        <f>'bloco 01'!Z27</f>
        <v/>
      </c>
      <c r="E186" s="41" t="str">
        <f>IFERROR(('bloco 01'!AA27),"")</f>
        <v/>
      </c>
      <c r="F186" s="49" t="str">
        <f>'bloco 01'!AB27</f>
        <v/>
      </c>
    </row>
    <row r="187" ht="15.75" customHeight="1">
      <c r="A187" s="14" t="str">
        <f>'bloco 01'!$W$28</f>
        <v/>
      </c>
      <c r="B187" s="48" t="str">
        <f>'bloco 01'!X28</f>
        <v/>
      </c>
      <c r="C187" s="48" t="str">
        <f>'bloco 01'!Y28</f>
        <v/>
      </c>
      <c r="D187" s="48" t="str">
        <f>'bloco 01'!Z28</f>
        <v/>
      </c>
      <c r="E187" s="41" t="str">
        <f>IFERROR(('bloco 01'!AA28),"")</f>
        <v/>
      </c>
      <c r="F187" s="49" t="str">
        <f>'bloco 01'!AB28</f>
        <v/>
      </c>
    </row>
    <row r="188" ht="15.75" customHeight="1">
      <c r="A188" s="14" t="str">
        <f>'bloco 01'!$W$29</f>
        <v/>
      </c>
      <c r="B188" s="48" t="str">
        <f>'bloco 01'!X29</f>
        <v/>
      </c>
      <c r="C188" s="48" t="str">
        <f>'bloco 01'!Y29</f>
        <v/>
      </c>
      <c r="D188" s="48" t="str">
        <f>'bloco 01'!Z29</f>
        <v/>
      </c>
      <c r="E188" s="41" t="str">
        <f>IFERROR(('bloco 01'!AA29),"")</f>
        <v/>
      </c>
      <c r="F188" s="49" t="str">
        <f>'bloco 01'!AB29</f>
        <v/>
      </c>
    </row>
    <row r="189" ht="15.75" customHeight="1">
      <c r="A189" s="14" t="str">
        <f>'bloco 01'!$W$30</f>
        <v/>
      </c>
      <c r="B189" s="48" t="str">
        <f>'bloco 01'!X30</f>
        <v/>
      </c>
      <c r="C189" s="48" t="str">
        <f>'bloco 01'!Y30</f>
        <v/>
      </c>
      <c r="D189" s="48" t="str">
        <f>'bloco 01'!Z30</f>
        <v/>
      </c>
      <c r="E189" s="41" t="str">
        <f>IFERROR(('bloco 01'!AA30),"")</f>
        <v/>
      </c>
      <c r="F189" s="49" t="str">
        <f>'bloco 01'!AB30</f>
        <v/>
      </c>
    </row>
    <row r="190" ht="15.75" customHeight="1">
      <c r="A190" s="30" t="s">
        <v>26</v>
      </c>
    </row>
    <row r="191" ht="15.75" customHeight="1">
      <c r="A191" s="33"/>
      <c r="B191" s="33" t="s">
        <v>10</v>
      </c>
      <c r="C191" s="37" t="s">
        <v>12</v>
      </c>
      <c r="D191" s="37" t="s">
        <v>13</v>
      </c>
      <c r="E191" s="37" t="s">
        <v>21</v>
      </c>
      <c r="F191" s="37" t="s">
        <v>15</v>
      </c>
    </row>
    <row r="192" ht="15.75" customHeight="1">
      <c r="A192" s="14" t="str">
        <f>'bloco 01'!$W$36</f>
        <v/>
      </c>
      <c r="B192" s="48" t="str">
        <f>'bloco 01'!X36</f>
        <v/>
      </c>
      <c r="C192" s="48" t="str">
        <f>'bloco 01'!Y36</f>
        <v/>
      </c>
      <c r="D192" s="48" t="str">
        <f>'bloco 01'!Z36</f>
        <v/>
      </c>
      <c r="E192" s="41" t="str">
        <f>IFERROR(('bloco 01'!AA36),"")</f>
        <v/>
      </c>
      <c r="F192" s="49" t="str">
        <f>'bloco 01'!AB36</f>
        <v/>
      </c>
    </row>
    <row r="193" ht="15.75" customHeight="1">
      <c r="A193" s="14" t="str">
        <f>'bloco 01'!$W$37</f>
        <v/>
      </c>
      <c r="B193" s="48" t="str">
        <f>'bloco 01'!X37</f>
        <v/>
      </c>
      <c r="C193" s="48" t="str">
        <f>'bloco 01'!Y37</f>
        <v/>
      </c>
      <c r="D193" s="48" t="str">
        <f>'bloco 01'!Z37</f>
        <v/>
      </c>
      <c r="E193" s="41" t="str">
        <f>IFERROR(('bloco 01'!AA37),"")</f>
        <v/>
      </c>
      <c r="F193" s="49" t="str">
        <f>'bloco 01'!AB37</f>
        <v/>
      </c>
    </row>
    <row r="194" ht="15.75" customHeight="1">
      <c r="A194" s="14" t="str">
        <f>'bloco 01'!$W$38</f>
        <v/>
      </c>
      <c r="B194" s="48" t="str">
        <f>'bloco 01'!X38</f>
        <v/>
      </c>
      <c r="C194" s="48" t="str">
        <f>'bloco 01'!Y38</f>
        <v/>
      </c>
      <c r="D194" s="48" t="str">
        <f>'bloco 01'!Z38</f>
        <v/>
      </c>
      <c r="E194" s="41" t="str">
        <f>IFERROR(('bloco 01'!AA38),"")</f>
        <v/>
      </c>
      <c r="F194" s="49" t="str">
        <f>'bloco 01'!AB38</f>
        <v/>
      </c>
    </row>
    <row r="195" ht="15.75" customHeight="1">
      <c r="A195" s="14" t="str">
        <f>'bloco 01'!$W$39</f>
        <v/>
      </c>
      <c r="B195" s="48" t="str">
        <f>'bloco 01'!X39</f>
        <v/>
      </c>
      <c r="C195" s="48" t="str">
        <f>'bloco 01'!Y39</f>
        <v/>
      </c>
      <c r="D195" s="48" t="str">
        <f>'bloco 01'!Z39</f>
        <v/>
      </c>
      <c r="E195" s="41" t="str">
        <f>IFERROR(('bloco 01'!AA39),"")</f>
        <v/>
      </c>
      <c r="F195" s="49" t="str">
        <f>'bloco 01'!AB39</f>
        <v/>
      </c>
    </row>
    <row r="196" ht="15.75" customHeight="1">
      <c r="A196" s="14" t="str">
        <f>'bloco 01'!$W$40</f>
        <v/>
      </c>
      <c r="B196" s="48" t="str">
        <f>'bloco 01'!X40</f>
        <v/>
      </c>
      <c r="C196" s="48" t="str">
        <f>'bloco 01'!Y40</f>
        <v/>
      </c>
      <c r="D196" s="48" t="str">
        <f>'bloco 01'!Z40</f>
        <v/>
      </c>
      <c r="E196" s="41" t="str">
        <f>IFERROR(('bloco 01'!AA40),"")</f>
        <v/>
      </c>
      <c r="F196" s="49" t="str">
        <f>'bloco 01'!AB40</f>
        <v/>
      </c>
    </row>
    <row r="197" ht="15.75" customHeight="1">
      <c r="A197" s="14" t="str">
        <f>'bloco 01'!$W$41</f>
        <v/>
      </c>
      <c r="B197" s="48" t="str">
        <f>'bloco 01'!X41</f>
        <v/>
      </c>
      <c r="C197" s="48" t="str">
        <f>'bloco 01'!Y41</f>
        <v/>
      </c>
      <c r="D197" s="48" t="str">
        <f>'bloco 01'!Z41</f>
        <v/>
      </c>
      <c r="E197" s="41" t="str">
        <f>IFERROR(('bloco 01'!AA41),"")</f>
        <v/>
      </c>
      <c r="F197" s="49" t="str">
        <f>'bloco 01'!AB41</f>
        <v/>
      </c>
    </row>
    <row r="198" ht="15.75" customHeight="1">
      <c r="A198" s="14" t="str">
        <f>'bloco 01'!$W$42</f>
        <v/>
      </c>
      <c r="B198" s="48" t="str">
        <f>'bloco 01'!X42</f>
        <v/>
      </c>
      <c r="C198" s="48" t="str">
        <f>'bloco 01'!Y42</f>
        <v/>
      </c>
      <c r="D198" s="48" t="str">
        <f>'bloco 01'!Z42</f>
        <v/>
      </c>
      <c r="E198" s="41" t="str">
        <f>IFERROR(('bloco 01'!AA42),"")</f>
        <v/>
      </c>
      <c r="F198" s="49" t="str">
        <f>'bloco 01'!AB42</f>
        <v/>
      </c>
    </row>
    <row r="199" ht="15.75" customHeight="1">
      <c r="A199" s="14" t="str">
        <f>'bloco 01'!$W$43</f>
        <v/>
      </c>
      <c r="B199" s="48" t="str">
        <f>'bloco 01'!X43</f>
        <v/>
      </c>
      <c r="C199" s="48" t="str">
        <f>'bloco 01'!Y43</f>
        <v/>
      </c>
      <c r="D199" s="48" t="str">
        <f>'bloco 01'!Z43</f>
        <v/>
      </c>
      <c r="E199" s="41" t="str">
        <f>IFERROR(('bloco 01'!AA43),"")</f>
        <v/>
      </c>
      <c r="F199" s="49" t="str">
        <f>'bloco 01'!AB43</f>
        <v/>
      </c>
    </row>
    <row r="200" ht="15.75" customHeight="1">
      <c r="A200" s="14" t="str">
        <f>'bloco 01'!$W$44</f>
        <v/>
      </c>
      <c r="B200" s="48" t="str">
        <f>'bloco 01'!X44</f>
        <v/>
      </c>
      <c r="C200" s="48" t="str">
        <f>'bloco 01'!Y44</f>
        <v/>
      </c>
      <c r="D200" s="48" t="str">
        <f>'bloco 01'!Z44</f>
        <v/>
      </c>
      <c r="E200" s="41" t="str">
        <f>IFERROR(('bloco 01'!AA44),"")</f>
        <v/>
      </c>
      <c r="F200" s="49" t="str">
        <f>'bloco 01'!AB44</f>
        <v/>
      </c>
    </row>
    <row r="201" ht="15.75" customHeight="1">
      <c r="A201" s="14" t="str">
        <f>'bloco 01'!$W$45</f>
        <v/>
      </c>
      <c r="B201" s="48" t="str">
        <f>'bloco 01'!X45</f>
        <v/>
      </c>
      <c r="C201" s="48" t="str">
        <f>'bloco 01'!Y45</f>
        <v/>
      </c>
      <c r="D201" s="48" t="str">
        <f>'bloco 01'!Z45</f>
        <v/>
      </c>
      <c r="E201" s="41" t="str">
        <f>IFERROR(('bloco 01'!AA45),"")</f>
        <v/>
      </c>
      <c r="F201" s="49" t="str">
        <f>'bloco 01'!AB45</f>
        <v/>
      </c>
    </row>
    <row r="202" ht="15.75" customHeight="1">
      <c r="A202" s="48"/>
    </row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>
      <c r="A219" s="12"/>
      <c r="B219" s="12"/>
      <c r="C219" s="12"/>
      <c r="D219" s="12"/>
      <c r="E219" s="12"/>
      <c r="F219" s="12"/>
      <c r="G219" s="12"/>
    </row>
    <row r="220" ht="15.75" customHeight="1">
      <c r="A220" s="12"/>
      <c r="B220" s="12"/>
      <c r="C220" s="12"/>
      <c r="D220" s="12"/>
      <c r="E220" s="12"/>
      <c r="F220" s="12"/>
      <c r="G220" s="12"/>
    </row>
    <row r="221" ht="15.75" customHeight="1">
      <c r="A221" s="12"/>
      <c r="B221" s="12"/>
      <c r="C221" s="12"/>
      <c r="D221" s="12"/>
      <c r="E221" s="12"/>
      <c r="F221" s="12"/>
      <c r="G221" s="12"/>
    </row>
    <row r="222" ht="15.75" customHeight="1">
      <c r="A222" s="12"/>
      <c r="B222" s="12"/>
      <c r="C222" s="12"/>
      <c r="D222" s="12"/>
      <c r="E222" s="12"/>
      <c r="F222" s="12"/>
      <c r="G222" s="12"/>
    </row>
    <row r="223" ht="15.75" customHeight="1">
      <c r="A223" s="12"/>
      <c r="B223" s="12"/>
      <c r="C223" s="12"/>
      <c r="D223" s="12"/>
      <c r="E223" s="12"/>
      <c r="F223" s="12"/>
      <c r="G223" s="12"/>
    </row>
    <row r="224" ht="15.75" customHeight="1">
      <c r="A224" s="12"/>
      <c r="B224" s="12"/>
      <c r="C224" s="12"/>
      <c r="D224" s="12"/>
      <c r="E224" s="12"/>
      <c r="F224" s="12"/>
      <c r="G224" s="12"/>
    </row>
    <row r="225" ht="15.75" customHeight="1">
      <c r="A225" s="12"/>
      <c r="B225" s="12"/>
      <c r="C225" s="12"/>
      <c r="D225" s="12"/>
      <c r="E225" s="12"/>
      <c r="F225" s="12"/>
      <c r="G225" s="12"/>
    </row>
    <row r="226" ht="15.75" customHeight="1">
      <c r="A226" s="12"/>
      <c r="B226" s="12"/>
      <c r="C226" s="12"/>
      <c r="D226" s="12"/>
      <c r="E226" s="12"/>
      <c r="F226" s="12"/>
      <c r="G226" s="12"/>
    </row>
    <row r="227" ht="15.75" customHeight="1">
      <c r="A227" s="12"/>
      <c r="B227" s="12"/>
      <c r="C227" s="12"/>
      <c r="D227" s="12"/>
      <c r="E227" s="12"/>
      <c r="F227" s="12"/>
      <c r="G227" s="12"/>
    </row>
    <row r="228" ht="15.75" customHeight="1">
      <c r="A228" s="12"/>
      <c r="B228" s="12"/>
      <c r="C228" s="12"/>
      <c r="D228" s="12"/>
      <c r="E228" s="12"/>
      <c r="F228" s="12"/>
      <c r="G228" s="12"/>
    </row>
    <row r="229" ht="15.75" customHeight="1">
      <c r="A229" s="12"/>
      <c r="B229" s="12"/>
      <c r="C229" s="12"/>
      <c r="D229" s="12"/>
      <c r="E229" s="12"/>
      <c r="F229" s="12"/>
      <c r="G229" s="12"/>
    </row>
    <row r="230" ht="15.75" customHeight="1">
      <c r="A230" s="12"/>
      <c r="B230" s="12"/>
      <c r="C230" s="12"/>
      <c r="D230" s="12"/>
      <c r="E230" s="12"/>
      <c r="F230" s="12"/>
      <c r="G230" s="12"/>
    </row>
    <row r="231" ht="15.75" customHeight="1">
      <c r="A231" s="12"/>
      <c r="B231" s="12"/>
      <c r="C231" s="12"/>
      <c r="D231" s="12"/>
      <c r="E231" s="12"/>
      <c r="F231" s="12"/>
      <c r="G231" s="12"/>
    </row>
    <row r="232" ht="15.75" customHeight="1">
      <c r="A232" s="12"/>
      <c r="B232" s="12"/>
      <c r="C232" s="12"/>
      <c r="D232" s="12"/>
      <c r="E232" s="12"/>
      <c r="F232" s="12"/>
      <c r="G232" s="12"/>
    </row>
    <row r="233" ht="15.75" customHeight="1">
      <c r="A233" s="12"/>
      <c r="B233" s="12"/>
      <c r="C233" s="12"/>
      <c r="D233" s="12"/>
      <c r="E233" s="12"/>
      <c r="F233" s="12"/>
      <c r="G233" s="12"/>
    </row>
    <row r="234" ht="15.75" customHeight="1">
      <c r="A234" s="12"/>
      <c r="B234" s="12"/>
      <c r="C234" s="12"/>
      <c r="D234" s="12"/>
      <c r="E234" s="12"/>
      <c r="F234" s="12"/>
      <c r="G234" s="12"/>
    </row>
    <row r="235" ht="15.75" customHeight="1">
      <c r="A235" s="12"/>
      <c r="B235" s="12"/>
      <c r="C235" s="12"/>
      <c r="D235" s="12"/>
      <c r="E235" s="12"/>
      <c r="F235" s="12"/>
      <c r="G235" s="12"/>
    </row>
    <row r="236" ht="15.75" customHeight="1">
      <c r="A236" s="12"/>
      <c r="B236" s="12"/>
      <c r="C236" s="12"/>
      <c r="D236" s="12"/>
      <c r="E236" s="12"/>
      <c r="F236" s="12"/>
      <c r="G236" s="12"/>
    </row>
    <row r="237" ht="15.75" customHeight="1">
      <c r="A237" s="12"/>
      <c r="B237" s="12"/>
      <c r="C237" s="12"/>
      <c r="D237" s="12"/>
      <c r="E237" s="12"/>
      <c r="F237" s="12"/>
      <c r="G237" s="12"/>
    </row>
    <row r="238" ht="15.75" customHeight="1">
      <c r="A238" s="12"/>
      <c r="B238" s="12"/>
      <c r="C238" s="12"/>
      <c r="D238" s="12"/>
      <c r="E238" s="12"/>
      <c r="F238" s="12"/>
      <c r="G238" s="12"/>
    </row>
    <row r="239" ht="15.75" customHeight="1">
      <c r="A239" s="12"/>
      <c r="B239" s="12"/>
      <c r="C239" s="12"/>
      <c r="D239" s="12"/>
      <c r="E239" s="12"/>
      <c r="F239" s="12"/>
      <c r="G239" s="12"/>
    </row>
    <row r="240" ht="15.75" customHeight="1">
      <c r="A240" s="12"/>
      <c r="B240" s="12"/>
      <c r="C240" s="12"/>
      <c r="D240" s="12"/>
      <c r="E240" s="12"/>
      <c r="F240" s="12"/>
      <c r="G240" s="12"/>
    </row>
    <row r="241" ht="15.75" customHeight="1">
      <c r="A241" s="12"/>
      <c r="B241" s="12"/>
      <c r="C241" s="12"/>
      <c r="D241" s="12"/>
      <c r="E241" s="12"/>
      <c r="F241" s="12"/>
      <c r="G241" s="12"/>
    </row>
    <row r="242" ht="15.75" customHeight="1">
      <c r="A242" s="12"/>
      <c r="B242" s="12"/>
      <c r="C242" s="12"/>
      <c r="D242" s="12"/>
      <c r="E242" s="12"/>
      <c r="F242" s="12"/>
      <c r="G242" s="12"/>
    </row>
    <row r="243" ht="15.75" customHeight="1">
      <c r="A243" s="12"/>
      <c r="B243" s="12"/>
      <c r="C243" s="12"/>
      <c r="D243" s="12"/>
      <c r="E243" s="12"/>
      <c r="F243" s="12"/>
      <c r="G243" s="12"/>
    </row>
    <row r="244" ht="15.75" customHeight="1">
      <c r="A244" s="12"/>
      <c r="B244" s="12"/>
      <c r="C244" s="12"/>
      <c r="D244" s="12"/>
      <c r="E244" s="12"/>
      <c r="F244" s="12"/>
      <c r="G244" s="12"/>
    </row>
    <row r="245" ht="15.75" customHeight="1">
      <c r="A245" s="12"/>
      <c r="B245" s="12"/>
      <c r="C245" s="12"/>
      <c r="D245" s="12"/>
      <c r="E245" s="12"/>
      <c r="F245" s="12"/>
      <c r="G245" s="12"/>
    </row>
    <row r="246" ht="15.75" customHeight="1">
      <c r="A246" s="12"/>
      <c r="B246" s="12"/>
      <c r="C246" s="12"/>
      <c r="D246" s="12"/>
      <c r="E246" s="12"/>
      <c r="F246" s="12"/>
      <c r="G246" s="12"/>
    </row>
    <row r="247" ht="15.75" customHeight="1">
      <c r="A247" s="12"/>
      <c r="B247" s="12"/>
      <c r="C247" s="12"/>
      <c r="D247" s="12"/>
      <c r="E247" s="12"/>
      <c r="F247" s="12"/>
      <c r="G247" s="12"/>
    </row>
    <row r="248" ht="15.75" customHeight="1">
      <c r="A248" s="12"/>
      <c r="B248" s="12"/>
      <c r="C248" s="12"/>
      <c r="D248" s="12"/>
      <c r="E248" s="12"/>
      <c r="F248" s="12"/>
      <c r="G248" s="12"/>
    </row>
    <row r="249" ht="15.75" customHeight="1">
      <c r="A249" s="12"/>
      <c r="B249" s="12"/>
      <c r="C249" s="12"/>
      <c r="D249" s="12"/>
      <c r="E249" s="12"/>
      <c r="F249" s="12"/>
      <c r="G249" s="12"/>
    </row>
    <row r="250" ht="15.75" customHeight="1">
      <c r="A250" s="12"/>
      <c r="B250" s="12"/>
      <c r="C250" s="12"/>
      <c r="D250" s="12"/>
      <c r="E250" s="12"/>
      <c r="F250" s="12"/>
      <c r="G250" s="12"/>
    </row>
    <row r="251" ht="15.75" customHeight="1">
      <c r="A251" s="12"/>
      <c r="B251" s="12"/>
      <c r="C251" s="12"/>
      <c r="D251" s="12"/>
      <c r="E251" s="12"/>
      <c r="F251" s="12"/>
      <c r="G251" s="12"/>
    </row>
    <row r="252" ht="15.75" customHeight="1">
      <c r="A252" s="12"/>
      <c r="B252" s="12"/>
      <c r="C252" s="12"/>
      <c r="D252" s="12"/>
      <c r="E252" s="12"/>
      <c r="F252" s="12"/>
      <c r="G252" s="12"/>
    </row>
    <row r="253" ht="15.75" customHeight="1">
      <c r="A253" s="12"/>
      <c r="B253" s="12"/>
      <c r="C253" s="12"/>
      <c r="D253" s="12"/>
      <c r="E253" s="12"/>
      <c r="F253" s="12"/>
      <c r="G253" s="12"/>
    </row>
    <row r="254" ht="15.75" customHeight="1">
      <c r="A254" s="12"/>
      <c r="B254" s="12"/>
      <c r="C254" s="12"/>
      <c r="D254" s="12"/>
      <c r="E254" s="12"/>
      <c r="F254" s="12"/>
      <c r="G254" s="12"/>
    </row>
    <row r="255" ht="15.75" customHeight="1">
      <c r="A255" s="12"/>
      <c r="B255" s="12"/>
      <c r="C255" s="12"/>
      <c r="D255" s="12"/>
      <c r="E255" s="12"/>
      <c r="F255" s="12"/>
      <c r="G255" s="12"/>
    </row>
    <row r="256" ht="15.75" customHeight="1">
      <c r="A256" s="12"/>
      <c r="B256" s="12"/>
      <c r="C256" s="12"/>
      <c r="D256" s="12"/>
      <c r="E256" s="12"/>
      <c r="F256" s="12"/>
      <c r="G256" s="12"/>
    </row>
    <row r="257" ht="15.75" customHeight="1">
      <c r="A257" s="12"/>
      <c r="B257" s="12"/>
      <c r="C257" s="12"/>
      <c r="D257" s="12"/>
      <c r="E257" s="12"/>
      <c r="F257" s="12"/>
      <c r="G257" s="12"/>
    </row>
    <row r="258" ht="15.75" customHeight="1">
      <c r="A258" s="12"/>
      <c r="B258" s="12"/>
      <c r="C258" s="12"/>
      <c r="D258" s="12"/>
      <c r="E258" s="12"/>
      <c r="F258" s="12"/>
      <c r="G258" s="12"/>
    </row>
    <row r="259" ht="15.75" customHeight="1">
      <c r="A259" s="12"/>
      <c r="B259" s="12"/>
      <c r="C259" s="12"/>
      <c r="D259" s="12"/>
      <c r="E259" s="12"/>
      <c r="F259" s="12"/>
      <c r="G259" s="12"/>
    </row>
    <row r="260" ht="15.75" customHeight="1">
      <c r="A260" s="12"/>
      <c r="B260" s="12"/>
      <c r="C260" s="12"/>
      <c r="D260" s="12"/>
      <c r="E260" s="12"/>
      <c r="F260" s="12"/>
      <c r="G260" s="12"/>
    </row>
    <row r="261" ht="15.75" customHeight="1">
      <c r="A261" s="12"/>
      <c r="B261" s="12"/>
      <c r="C261" s="12"/>
      <c r="D261" s="12"/>
      <c r="E261" s="12"/>
      <c r="F261" s="12"/>
      <c r="G261" s="12"/>
    </row>
    <row r="262" ht="15.75" customHeight="1">
      <c r="A262" s="12"/>
      <c r="B262" s="12"/>
      <c r="C262" s="12"/>
      <c r="D262" s="12"/>
      <c r="E262" s="12"/>
      <c r="F262" s="12"/>
      <c r="G262" s="12"/>
    </row>
    <row r="263" ht="15.75" customHeight="1">
      <c r="A263" s="12"/>
      <c r="B263" s="12"/>
      <c r="C263" s="12"/>
      <c r="D263" s="12"/>
      <c r="E263" s="12"/>
      <c r="F263" s="12"/>
      <c r="G263" s="12"/>
    </row>
    <row r="264" ht="15.75" customHeight="1">
      <c r="A264" s="12"/>
      <c r="B264" s="12"/>
      <c r="C264" s="12"/>
      <c r="D264" s="12"/>
      <c r="E264" s="12"/>
      <c r="F264" s="12"/>
      <c r="G264" s="12"/>
    </row>
    <row r="265" ht="15.75" customHeight="1">
      <c r="A265" s="12"/>
      <c r="B265" s="12"/>
      <c r="C265" s="12"/>
      <c r="D265" s="12"/>
      <c r="E265" s="12"/>
      <c r="F265" s="12"/>
      <c r="G265" s="12"/>
    </row>
    <row r="266" ht="15.75" customHeight="1">
      <c r="A266" s="12"/>
      <c r="B266" s="12"/>
      <c r="C266" s="12"/>
      <c r="D266" s="12"/>
      <c r="E266" s="12"/>
      <c r="F266" s="12"/>
      <c r="G266" s="12"/>
    </row>
    <row r="267" ht="15.75" customHeight="1">
      <c r="A267" s="12"/>
      <c r="B267" s="12"/>
      <c r="C267" s="12"/>
      <c r="D267" s="12"/>
      <c r="E267" s="12"/>
      <c r="F267" s="12"/>
      <c r="G267" s="12"/>
    </row>
    <row r="268" ht="15.75" customHeight="1">
      <c r="A268" s="12"/>
      <c r="B268" s="12"/>
      <c r="C268" s="12"/>
      <c r="D268" s="12"/>
      <c r="E268" s="12"/>
      <c r="F268" s="12"/>
      <c r="G268" s="12"/>
    </row>
    <row r="269" ht="15.75" customHeight="1">
      <c r="A269" s="12"/>
      <c r="B269" s="12"/>
      <c r="C269" s="12"/>
      <c r="D269" s="12"/>
      <c r="E269" s="12"/>
      <c r="F269" s="12"/>
      <c r="G269" s="12"/>
    </row>
    <row r="270" ht="15.75" customHeight="1">
      <c r="A270" s="12"/>
      <c r="B270" s="12"/>
      <c r="C270" s="12"/>
      <c r="D270" s="12"/>
      <c r="E270" s="12"/>
      <c r="F270" s="12"/>
      <c r="G270" s="12"/>
    </row>
    <row r="271" ht="15.75" customHeight="1">
      <c r="A271" s="12"/>
      <c r="B271" s="12"/>
      <c r="C271" s="12"/>
      <c r="D271" s="12"/>
      <c r="E271" s="12"/>
      <c r="F271" s="12"/>
      <c r="G271" s="12"/>
    </row>
    <row r="272" ht="15.75" customHeight="1">
      <c r="A272" s="12"/>
      <c r="B272" s="12"/>
      <c r="C272" s="12"/>
      <c r="D272" s="12"/>
      <c r="E272" s="12"/>
      <c r="F272" s="12"/>
      <c r="G272" s="12"/>
    </row>
    <row r="273" ht="15.75" customHeight="1">
      <c r="A273" s="12"/>
      <c r="B273" s="12"/>
      <c r="C273" s="12"/>
      <c r="D273" s="12"/>
      <c r="E273" s="12"/>
      <c r="F273" s="12"/>
      <c r="G273" s="12"/>
    </row>
    <row r="274" ht="15.75" customHeight="1">
      <c r="A274" s="12"/>
      <c r="B274" s="12"/>
      <c r="C274" s="12"/>
      <c r="D274" s="12"/>
      <c r="E274" s="12"/>
      <c r="F274" s="12"/>
      <c r="G274" s="12"/>
    </row>
    <row r="275" ht="15.75" customHeight="1">
      <c r="A275" s="12"/>
      <c r="B275" s="12"/>
      <c r="C275" s="12"/>
      <c r="D275" s="12"/>
      <c r="E275" s="12"/>
      <c r="F275" s="12"/>
      <c r="G275" s="12"/>
    </row>
    <row r="276" ht="15.75" customHeight="1">
      <c r="A276" s="12"/>
      <c r="B276" s="12"/>
      <c r="C276" s="12"/>
      <c r="D276" s="12"/>
      <c r="E276" s="12"/>
      <c r="F276" s="12"/>
      <c r="G276" s="12"/>
    </row>
    <row r="277" ht="15.75" customHeight="1">
      <c r="A277" s="12"/>
      <c r="B277" s="12"/>
      <c r="C277" s="12"/>
      <c r="D277" s="12"/>
      <c r="E277" s="12"/>
      <c r="F277" s="12"/>
      <c r="G277" s="12"/>
    </row>
    <row r="278" ht="15.75" customHeight="1">
      <c r="A278" s="12"/>
      <c r="B278" s="12"/>
      <c r="C278" s="12"/>
      <c r="D278" s="12"/>
      <c r="E278" s="12"/>
      <c r="F278" s="12"/>
      <c r="G278" s="12"/>
    </row>
    <row r="279" ht="15.75" customHeight="1">
      <c r="A279" s="12"/>
      <c r="B279" s="12"/>
      <c r="C279" s="12"/>
      <c r="D279" s="12"/>
      <c r="E279" s="12"/>
      <c r="F279" s="12"/>
      <c r="G279" s="12"/>
    </row>
    <row r="280" ht="15.75" customHeight="1">
      <c r="A280" s="12"/>
      <c r="B280" s="12"/>
      <c r="C280" s="12"/>
      <c r="D280" s="12"/>
      <c r="E280" s="12"/>
      <c r="F280" s="12"/>
      <c r="G280" s="12"/>
    </row>
    <row r="281" ht="15.75" customHeight="1">
      <c r="A281" s="12"/>
      <c r="B281" s="12"/>
      <c r="C281" s="12"/>
      <c r="D281" s="12"/>
      <c r="E281" s="12"/>
      <c r="F281" s="12"/>
      <c r="G281" s="12"/>
    </row>
    <row r="282" ht="15.75" customHeight="1">
      <c r="A282" s="12"/>
      <c r="B282" s="12"/>
      <c r="C282" s="12"/>
      <c r="D282" s="12"/>
      <c r="E282" s="12"/>
      <c r="F282" s="12"/>
      <c r="G282" s="12"/>
    </row>
    <row r="283" ht="15.75" customHeight="1">
      <c r="A283" s="12"/>
      <c r="B283" s="12"/>
      <c r="C283" s="12"/>
      <c r="D283" s="12"/>
      <c r="E283" s="12"/>
      <c r="F283" s="12"/>
      <c r="G283" s="12"/>
    </row>
    <row r="284" ht="15.75" customHeight="1">
      <c r="A284" s="12"/>
      <c r="B284" s="12"/>
      <c r="C284" s="12"/>
      <c r="D284" s="12"/>
      <c r="E284" s="12"/>
      <c r="F284" s="12"/>
      <c r="G284" s="12"/>
    </row>
    <row r="285" ht="15.75" customHeight="1">
      <c r="A285" s="12"/>
      <c r="B285" s="12"/>
      <c r="C285" s="12"/>
      <c r="D285" s="12"/>
      <c r="E285" s="12"/>
      <c r="F285" s="12"/>
      <c r="G285" s="12"/>
    </row>
    <row r="286" ht="15.75" customHeight="1">
      <c r="A286" s="12"/>
      <c r="B286" s="12"/>
      <c r="C286" s="12"/>
      <c r="D286" s="12"/>
      <c r="E286" s="12"/>
      <c r="F286" s="12"/>
      <c r="G286" s="12"/>
    </row>
    <row r="287" ht="15.75" customHeight="1">
      <c r="A287" s="12"/>
      <c r="B287" s="12"/>
      <c r="C287" s="12"/>
      <c r="D287" s="12"/>
      <c r="E287" s="12"/>
      <c r="F287" s="12"/>
      <c r="G287" s="12"/>
    </row>
    <row r="288" ht="15.75" customHeight="1">
      <c r="A288" s="12"/>
      <c r="B288" s="12"/>
      <c r="C288" s="12"/>
      <c r="D288" s="12"/>
      <c r="E288" s="12"/>
      <c r="F288" s="12"/>
      <c r="G288" s="12"/>
    </row>
    <row r="289" ht="15.75" customHeight="1">
      <c r="A289" s="12"/>
      <c r="B289" s="12"/>
      <c r="C289" s="12"/>
      <c r="D289" s="12"/>
      <c r="E289" s="12"/>
      <c r="F289" s="12"/>
      <c r="G289" s="12"/>
    </row>
    <row r="290" ht="15.75" customHeight="1">
      <c r="A290" s="12"/>
      <c r="B290" s="12"/>
      <c r="C290" s="12"/>
      <c r="D290" s="12"/>
      <c r="E290" s="12"/>
      <c r="F290" s="12"/>
      <c r="G290" s="12"/>
    </row>
    <row r="291" ht="15.75" customHeight="1">
      <c r="A291" s="12"/>
      <c r="B291" s="12"/>
      <c r="C291" s="12"/>
      <c r="D291" s="12"/>
      <c r="E291" s="12"/>
      <c r="F291" s="12"/>
      <c r="G291" s="12"/>
    </row>
    <row r="292" ht="15.75" customHeight="1">
      <c r="A292" s="12"/>
      <c r="B292" s="12"/>
      <c r="C292" s="12"/>
      <c r="D292" s="12"/>
      <c r="E292" s="12"/>
      <c r="F292" s="12"/>
      <c r="G292" s="12"/>
    </row>
    <row r="293" ht="15.75" customHeight="1">
      <c r="A293" s="12"/>
      <c r="B293" s="12"/>
      <c r="C293" s="12"/>
      <c r="D293" s="12"/>
      <c r="E293" s="12"/>
      <c r="F293" s="12"/>
      <c r="G293" s="12"/>
    </row>
    <row r="294" ht="15.75" customHeight="1">
      <c r="A294" s="12"/>
      <c r="B294" s="12"/>
      <c r="C294" s="12"/>
      <c r="D294" s="12"/>
      <c r="E294" s="12"/>
      <c r="F294" s="12"/>
      <c r="G294" s="12"/>
    </row>
    <row r="295" ht="15.75" customHeight="1">
      <c r="A295" s="12"/>
      <c r="B295" s="12"/>
      <c r="C295" s="12"/>
      <c r="D295" s="12"/>
      <c r="E295" s="12"/>
      <c r="F295" s="12"/>
      <c r="G295" s="12"/>
    </row>
    <row r="296" ht="15.75" customHeight="1">
      <c r="A296" s="12"/>
      <c r="B296" s="12"/>
      <c r="C296" s="12"/>
      <c r="D296" s="12"/>
      <c r="E296" s="12"/>
      <c r="F296" s="12"/>
      <c r="G296" s="12"/>
    </row>
    <row r="297" ht="15.75" customHeight="1">
      <c r="A297" s="12"/>
      <c r="B297" s="12"/>
      <c r="C297" s="12"/>
      <c r="D297" s="12"/>
      <c r="E297" s="12"/>
      <c r="F297" s="12"/>
      <c r="G297" s="12"/>
    </row>
    <row r="298" ht="15.75" customHeight="1">
      <c r="A298" s="12"/>
      <c r="B298" s="12"/>
      <c r="C298" s="12"/>
      <c r="D298" s="12"/>
      <c r="E298" s="12"/>
      <c r="F298" s="12"/>
      <c r="G298" s="12"/>
    </row>
    <row r="299" ht="15.75" customHeight="1">
      <c r="A299" s="12"/>
      <c r="B299" s="12"/>
      <c r="C299" s="12"/>
      <c r="D299" s="12"/>
      <c r="E299" s="12"/>
      <c r="F299" s="12"/>
      <c r="G299" s="12"/>
    </row>
    <row r="300" ht="15.75" customHeight="1">
      <c r="A300" s="12"/>
      <c r="B300" s="12"/>
      <c r="C300" s="12"/>
      <c r="D300" s="12"/>
      <c r="E300" s="12"/>
      <c r="F300" s="12"/>
      <c r="G300" s="12"/>
    </row>
    <row r="301" ht="15.75" customHeight="1">
      <c r="A301" s="12"/>
      <c r="B301" s="12"/>
      <c r="C301" s="12"/>
      <c r="D301" s="12"/>
      <c r="E301" s="12"/>
      <c r="F301" s="12"/>
      <c r="G301" s="12"/>
    </row>
    <row r="302" ht="15.75" customHeight="1">
      <c r="A302" s="12"/>
      <c r="B302" s="12"/>
      <c r="C302" s="12"/>
      <c r="D302" s="12"/>
      <c r="E302" s="12"/>
      <c r="F302" s="12"/>
      <c r="G302" s="12"/>
    </row>
    <row r="303" ht="15.75" customHeight="1">
      <c r="A303" s="12"/>
      <c r="B303" s="12"/>
      <c r="C303" s="12"/>
      <c r="D303" s="12"/>
      <c r="E303" s="12"/>
      <c r="F303" s="12"/>
      <c r="G303" s="12"/>
    </row>
    <row r="304" ht="15.75" customHeight="1">
      <c r="A304" s="12"/>
      <c r="B304" s="12"/>
      <c r="C304" s="12"/>
      <c r="D304" s="12"/>
      <c r="E304" s="12"/>
      <c r="F304" s="12"/>
      <c r="G304" s="12"/>
    </row>
    <row r="305" ht="15.75" customHeight="1">
      <c r="A305" s="12"/>
      <c r="B305" s="12"/>
      <c r="C305" s="12"/>
      <c r="D305" s="12"/>
      <c r="E305" s="12"/>
      <c r="F305" s="12"/>
      <c r="G305" s="12"/>
    </row>
    <row r="306" ht="15.75" customHeight="1">
      <c r="A306" s="12"/>
      <c r="B306" s="12"/>
      <c r="C306" s="12"/>
      <c r="D306" s="12"/>
      <c r="E306" s="12"/>
      <c r="F306" s="12"/>
      <c r="G306" s="12"/>
    </row>
    <row r="307" ht="15.75" customHeight="1">
      <c r="A307" s="12"/>
      <c r="B307" s="12"/>
      <c r="C307" s="12"/>
      <c r="D307" s="12"/>
      <c r="E307" s="12"/>
      <c r="F307" s="12"/>
      <c r="G307" s="12"/>
    </row>
    <row r="308" ht="15.75" customHeight="1">
      <c r="A308" s="12"/>
      <c r="B308" s="12"/>
      <c r="C308" s="12"/>
      <c r="D308" s="12"/>
      <c r="E308" s="12"/>
      <c r="F308" s="12"/>
      <c r="G308" s="12"/>
    </row>
    <row r="309" ht="15.75" customHeight="1">
      <c r="A309" s="12"/>
      <c r="B309" s="12"/>
      <c r="C309" s="12"/>
      <c r="D309" s="12"/>
      <c r="E309" s="12"/>
      <c r="F309" s="12"/>
      <c r="G309" s="12"/>
    </row>
    <row r="310" ht="15.75" customHeight="1">
      <c r="A310" s="12"/>
      <c r="B310" s="12"/>
      <c r="C310" s="12"/>
      <c r="D310" s="12"/>
      <c r="E310" s="12"/>
      <c r="F310" s="12"/>
      <c r="G310" s="12"/>
    </row>
    <row r="311" ht="15.75" customHeight="1">
      <c r="A311" s="12"/>
      <c r="B311" s="12"/>
      <c r="C311" s="12"/>
      <c r="D311" s="12"/>
      <c r="E311" s="12"/>
      <c r="F311" s="12"/>
      <c r="G311" s="12"/>
    </row>
    <row r="312" ht="15.75" customHeight="1">
      <c r="A312" s="12"/>
      <c r="B312" s="12"/>
      <c r="C312" s="12"/>
      <c r="D312" s="12"/>
      <c r="E312" s="12"/>
      <c r="F312" s="12"/>
      <c r="G312" s="12"/>
    </row>
    <row r="313" ht="15.75" customHeight="1">
      <c r="A313" s="12"/>
      <c r="B313" s="12"/>
      <c r="C313" s="12"/>
      <c r="D313" s="12"/>
      <c r="E313" s="12"/>
      <c r="F313" s="12"/>
      <c r="G313" s="12"/>
    </row>
    <row r="314" ht="15.75" customHeight="1">
      <c r="A314" s="12"/>
      <c r="B314" s="12"/>
      <c r="C314" s="12"/>
      <c r="D314" s="12"/>
      <c r="E314" s="12"/>
      <c r="F314" s="12"/>
      <c r="G314" s="12"/>
    </row>
    <row r="315" ht="15.75" customHeight="1">
      <c r="A315" s="12"/>
      <c r="B315" s="12"/>
      <c r="C315" s="12"/>
      <c r="D315" s="12"/>
      <c r="E315" s="12"/>
      <c r="F315" s="12"/>
      <c r="G315" s="12"/>
    </row>
    <row r="316" ht="15.75" customHeight="1">
      <c r="A316" s="12"/>
      <c r="B316" s="12"/>
      <c r="C316" s="12"/>
      <c r="D316" s="12"/>
      <c r="E316" s="12"/>
      <c r="F316" s="12"/>
      <c r="G316" s="12"/>
    </row>
    <row r="317" ht="15.75" customHeight="1">
      <c r="A317" s="12"/>
      <c r="B317" s="12"/>
      <c r="C317" s="12"/>
      <c r="D317" s="12"/>
      <c r="E317" s="12"/>
      <c r="F317" s="12"/>
      <c r="G317" s="12"/>
    </row>
    <row r="318" ht="15.75" customHeight="1">
      <c r="A318" s="12"/>
      <c r="B318" s="12"/>
      <c r="C318" s="12"/>
      <c r="D318" s="12"/>
      <c r="E318" s="12"/>
      <c r="F318" s="12"/>
      <c r="G318" s="12"/>
    </row>
    <row r="319" ht="15.75" customHeight="1">
      <c r="A319" s="12"/>
      <c r="B319" s="12"/>
      <c r="C319" s="12"/>
      <c r="D319" s="12"/>
      <c r="E319" s="12"/>
      <c r="F319" s="12"/>
      <c r="G319" s="12"/>
    </row>
    <row r="320" ht="15.75" customHeight="1">
      <c r="A320" s="12"/>
      <c r="B320" s="12"/>
      <c r="C320" s="12"/>
      <c r="D320" s="12"/>
      <c r="E320" s="12"/>
      <c r="F320" s="12"/>
      <c r="G320" s="12"/>
    </row>
    <row r="321" ht="15.75" customHeight="1">
      <c r="A321" s="12"/>
      <c r="B321" s="12"/>
      <c r="C321" s="12"/>
      <c r="D321" s="12"/>
      <c r="E321" s="12"/>
      <c r="F321" s="12"/>
      <c r="G321" s="12"/>
    </row>
    <row r="322" ht="15.75" customHeight="1">
      <c r="A322" s="12"/>
      <c r="B322" s="12"/>
      <c r="C322" s="12"/>
      <c r="D322" s="12"/>
      <c r="E322" s="12"/>
      <c r="F322" s="12"/>
      <c r="G322" s="12"/>
    </row>
    <row r="323" ht="15.75" customHeight="1">
      <c r="A323" s="12"/>
      <c r="B323" s="12"/>
      <c r="C323" s="12"/>
      <c r="D323" s="12"/>
      <c r="E323" s="12"/>
      <c r="F323" s="12"/>
      <c r="G323" s="12"/>
    </row>
    <row r="324" ht="15.75" customHeight="1">
      <c r="A324" s="12"/>
      <c r="B324" s="12"/>
      <c r="C324" s="12"/>
      <c r="D324" s="12"/>
      <c r="E324" s="12"/>
      <c r="F324" s="12"/>
      <c r="G324" s="12"/>
    </row>
    <row r="325" ht="15.75" customHeight="1">
      <c r="A325" s="12"/>
      <c r="B325" s="12"/>
      <c r="C325" s="12"/>
      <c r="D325" s="12"/>
      <c r="E325" s="12"/>
      <c r="F325" s="12"/>
      <c r="G325" s="12"/>
    </row>
    <row r="326" ht="15.75" customHeight="1">
      <c r="A326" s="12"/>
      <c r="B326" s="12"/>
      <c r="C326" s="12"/>
      <c r="D326" s="12"/>
      <c r="E326" s="12"/>
      <c r="F326" s="12"/>
      <c r="G326" s="12"/>
    </row>
    <row r="327" ht="15.75" customHeight="1">
      <c r="A327" s="12"/>
      <c r="B327" s="12"/>
      <c r="C327" s="12"/>
      <c r="D327" s="12"/>
      <c r="E327" s="12"/>
      <c r="F327" s="12"/>
      <c r="G327" s="12"/>
    </row>
    <row r="328" ht="15.75" customHeight="1">
      <c r="A328" s="12"/>
      <c r="B328" s="12"/>
      <c r="C328" s="12"/>
      <c r="D328" s="12"/>
      <c r="E328" s="12"/>
      <c r="F328" s="12"/>
      <c r="G328" s="12"/>
    </row>
    <row r="329" ht="15.75" customHeight="1">
      <c r="A329" s="12"/>
      <c r="B329" s="12"/>
      <c r="C329" s="12"/>
      <c r="D329" s="12"/>
      <c r="E329" s="12"/>
      <c r="F329" s="12"/>
      <c r="G329" s="12"/>
    </row>
    <row r="330" ht="15.75" customHeight="1">
      <c r="A330" s="12"/>
      <c r="B330" s="12"/>
      <c r="C330" s="12"/>
      <c r="D330" s="12"/>
      <c r="E330" s="12"/>
      <c r="F330" s="12"/>
      <c r="G330" s="12"/>
    </row>
    <row r="331" ht="15.75" customHeight="1">
      <c r="A331" s="12"/>
      <c r="B331" s="12"/>
      <c r="C331" s="12"/>
      <c r="D331" s="12"/>
      <c r="E331" s="12"/>
      <c r="F331" s="12"/>
      <c r="G331" s="12"/>
    </row>
    <row r="332" ht="15.75" customHeight="1">
      <c r="A332" s="12"/>
      <c r="B332" s="12"/>
      <c r="C332" s="12"/>
      <c r="D332" s="12"/>
      <c r="E332" s="12"/>
      <c r="F332" s="12"/>
      <c r="G332" s="12"/>
    </row>
    <row r="333" ht="15.75" customHeight="1">
      <c r="A333" s="12"/>
      <c r="B333" s="12"/>
      <c r="C333" s="12"/>
      <c r="D333" s="12"/>
      <c r="E333" s="12"/>
      <c r="F333" s="12"/>
      <c r="G333" s="12"/>
    </row>
    <row r="334" ht="15.75" customHeight="1">
      <c r="A334" s="12"/>
      <c r="B334" s="12"/>
      <c r="C334" s="12"/>
      <c r="D334" s="12"/>
      <c r="E334" s="12"/>
      <c r="F334" s="12"/>
      <c r="G334" s="12"/>
    </row>
    <row r="335" ht="15.75" customHeight="1">
      <c r="A335" s="12"/>
      <c r="B335" s="12"/>
      <c r="C335" s="12"/>
      <c r="D335" s="12"/>
      <c r="E335" s="12"/>
      <c r="F335" s="12"/>
      <c r="G335" s="12"/>
    </row>
    <row r="336" ht="15.75" customHeight="1">
      <c r="A336" s="12"/>
      <c r="B336" s="12"/>
      <c r="C336" s="12"/>
      <c r="D336" s="12"/>
      <c r="E336" s="12"/>
      <c r="F336" s="12"/>
      <c r="G336" s="12"/>
    </row>
    <row r="337" ht="15.75" customHeight="1">
      <c r="A337" s="12"/>
      <c r="B337" s="12"/>
      <c r="C337" s="12"/>
      <c r="D337" s="12"/>
      <c r="E337" s="12"/>
      <c r="F337" s="12"/>
      <c r="G337" s="12"/>
    </row>
    <row r="338" ht="15.75" customHeight="1">
      <c r="A338" s="12"/>
      <c r="B338" s="12"/>
      <c r="C338" s="12"/>
      <c r="D338" s="12"/>
      <c r="E338" s="12"/>
      <c r="F338" s="12"/>
      <c r="G338" s="12"/>
    </row>
    <row r="339" ht="15.75" customHeight="1">
      <c r="A339" s="12"/>
      <c r="B339" s="12"/>
      <c r="C339" s="12"/>
      <c r="D339" s="12"/>
      <c r="E339" s="12"/>
      <c r="F339" s="12"/>
      <c r="G339" s="12"/>
    </row>
    <row r="340" ht="15.75" customHeight="1">
      <c r="A340" s="12"/>
      <c r="B340" s="12"/>
      <c r="C340" s="12"/>
      <c r="D340" s="12"/>
      <c r="E340" s="12"/>
      <c r="F340" s="12"/>
      <c r="G340" s="12"/>
    </row>
    <row r="341" ht="15.75" customHeight="1">
      <c r="A341" s="12"/>
      <c r="B341" s="12"/>
      <c r="C341" s="12"/>
      <c r="D341" s="12"/>
      <c r="E341" s="12"/>
      <c r="F341" s="12"/>
      <c r="G341" s="12"/>
    </row>
    <row r="342" ht="15.75" customHeight="1">
      <c r="A342" s="12"/>
      <c r="B342" s="12"/>
      <c r="C342" s="12"/>
      <c r="D342" s="12"/>
      <c r="E342" s="12"/>
      <c r="F342" s="12"/>
      <c r="G342" s="12"/>
    </row>
    <row r="343" ht="15.75" customHeight="1">
      <c r="A343" s="12"/>
      <c r="B343" s="12"/>
      <c r="C343" s="12"/>
      <c r="D343" s="12"/>
      <c r="E343" s="12"/>
      <c r="F343" s="12"/>
      <c r="G343" s="12"/>
    </row>
    <row r="344" ht="15.75" customHeight="1">
      <c r="A344" s="12"/>
      <c r="B344" s="12"/>
      <c r="C344" s="12"/>
      <c r="D344" s="12"/>
      <c r="E344" s="12"/>
      <c r="F344" s="12"/>
      <c r="G344" s="12"/>
    </row>
    <row r="345" ht="15.75" customHeight="1">
      <c r="A345" s="12"/>
      <c r="B345" s="12"/>
      <c r="C345" s="12"/>
      <c r="D345" s="12"/>
      <c r="E345" s="12"/>
      <c r="F345" s="12"/>
      <c r="G345" s="12"/>
    </row>
    <row r="346" ht="15.75" customHeight="1">
      <c r="A346" s="12"/>
      <c r="B346" s="12"/>
      <c r="C346" s="12"/>
      <c r="D346" s="12"/>
      <c r="E346" s="12"/>
      <c r="F346" s="12"/>
      <c r="G346" s="12"/>
    </row>
    <row r="347" ht="15.75" customHeight="1">
      <c r="A347" s="12"/>
      <c r="B347" s="12"/>
      <c r="C347" s="12"/>
      <c r="D347" s="12"/>
      <c r="E347" s="12"/>
      <c r="F347" s="12"/>
      <c r="G347" s="12"/>
    </row>
    <row r="348" ht="15.75" customHeight="1">
      <c r="A348" s="12"/>
      <c r="B348" s="12"/>
      <c r="C348" s="12"/>
      <c r="D348" s="12"/>
      <c r="E348" s="12"/>
      <c r="F348" s="12"/>
      <c r="G348" s="12"/>
    </row>
    <row r="349" ht="15.75" customHeight="1">
      <c r="A349" s="12"/>
      <c r="B349" s="12"/>
      <c r="C349" s="12"/>
      <c r="D349" s="12"/>
      <c r="E349" s="12"/>
      <c r="F349" s="12"/>
      <c r="G349" s="12"/>
    </row>
    <row r="350" ht="15.75" customHeight="1">
      <c r="A350" s="12"/>
      <c r="B350" s="12"/>
      <c r="C350" s="12"/>
      <c r="D350" s="12"/>
      <c r="E350" s="12"/>
      <c r="F350" s="12"/>
      <c r="G350" s="12"/>
    </row>
    <row r="351" ht="15.75" customHeight="1">
      <c r="A351" s="12"/>
      <c r="B351" s="12"/>
      <c r="C351" s="12"/>
      <c r="D351" s="12"/>
      <c r="E351" s="12"/>
      <c r="F351" s="12"/>
      <c r="G351" s="12"/>
    </row>
    <row r="352" ht="15.75" customHeight="1">
      <c r="A352" s="12"/>
      <c r="B352" s="12"/>
      <c r="C352" s="12"/>
      <c r="D352" s="12"/>
      <c r="E352" s="12"/>
      <c r="F352" s="12"/>
      <c r="G352" s="12"/>
    </row>
    <row r="353" ht="15.75" customHeight="1">
      <c r="A353" s="12"/>
      <c r="B353" s="12"/>
      <c r="C353" s="12"/>
      <c r="D353" s="12"/>
      <c r="E353" s="12"/>
      <c r="F353" s="12"/>
      <c r="G353" s="12"/>
    </row>
    <row r="354" ht="15.75" customHeight="1">
      <c r="A354" s="12"/>
      <c r="B354" s="12"/>
      <c r="C354" s="12"/>
      <c r="D354" s="12"/>
      <c r="E354" s="12"/>
      <c r="F354" s="12"/>
      <c r="G354" s="12"/>
    </row>
    <row r="355" ht="15.75" customHeight="1">
      <c r="A355" s="12"/>
      <c r="B355" s="12"/>
      <c r="C355" s="12"/>
      <c r="D355" s="12"/>
      <c r="E355" s="12"/>
      <c r="F355" s="12"/>
      <c r="G355" s="12"/>
    </row>
    <row r="356" ht="15.75" customHeight="1">
      <c r="A356" s="12"/>
      <c r="B356" s="12"/>
      <c r="C356" s="12"/>
      <c r="D356" s="12"/>
      <c r="E356" s="12"/>
      <c r="F356" s="12"/>
      <c r="G356" s="12"/>
    </row>
    <row r="357" ht="15.75" customHeight="1">
      <c r="A357" s="12"/>
      <c r="B357" s="12"/>
      <c r="C357" s="12"/>
      <c r="D357" s="12"/>
      <c r="E357" s="12"/>
      <c r="F357" s="12"/>
      <c r="G357" s="12"/>
    </row>
    <row r="358" ht="15.75" customHeight="1">
      <c r="A358" s="12"/>
      <c r="B358" s="12"/>
      <c r="C358" s="12"/>
      <c r="D358" s="12"/>
      <c r="E358" s="12"/>
      <c r="F358" s="12"/>
      <c r="G358" s="12"/>
    </row>
    <row r="359" ht="15.75" customHeight="1">
      <c r="A359" s="12"/>
      <c r="B359" s="12"/>
      <c r="C359" s="12"/>
      <c r="D359" s="12"/>
      <c r="E359" s="12"/>
      <c r="F359" s="12"/>
      <c r="G359" s="12"/>
    </row>
    <row r="360" ht="15.75" customHeight="1">
      <c r="A360" s="12"/>
      <c r="B360" s="12"/>
      <c r="C360" s="12"/>
      <c r="D360" s="12"/>
      <c r="E360" s="12"/>
      <c r="F360" s="12"/>
      <c r="G360" s="12"/>
    </row>
    <row r="361" ht="15.75" customHeight="1">
      <c r="A361" s="12"/>
      <c r="B361" s="12"/>
      <c r="C361" s="12"/>
      <c r="D361" s="12"/>
      <c r="E361" s="12"/>
      <c r="F361" s="12"/>
      <c r="G361" s="12"/>
    </row>
    <row r="362" ht="15.75" customHeight="1">
      <c r="A362" s="12"/>
      <c r="B362" s="12"/>
      <c r="C362" s="12"/>
      <c r="D362" s="12"/>
      <c r="E362" s="12"/>
      <c r="F362" s="12"/>
      <c r="G362" s="12"/>
    </row>
    <row r="363" ht="15.75" customHeight="1">
      <c r="A363" s="12"/>
      <c r="B363" s="12"/>
      <c r="C363" s="12"/>
      <c r="D363" s="12"/>
      <c r="E363" s="12"/>
      <c r="F363" s="12"/>
      <c r="G363" s="12"/>
    </row>
    <row r="364" ht="15.75" customHeight="1">
      <c r="A364" s="12"/>
      <c r="B364" s="12"/>
      <c r="C364" s="12"/>
      <c r="D364" s="12"/>
      <c r="E364" s="12"/>
      <c r="F364" s="12"/>
      <c r="G364" s="12"/>
    </row>
    <row r="365" ht="15.75" customHeight="1">
      <c r="A365" s="12"/>
      <c r="B365" s="12"/>
      <c r="C365" s="12"/>
      <c r="D365" s="12"/>
      <c r="E365" s="12"/>
      <c r="F365" s="12"/>
      <c r="G365" s="12"/>
    </row>
    <row r="366" ht="15.75" customHeight="1">
      <c r="A366" s="12"/>
      <c r="B366" s="12"/>
      <c r="C366" s="12"/>
      <c r="D366" s="12"/>
      <c r="E366" s="12"/>
      <c r="F366" s="12"/>
      <c r="G366" s="12"/>
    </row>
    <row r="367" ht="15.75" customHeight="1">
      <c r="A367" s="12"/>
      <c r="B367" s="12"/>
      <c r="C367" s="12"/>
      <c r="D367" s="12"/>
      <c r="E367" s="12"/>
      <c r="F367" s="12"/>
      <c r="G367" s="12"/>
    </row>
    <row r="368" ht="15.75" customHeight="1">
      <c r="A368" s="12"/>
      <c r="B368" s="12"/>
      <c r="C368" s="12"/>
      <c r="D368" s="12"/>
      <c r="E368" s="12"/>
      <c r="F368" s="12"/>
      <c r="G368" s="12"/>
    </row>
    <row r="369" ht="15.75" customHeight="1">
      <c r="A369" s="12"/>
      <c r="B369" s="12"/>
      <c r="C369" s="12"/>
      <c r="D369" s="12"/>
      <c r="E369" s="12"/>
      <c r="F369" s="12"/>
      <c r="G369" s="12"/>
    </row>
    <row r="370" ht="15.75" customHeight="1">
      <c r="A370" s="12"/>
      <c r="B370" s="12"/>
      <c r="C370" s="12"/>
      <c r="D370" s="12"/>
      <c r="E370" s="12"/>
      <c r="F370" s="12"/>
      <c r="G370" s="12"/>
    </row>
    <row r="371" ht="15.75" customHeight="1">
      <c r="A371" s="12"/>
      <c r="B371" s="12"/>
      <c r="C371" s="12"/>
      <c r="D371" s="12"/>
      <c r="E371" s="12"/>
      <c r="F371" s="12"/>
      <c r="G371" s="12"/>
    </row>
    <row r="372" ht="15.75" customHeight="1">
      <c r="A372" s="12"/>
      <c r="B372" s="12"/>
      <c r="C372" s="12"/>
      <c r="D372" s="12"/>
      <c r="E372" s="12"/>
      <c r="F372" s="12"/>
      <c r="G372" s="12"/>
    </row>
    <row r="373" ht="15.75" customHeight="1">
      <c r="A373" s="12"/>
      <c r="B373" s="12"/>
      <c r="C373" s="12"/>
      <c r="D373" s="12"/>
      <c r="E373" s="12"/>
      <c r="F373" s="12"/>
      <c r="G373" s="12"/>
    </row>
    <row r="374" ht="15.75" customHeight="1">
      <c r="A374" s="12"/>
      <c r="B374" s="12"/>
      <c r="C374" s="12"/>
      <c r="D374" s="12"/>
      <c r="E374" s="12"/>
      <c r="F374" s="12"/>
      <c r="G374" s="12"/>
    </row>
    <row r="375" ht="15.75" customHeight="1">
      <c r="A375" s="12"/>
      <c r="B375" s="12"/>
      <c r="C375" s="12"/>
      <c r="D375" s="12"/>
      <c r="E375" s="12"/>
      <c r="F375" s="12"/>
      <c r="G375" s="12"/>
    </row>
    <row r="376" ht="15.75" customHeight="1">
      <c r="A376" s="12"/>
      <c r="B376" s="12"/>
      <c r="C376" s="12"/>
      <c r="D376" s="12"/>
      <c r="E376" s="12"/>
      <c r="F376" s="12"/>
      <c r="G376" s="12"/>
    </row>
    <row r="377" ht="15.75" customHeight="1">
      <c r="A377" s="12"/>
      <c r="B377" s="12"/>
      <c r="C377" s="12"/>
      <c r="D377" s="12"/>
      <c r="E377" s="12"/>
      <c r="F377" s="12"/>
      <c r="G377" s="12"/>
    </row>
    <row r="378" ht="15.75" customHeight="1">
      <c r="A378" s="12"/>
      <c r="B378" s="12"/>
      <c r="C378" s="12"/>
      <c r="D378" s="12"/>
      <c r="E378" s="12"/>
      <c r="F378" s="12"/>
      <c r="G378" s="12"/>
    </row>
    <row r="379" ht="15.75" customHeight="1">
      <c r="A379" s="12"/>
      <c r="B379" s="12"/>
      <c r="C379" s="12"/>
      <c r="D379" s="12"/>
      <c r="E379" s="12"/>
      <c r="F379" s="12"/>
      <c r="G379" s="12"/>
    </row>
    <row r="380" ht="15.75" customHeight="1">
      <c r="A380" s="12"/>
      <c r="B380" s="12"/>
      <c r="C380" s="12"/>
      <c r="D380" s="12"/>
      <c r="E380" s="12"/>
      <c r="F380" s="12"/>
      <c r="G380" s="12"/>
    </row>
    <row r="381" ht="15.75" customHeight="1">
      <c r="A381" s="12"/>
      <c r="B381" s="12"/>
      <c r="C381" s="12"/>
      <c r="D381" s="12"/>
      <c r="E381" s="12"/>
      <c r="F381" s="12"/>
      <c r="G381" s="12"/>
    </row>
    <row r="382" ht="15.75" customHeight="1">
      <c r="A382" s="12"/>
      <c r="B382" s="12"/>
      <c r="C382" s="12"/>
      <c r="D382" s="12"/>
      <c r="E382" s="12"/>
      <c r="F382" s="12"/>
      <c r="G382" s="12"/>
    </row>
    <row r="383" ht="15.75" customHeight="1">
      <c r="A383" s="12"/>
      <c r="B383" s="12"/>
      <c r="C383" s="12"/>
      <c r="D383" s="12"/>
      <c r="E383" s="12"/>
      <c r="F383" s="12"/>
      <c r="G383" s="12"/>
    </row>
    <row r="384" ht="15.75" customHeight="1">
      <c r="A384" s="12"/>
      <c r="B384" s="12"/>
      <c r="C384" s="12"/>
      <c r="D384" s="12"/>
      <c r="E384" s="12"/>
      <c r="F384" s="12"/>
      <c r="G384" s="12"/>
    </row>
    <row r="385" ht="15.75" customHeight="1">
      <c r="A385" s="12"/>
      <c r="B385" s="12"/>
      <c r="C385" s="12"/>
      <c r="D385" s="12"/>
      <c r="E385" s="12"/>
      <c r="F385" s="12"/>
      <c r="G385" s="12"/>
    </row>
    <row r="386" ht="15.75" customHeight="1">
      <c r="A386" s="12"/>
      <c r="B386" s="12"/>
      <c r="C386" s="12"/>
      <c r="D386" s="12"/>
      <c r="E386" s="12"/>
      <c r="F386" s="12"/>
      <c r="G386" s="12"/>
    </row>
    <row r="387" ht="15.75" customHeight="1">
      <c r="A387" s="12"/>
      <c r="B387" s="12"/>
      <c r="C387" s="12"/>
      <c r="D387" s="12"/>
      <c r="E387" s="12"/>
      <c r="F387" s="12"/>
      <c r="G387" s="12"/>
    </row>
    <row r="388" ht="15.75" customHeight="1">
      <c r="A388" s="12"/>
      <c r="B388" s="12"/>
      <c r="C388" s="12"/>
      <c r="D388" s="12"/>
      <c r="E388" s="12"/>
      <c r="F388" s="12"/>
      <c r="G388" s="12"/>
    </row>
    <row r="389" ht="15.75" customHeight="1">
      <c r="A389" s="12"/>
      <c r="B389" s="12"/>
      <c r="C389" s="12"/>
      <c r="D389" s="12"/>
      <c r="E389" s="12"/>
      <c r="F389" s="12"/>
      <c r="G389" s="12"/>
    </row>
    <row r="390" ht="15.75" customHeight="1">
      <c r="A390" s="12"/>
      <c r="B390" s="12"/>
      <c r="C390" s="12"/>
      <c r="D390" s="12"/>
      <c r="E390" s="12"/>
      <c r="F390" s="12"/>
      <c r="G390" s="12"/>
    </row>
    <row r="391" ht="15.75" customHeight="1">
      <c r="A391" s="12"/>
      <c r="B391" s="12"/>
      <c r="C391" s="12"/>
      <c r="D391" s="12"/>
      <c r="E391" s="12"/>
      <c r="F391" s="12"/>
      <c r="G391" s="12"/>
    </row>
    <row r="392" ht="15.75" customHeight="1">
      <c r="A392" s="12"/>
      <c r="B392" s="12"/>
      <c r="C392" s="12"/>
      <c r="D392" s="12"/>
      <c r="E392" s="12"/>
      <c r="F392" s="12"/>
      <c r="G392" s="12"/>
    </row>
    <row r="393" ht="15.75" customHeight="1">
      <c r="A393" s="12"/>
      <c r="B393" s="12"/>
      <c r="C393" s="12"/>
      <c r="D393" s="12"/>
      <c r="E393" s="12"/>
      <c r="F393" s="12"/>
      <c r="G393" s="12"/>
    </row>
    <row r="394" ht="15.75" customHeight="1">
      <c r="A394" s="12"/>
      <c r="B394" s="12"/>
      <c r="C394" s="12"/>
      <c r="D394" s="12"/>
      <c r="E394" s="12"/>
      <c r="F394" s="12"/>
      <c r="G394" s="12"/>
    </row>
    <row r="395" ht="15.75" customHeight="1">
      <c r="A395" s="12"/>
      <c r="B395" s="12"/>
      <c r="C395" s="12"/>
      <c r="D395" s="12"/>
      <c r="E395" s="12"/>
      <c r="F395" s="12"/>
      <c r="G395" s="12"/>
    </row>
    <row r="396" ht="15.75" customHeight="1">
      <c r="A396" s="12"/>
      <c r="B396" s="12"/>
      <c r="C396" s="12"/>
      <c r="D396" s="12"/>
      <c r="E396" s="12"/>
      <c r="F396" s="12"/>
      <c r="G396" s="12"/>
    </row>
    <row r="397" ht="15.75" customHeight="1">
      <c r="A397" s="12"/>
      <c r="B397" s="12"/>
      <c r="C397" s="12"/>
      <c r="D397" s="12"/>
      <c r="E397" s="12"/>
      <c r="F397" s="12"/>
      <c r="G397" s="12"/>
    </row>
    <row r="398" ht="15.75" customHeight="1">
      <c r="A398" s="12"/>
      <c r="B398" s="12"/>
      <c r="C398" s="12"/>
      <c r="D398" s="12"/>
      <c r="E398" s="12"/>
      <c r="F398" s="12"/>
      <c r="G398" s="12"/>
    </row>
    <row r="399" ht="15.75" customHeight="1">
      <c r="A399" s="12"/>
      <c r="B399" s="12"/>
      <c r="C399" s="12"/>
      <c r="D399" s="12"/>
      <c r="E399" s="12"/>
      <c r="F399" s="12"/>
      <c r="G399" s="12"/>
    </row>
    <row r="400" ht="15.75" customHeight="1">
      <c r="A400" s="12"/>
      <c r="B400" s="12"/>
      <c r="C400" s="12"/>
      <c r="D400" s="12"/>
      <c r="E400" s="12"/>
      <c r="F400" s="12"/>
      <c r="G400" s="12"/>
    </row>
    <row r="401" ht="15.75" customHeight="1">
      <c r="A401" s="12"/>
      <c r="B401" s="12"/>
      <c r="C401" s="12"/>
      <c r="D401" s="12"/>
      <c r="E401" s="12"/>
      <c r="F401" s="12"/>
      <c r="G401" s="12"/>
    </row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66">
    <mergeCell ref="A1:A3"/>
    <mergeCell ref="B1:G1"/>
    <mergeCell ref="C2:G2"/>
    <mergeCell ref="C3:G3"/>
    <mergeCell ref="A8:G8"/>
    <mergeCell ref="A9:G10"/>
    <mergeCell ref="A11:G11"/>
    <mergeCell ref="E12:G12"/>
    <mergeCell ref="E13:G13"/>
    <mergeCell ref="E14:G14"/>
    <mergeCell ref="E15:G15"/>
    <mergeCell ref="A16:G16"/>
    <mergeCell ref="A17:G17"/>
    <mergeCell ref="A18:G18"/>
    <mergeCell ref="F19:G19"/>
    <mergeCell ref="F20:G20"/>
    <mergeCell ref="F21:G21"/>
    <mergeCell ref="F22:G22"/>
    <mergeCell ref="F23:G23"/>
    <mergeCell ref="F24:G24"/>
    <mergeCell ref="F25:G25"/>
    <mergeCell ref="F26:G26"/>
    <mergeCell ref="F27:G27"/>
    <mergeCell ref="F28:G28"/>
    <mergeCell ref="F29:G29"/>
    <mergeCell ref="A30:G30"/>
    <mergeCell ref="F31:G31"/>
    <mergeCell ref="F32:G32"/>
    <mergeCell ref="F33:G33"/>
    <mergeCell ref="F34:G34"/>
    <mergeCell ref="F35:G35"/>
    <mergeCell ref="F36:G36"/>
    <mergeCell ref="F37:G37"/>
    <mergeCell ref="F38:G38"/>
    <mergeCell ref="F39:G39"/>
    <mergeCell ref="F40:G40"/>
    <mergeCell ref="F41:G41"/>
    <mergeCell ref="A42:G42"/>
    <mergeCell ref="F43:G43"/>
    <mergeCell ref="F44:G44"/>
    <mergeCell ref="F45:G45"/>
    <mergeCell ref="F46:G46"/>
    <mergeCell ref="F47:G47"/>
    <mergeCell ref="F48:G48"/>
    <mergeCell ref="F49:G49"/>
    <mergeCell ref="F50:G50"/>
    <mergeCell ref="F51:G51"/>
    <mergeCell ref="F52:G52"/>
    <mergeCell ref="F53:G53"/>
    <mergeCell ref="A54:G54"/>
    <mergeCell ref="A55:G55"/>
    <mergeCell ref="A56:G56"/>
    <mergeCell ref="F57:G57"/>
    <mergeCell ref="F58:G58"/>
    <mergeCell ref="F59:G59"/>
    <mergeCell ref="F60:G60"/>
    <mergeCell ref="F61:G61"/>
    <mergeCell ref="F62:G62"/>
    <mergeCell ref="F63:G63"/>
    <mergeCell ref="F64:G64"/>
    <mergeCell ref="F65:G65"/>
    <mergeCell ref="F66:G66"/>
    <mergeCell ref="A68:G68"/>
    <mergeCell ref="F67:G67"/>
    <mergeCell ref="F69:G69"/>
    <mergeCell ref="F70:G70"/>
    <mergeCell ref="F71:G71"/>
    <mergeCell ref="F72:G72"/>
    <mergeCell ref="F73:G73"/>
    <mergeCell ref="F74:G74"/>
    <mergeCell ref="F75:G75"/>
    <mergeCell ref="F76:G76"/>
    <mergeCell ref="F77:G77"/>
    <mergeCell ref="F78:G78"/>
    <mergeCell ref="F79:G79"/>
    <mergeCell ref="A80:G80"/>
    <mergeCell ref="F81:G81"/>
    <mergeCell ref="F82:G82"/>
    <mergeCell ref="F83:G83"/>
    <mergeCell ref="F84:G84"/>
    <mergeCell ref="F85:G85"/>
    <mergeCell ref="F86:G86"/>
    <mergeCell ref="F87:G87"/>
    <mergeCell ref="F88:G88"/>
    <mergeCell ref="F89:G89"/>
    <mergeCell ref="F90:G90"/>
    <mergeCell ref="F91:G91"/>
    <mergeCell ref="A92:G108"/>
    <mergeCell ref="A109:G109"/>
    <mergeCell ref="A110:G110"/>
    <mergeCell ref="A111:G111"/>
    <mergeCell ref="F112:G112"/>
    <mergeCell ref="F113:G113"/>
    <mergeCell ref="F114:G114"/>
    <mergeCell ref="F115:G115"/>
    <mergeCell ref="F116:G116"/>
    <mergeCell ref="F117:G117"/>
    <mergeCell ref="F118:G118"/>
    <mergeCell ref="F179:G179"/>
    <mergeCell ref="F180:G180"/>
    <mergeCell ref="F181:G181"/>
    <mergeCell ref="F182:G182"/>
    <mergeCell ref="F183:G183"/>
    <mergeCell ref="F184:G184"/>
    <mergeCell ref="F185:G185"/>
    <mergeCell ref="F186:G186"/>
    <mergeCell ref="F187:G187"/>
    <mergeCell ref="F188:G188"/>
    <mergeCell ref="F189:G189"/>
    <mergeCell ref="A190:G190"/>
    <mergeCell ref="F191:G191"/>
    <mergeCell ref="F192:G192"/>
    <mergeCell ref="F200:G200"/>
    <mergeCell ref="F201:G201"/>
    <mergeCell ref="A202:G218"/>
    <mergeCell ref="F193:G193"/>
    <mergeCell ref="F194:G194"/>
    <mergeCell ref="F195:G195"/>
    <mergeCell ref="F196:G196"/>
    <mergeCell ref="F197:G197"/>
    <mergeCell ref="F198:G198"/>
    <mergeCell ref="F199:G199"/>
    <mergeCell ref="F119:G119"/>
    <mergeCell ref="F120:G120"/>
    <mergeCell ref="F121:G121"/>
    <mergeCell ref="F122:G122"/>
    <mergeCell ref="A123:G123"/>
    <mergeCell ref="F124:G124"/>
    <mergeCell ref="F125:G125"/>
    <mergeCell ref="F126:G126"/>
    <mergeCell ref="F127:G127"/>
    <mergeCell ref="F128:G128"/>
    <mergeCell ref="F129:G129"/>
    <mergeCell ref="F130:G130"/>
    <mergeCell ref="F131:G131"/>
    <mergeCell ref="F132:G132"/>
    <mergeCell ref="F133:G133"/>
    <mergeCell ref="F134:G134"/>
    <mergeCell ref="A135:G135"/>
    <mergeCell ref="F136:G136"/>
    <mergeCell ref="F137:G137"/>
    <mergeCell ref="F138:G138"/>
    <mergeCell ref="F139:G139"/>
    <mergeCell ref="F140:G140"/>
    <mergeCell ref="F141:G141"/>
    <mergeCell ref="F142:G142"/>
    <mergeCell ref="F143:G143"/>
    <mergeCell ref="F144:G144"/>
    <mergeCell ref="F145:G145"/>
    <mergeCell ref="F146:G146"/>
    <mergeCell ref="A147:G163"/>
    <mergeCell ref="A164:G164"/>
    <mergeCell ref="A165:G165"/>
    <mergeCell ref="A166:G166"/>
    <mergeCell ref="F167:G167"/>
    <mergeCell ref="F168:G168"/>
    <mergeCell ref="F169:G169"/>
    <mergeCell ref="F177:G177"/>
    <mergeCell ref="A178:G178"/>
    <mergeCell ref="F170:G170"/>
    <mergeCell ref="F171:G171"/>
    <mergeCell ref="F172:G172"/>
    <mergeCell ref="F173:G173"/>
    <mergeCell ref="F174:G174"/>
    <mergeCell ref="F175:G175"/>
    <mergeCell ref="F176:G176"/>
  </mergeCells>
  <conditionalFormatting sqref="A1:A3">
    <cfRule type="notContainsBlanks" dxfId="0" priority="1">
      <formula>LEN(TRIM(A1))&gt;0</formula>
    </cfRule>
  </conditionalFormatting>
  <printOptions horizontalCentered="1"/>
  <pageMargins bottom="0.75" footer="0.0" header="0.0" left="0.7" right="0.7" top="0.75"/>
  <pageSetup fitToHeight="0" paperSize="9" orientation="portrait" pageOrder="overThenDown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0"/>
  <cols>
    <col customWidth="1" min="1" max="1" width="6.38"/>
    <col customWidth="1" min="2" max="2" width="31.38"/>
    <col customWidth="1" min="3" max="6" width="6.38"/>
    <col customWidth="1" min="7" max="7" width="9.5"/>
    <col customWidth="1" min="8" max="8" width="6.38"/>
    <col customWidth="1" min="9" max="9" width="31.38"/>
    <col customWidth="1" min="10" max="13" width="6.38"/>
    <col customWidth="1" min="14" max="14" width="9.5"/>
    <col customWidth="1" min="15" max="15" width="6.38"/>
    <col customWidth="1" min="16" max="16" width="31.38"/>
    <col customWidth="1" min="17" max="20" width="6.38"/>
    <col customWidth="1" min="21" max="21" width="9.5"/>
    <col customWidth="1" min="22" max="22" width="6.38"/>
    <col customWidth="1" min="23" max="23" width="31.38"/>
    <col customWidth="1" min="24" max="27" width="6.38"/>
    <col customWidth="1" min="28" max="28" width="9.5"/>
    <col customWidth="1" min="29" max="29" width="6.38"/>
  </cols>
  <sheetData>
    <row r="1" ht="15.75" customHeight="1">
      <c r="A1" s="1" t="s">
        <v>0</v>
      </c>
      <c r="B1" s="2"/>
      <c r="C1" s="3"/>
      <c r="D1" s="4"/>
      <c r="E1" s="5"/>
      <c r="F1" s="5"/>
      <c r="G1" s="6"/>
      <c r="H1" s="7"/>
      <c r="I1" s="2"/>
      <c r="J1" s="5"/>
      <c r="K1" s="5"/>
      <c r="L1" s="5"/>
      <c r="M1" s="1"/>
      <c r="N1" s="6"/>
      <c r="O1" s="1"/>
      <c r="P1" s="2"/>
      <c r="Q1" s="5"/>
      <c r="R1" s="5"/>
      <c r="S1" s="5"/>
      <c r="T1" s="5"/>
      <c r="U1" s="6"/>
      <c r="V1" s="1"/>
      <c r="W1" s="2"/>
      <c r="X1" s="5"/>
      <c r="Y1" s="5"/>
      <c r="Z1" s="5"/>
      <c r="AA1" s="5"/>
      <c r="AB1" s="5"/>
      <c r="AC1" s="5"/>
    </row>
    <row r="2" ht="15.75" customHeight="1">
      <c r="A2" s="11"/>
      <c r="B2" s="11"/>
      <c r="C2" s="11"/>
      <c r="D2" s="11"/>
      <c r="H2" s="11"/>
      <c r="I2" s="11"/>
      <c r="J2" s="11"/>
      <c r="K2" s="11"/>
      <c r="O2" s="11"/>
      <c r="P2" s="11"/>
      <c r="Q2" s="11"/>
      <c r="R2" s="11"/>
      <c r="V2" s="11"/>
      <c r="W2" s="11"/>
      <c r="X2" s="11"/>
      <c r="Y2" s="11"/>
      <c r="AC2" s="11"/>
    </row>
    <row r="3" ht="15.75" customHeight="1">
      <c r="A3" s="2" t="s">
        <v>5</v>
      </c>
      <c r="B3" s="13"/>
      <c r="C3" s="16">
        <f>macro!B6</f>
        <v>46246</v>
      </c>
      <c r="H3" s="18"/>
      <c r="I3" s="13"/>
      <c r="J3" s="4">
        <f>C3+7</f>
        <v>46253</v>
      </c>
      <c r="O3" s="18"/>
      <c r="P3" s="13"/>
      <c r="Q3" s="16">
        <f>J3+7</f>
        <v>46260</v>
      </c>
      <c r="V3" s="18"/>
      <c r="W3" s="13"/>
      <c r="X3" s="16">
        <f>Q3+7</f>
        <v>46267</v>
      </c>
      <c r="AC3" s="11"/>
    </row>
    <row r="4" ht="15.75" customHeight="1">
      <c r="A4" s="2"/>
      <c r="B4" s="2"/>
      <c r="C4" s="5" t="s">
        <v>10</v>
      </c>
      <c r="D4" s="5" t="s">
        <v>12</v>
      </c>
      <c r="E4" s="5" t="s">
        <v>13</v>
      </c>
      <c r="F4" s="5" t="s">
        <v>14</v>
      </c>
      <c r="G4" s="5" t="s">
        <v>15</v>
      </c>
      <c r="H4" s="18"/>
      <c r="I4" s="2"/>
      <c r="J4" s="5" t="s">
        <v>10</v>
      </c>
      <c r="K4" s="5" t="s">
        <v>12</v>
      </c>
      <c r="L4" s="5" t="s">
        <v>13</v>
      </c>
      <c r="M4" s="5" t="s">
        <v>14</v>
      </c>
      <c r="N4" s="5" t="s">
        <v>15</v>
      </c>
      <c r="O4" s="18"/>
      <c r="P4" s="2"/>
      <c r="Q4" s="5" t="s">
        <v>10</v>
      </c>
      <c r="R4" s="5" t="s">
        <v>12</v>
      </c>
      <c r="S4" s="5" t="s">
        <v>13</v>
      </c>
      <c r="T4" s="5" t="s">
        <v>14</v>
      </c>
      <c r="U4" s="5" t="s">
        <v>15</v>
      </c>
      <c r="V4" s="18"/>
      <c r="W4" s="2"/>
      <c r="X4" s="5" t="s">
        <v>10</v>
      </c>
      <c r="Y4" s="5" t="s">
        <v>12</v>
      </c>
      <c r="Z4" s="5" t="s">
        <v>13</v>
      </c>
      <c r="AA4" s="5" t="s">
        <v>14</v>
      </c>
      <c r="AB4" s="5" t="s">
        <v>15</v>
      </c>
      <c r="AC4" s="18"/>
    </row>
    <row r="5" ht="15.75" customHeight="1">
      <c r="A5" s="2"/>
      <c r="B5" s="2" t="s">
        <v>16</v>
      </c>
      <c r="C5" s="29"/>
      <c r="D5" s="5"/>
      <c r="E5" s="5"/>
      <c r="F5" s="5" t="s">
        <v>17</v>
      </c>
      <c r="G5" s="5"/>
      <c r="H5" s="18"/>
      <c r="I5" s="2" t="s">
        <v>16</v>
      </c>
      <c r="J5" s="29"/>
      <c r="K5" s="5"/>
      <c r="L5" s="5"/>
      <c r="M5" s="5" t="s">
        <v>17</v>
      </c>
      <c r="N5" s="5"/>
      <c r="O5" s="18"/>
      <c r="P5" s="2" t="s">
        <v>16</v>
      </c>
      <c r="Q5" s="29"/>
      <c r="R5" s="5"/>
      <c r="S5" s="5"/>
      <c r="T5" s="5" t="s">
        <v>17</v>
      </c>
      <c r="U5" s="5"/>
      <c r="V5" s="18"/>
      <c r="W5" s="2" t="s">
        <v>16</v>
      </c>
      <c r="X5" s="29"/>
      <c r="Y5" s="5"/>
      <c r="Z5" s="5"/>
      <c r="AA5" s="5" t="s">
        <v>17</v>
      </c>
      <c r="AB5" s="5"/>
      <c r="AC5" s="18"/>
    </row>
    <row r="6" ht="15.75" customHeight="1">
      <c r="A6" s="32"/>
      <c r="B6" s="35"/>
      <c r="C6" s="36"/>
      <c r="D6" s="36"/>
      <c r="E6" s="38"/>
      <c r="F6" s="41" t="str">
        <f>IFERROR(__xludf.DUMMYFUNCTION("IFERROR(
$E6/
VLOOKUP(
IF(
 REGEXMATCH($B6,""(?i)agachamento""),""Agachamento"",
 IF(
  REGEXMATCH($B6,""(?i)supino""),""Supino"",
  IF(
   REGEXMATCH($B6,""(?i)terra""),""Terra"",
   IF(
    REGEXMATCH($B6,""(?i)desenvolvimento""),""Desenvolvimento"",
  "&amp;"  IF(
     REGEXMATCH($B6,""(?i)remada""),""Remada"",
     IF(REGEXMATCH($B6,""(?i)arranco""),""Arranco"",IF(REGEXMATCH($B6,""(?i)arremesso""),""Arremesso"",""""))
    )
   )
  )
 )
),
prs!$A$6:$D$12,
4,
FALSE
)
,"""")"),"")</f>
        <v/>
      </c>
      <c r="G6" s="41"/>
      <c r="H6" s="18"/>
      <c r="I6" s="35"/>
      <c r="J6" s="36"/>
      <c r="K6" s="36"/>
      <c r="L6" s="38"/>
      <c r="M6" s="41" t="str">
        <f>IFERROR(__xludf.DUMMYFUNCTION("IFERROR(
$L6/
VLOOKUP(
IF(
 REGEXMATCH($I6,""(?i)agachamento""),""Agachamento"",
 IF(
  REGEXMATCH($I6,""(?i)supino""),""Supino"",
  IF(
   REGEXMATCH($I6,""(?i)terra""),""Terra"",
   IF(
    REGEXMATCH($I6,""(?i)desenvolvimento""),""Desenvolvimento"",
  "&amp;"  IF(
     REGEXMATCH($I6,""(?i)remada""),""Remada"",
     IF(REGEXMATCH($I6,""(?i)arranco""),""Arranco"",IF(REGEXMATCH($I6,""(?i)arremesso""),""Arremesso"",""""))
    )
   )
  )
 )
),
prs!$A$6:$D$12,
4,
FALSE
)
,"""")"),"")</f>
        <v/>
      </c>
      <c r="N6" s="41"/>
      <c r="O6" s="32"/>
      <c r="P6" s="35"/>
      <c r="Q6" s="36"/>
      <c r="R6" s="36"/>
      <c r="S6" s="38"/>
      <c r="T6" s="41" t="str">
        <f>IFERROR(__xludf.DUMMYFUNCTION("IFERROR(
$S6/
VLOOKUP(
IF(
 REGEXMATCH($P6,""(?i)agachamento""),""Agachamento"",
 IF(
  REGEXMATCH($P6,""(?i)supino""),""Supino"",
  IF(
   REGEXMATCH($P6,""(?i)terra""),""Terra"",
   IF(
    REGEXMATCH($P6,""(?i)desenvolvimento""),""Desenvolvimento"",
  "&amp;"  IF(
     REGEXMATCH($P6,""(?i)remada""),""Remada"",
     IF(REGEXMATCH($P6,""(?i)arranco""),""Arranco"",IF(REGEXMATCH($P6,""(?i)arremesso""),""Arremesso"",""""))
    )
   )
  )
 )
),
prs!$A$6:$D$12,
4,
FALSE
)
,"""")"),"")</f>
        <v/>
      </c>
      <c r="U6" s="41"/>
      <c r="V6" s="32"/>
      <c r="W6" s="35"/>
      <c r="X6" s="36"/>
      <c r="Y6" s="36"/>
      <c r="Z6" s="38"/>
      <c r="AA6" s="41" t="str">
        <f>IFERROR(__xludf.DUMMYFUNCTION("IFERROR(
$Z6/
VLOOKUP(
IF(
 REGEXMATCH($W6,""(?i)agachamento""),""Agachamento"",
 IF(
  REGEXMATCH($W6,""(?i)supino""),""Supino"",
  IF(
   REGEXMATCH($W6,""(?i)terra""),""Terra"",
   IF(
    REGEXMATCH($W6,""(?i)desenvolvimento""),""Desenvolvimento"",
  "&amp;"  IF(
     REGEXMATCH($W6,""(?i)remada""),""Remada"",
     IF(REGEXMATCH($W6,""(?i)arranco""),""Arranco"",IF(REGEXMATCH($W6,""(?i)arremesso""),""Arremesso"",""""))
    )
   )
  )
 )
),
prs!$A$6:$D$12,
4,
FALSE
)
,"""")"),"")</f>
        <v/>
      </c>
      <c r="AB6" s="41"/>
      <c r="AC6" s="32"/>
    </row>
    <row r="7" ht="15.75" customHeight="1">
      <c r="A7" s="32"/>
      <c r="B7" s="35"/>
      <c r="C7" s="36"/>
      <c r="D7" s="36"/>
      <c r="E7" s="38"/>
      <c r="F7" s="41" t="str">
        <f>IFERROR(__xludf.DUMMYFUNCTION("IFERROR(
$E7/
VLOOKUP(
IF(
 REGEXMATCH($B7,""(?i)agachamento""),""Agachamento"",
 IF(
  REGEXMATCH($B7,""(?i)supino""),""Supino"",
  IF(
   REGEXMATCH($B7,""(?i)terra""),""Terra"",
   IF(
    REGEXMATCH($B7,""(?i)desenvolvimento""),""Desenvolvimento"",
  "&amp;"  IF(
     REGEXMATCH($B7,""(?i)remada""),""Remada"",
     IF(REGEXMATCH($B7,""(?i)arranco""),""Arranco"",IF(REGEXMATCH($B7,""(?i)arremesso""),""Arremesso"",""""))
    )
   )
  )
 )
),
prs!$A$6:$D$12,
4,
FALSE
)
,"""")"),"")</f>
        <v/>
      </c>
      <c r="G7" s="41"/>
      <c r="H7" s="18"/>
      <c r="I7" s="35"/>
      <c r="J7" s="36"/>
      <c r="K7" s="36"/>
      <c r="L7" s="38"/>
      <c r="M7" s="41" t="str">
        <f>IFERROR(__xludf.DUMMYFUNCTION("IFERROR(
$L7/
VLOOKUP(
IF(
 REGEXMATCH($I7,""(?i)agachamento""),""Agachamento"",
 IF(
  REGEXMATCH($I7,""(?i)supino""),""Supino"",
  IF(
   REGEXMATCH($I7,""(?i)terra""),""Terra"",
   IF(
    REGEXMATCH($I7,""(?i)desenvolvimento""),""Desenvolvimento"",
  "&amp;"  IF(
     REGEXMATCH($I7,""(?i)remada""),""Remada"",
     IF(REGEXMATCH($I7,""(?i)arranco""),""Arranco"",IF(REGEXMATCH($I7,""(?i)arremesso""),""Arremesso"",""""))
    )
   )
  )
 )
),
prs!$A$6:$D$12,
4,
FALSE
)
,"""")"),"")</f>
        <v/>
      </c>
      <c r="N7" s="41"/>
      <c r="O7" s="32"/>
      <c r="P7" s="35"/>
      <c r="Q7" s="36"/>
      <c r="R7" s="36"/>
      <c r="S7" s="38"/>
      <c r="T7" s="41" t="str">
        <f>IFERROR(__xludf.DUMMYFUNCTION("IFERROR(
$S7/
VLOOKUP(
IF(
 REGEXMATCH($P7,""(?i)agachamento""),""Agachamento"",
 IF(
  REGEXMATCH($P7,""(?i)supino""),""Supino"",
  IF(
   REGEXMATCH($P7,""(?i)terra""),""Terra"",
   IF(
    REGEXMATCH($P7,""(?i)desenvolvimento""),""Desenvolvimento"",
  "&amp;"  IF(
     REGEXMATCH($P7,""(?i)remada""),""Remada"",
     IF(REGEXMATCH($P7,""(?i)arranco""),""Arranco"",IF(REGEXMATCH($P7,""(?i)arremesso""),""Arremesso"",""""))
    )
   )
  )
 )
),
prs!$A$6:$D$12,
4,
FALSE
)
,"""")"),"")</f>
        <v/>
      </c>
      <c r="U7" s="41"/>
      <c r="V7" s="32"/>
      <c r="W7" s="35"/>
      <c r="X7" s="36"/>
      <c r="Y7" s="36"/>
      <c r="Z7" s="38"/>
      <c r="AA7" s="41" t="str">
        <f>IFERROR(__xludf.DUMMYFUNCTION("IFERROR(
$Z7/
VLOOKUP(
IF(
 REGEXMATCH($W7,""(?i)agachamento""),""Agachamento"",
 IF(
  REGEXMATCH($W7,""(?i)supino""),""Supino"",
  IF(
   REGEXMATCH($W7,""(?i)terra""),""Terra"",
   IF(
    REGEXMATCH($W7,""(?i)desenvolvimento""),""Desenvolvimento"",
  "&amp;"  IF(
     REGEXMATCH($W7,""(?i)remada""),""Remada"",
     IF(REGEXMATCH($W7,""(?i)arranco""),""Arranco"",IF(REGEXMATCH($W7,""(?i)arremesso""),""Arremesso"",""""))
    )
   )
  )
 )
),
prs!$A$6:$D$12,
4,
FALSE
)
,"""")"),"")</f>
        <v/>
      </c>
      <c r="AB7" s="41"/>
      <c r="AC7" s="32"/>
    </row>
    <row r="8" ht="15.75" customHeight="1">
      <c r="A8" s="32"/>
      <c r="B8" s="35"/>
      <c r="C8" s="36"/>
      <c r="D8" s="36"/>
      <c r="E8" s="38"/>
      <c r="F8" s="41" t="str">
        <f>IFERROR(__xludf.DUMMYFUNCTION("IFERROR(
$E8/
VLOOKUP(
IF(
 REGEXMATCH($B8,""(?i)agachamento""),""Agachamento"",
 IF(
  REGEXMATCH($B8,""(?i)supino""),""Supino"",
  IF(
   REGEXMATCH($B8,""(?i)terra""),""Terra"",
   IF(
    REGEXMATCH($B8,""(?i)desenvolvimento""),""Desenvolvimento"",
  "&amp;"  IF(
     REGEXMATCH($B8,""(?i)remada""),""Remada"",
     IF(REGEXMATCH($B8,""(?i)arranco""),""Arranco"",IF(REGEXMATCH($B8,""(?i)arremesso""),""Arremesso"",""""))
    )
   )
  )
 )
),
prs!$A$6:$D$12,
4,
FALSE
)
,"""")"),"")</f>
        <v/>
      </c>
      <c r="G8" s="41"/>
      <c r="H8" s="18"/>
      <c r="I8" s="35"/>
      <c r="J8" s="36"/>
      <c r="K8" s="36"/>
      <c r="L8" s="38"/>
      <c r="M8" s="41" t="str">
        <f>IFERROR(__xludf.DUMMYFUNCTION("IFERROR(
$L8/
VLOOKUP(
IF(
 REGEXMATCH($I8,""(?i)agachamento""),""Agachamento"",
 IF(
  REGEXMATCH($I8,""(?i)supino""),""Supino"",
  IF(
   REGEXMATCH($I8,""(?i)terra""),""Terra"",
   IF(
    REGEXMATCH($I8,""(?i)desenvolvimento""),""Desenvolvimento"",
  "&amp;"  IF(
     REGEXMATCH($I8,""(?i)remada""),""Remada"",
     IF(REGEXMATCH($I8,""(?i)arranco""),""Arranco"",IF(REGEXMATCH($I8,""(?i)arremesso""),""Arremesso"",""""))
    )
   )
  )
 )
),
prs!$A$6:$D$12,
4,
FALSE
)
,"""")"),"")</f>
        <v/>
      </c>
      <c r="N8" s="41"/>
      <c r="O8" s="32"/>
      <c r="P8" s="35"/>
      <c r="Q8" s="36"/>
      <c r="R8" s="36"/>
      <c r="S8" s="38"/>
      <c r="T8" s="41" t="str">
        <f>IFERROR(__xludf.DUMMYFUNCTION("IFERROR(
$S8/
VLOOKUP(
IF(
 REGEXMATCH($P8,""(?i)agachamento""),""Agachamento"",
 IF(
  REGEXMATCH($P8,""(?i)supino""),""Supino"",
  IF(
   REGEXMATCH($P8,""(?i)terra""),""Terra"",
   IF(
    REGEXMATCH($P8,""(?i)desenvolvimento""),""Desenvolvimento"",
  "&amp;"  IF(
     REGEXMATCH($P8,""(?i)remada""),""Remada"",
     IF(REGEXMATCH($P8,""(?i)arranco""),""Arranco"",IF(REGEXMATCH($P8,""(?i)arremesso""),""Arremesso"",""""))
    )
   )
  )
 )
),
prs!$A$6:$D$12,
4,
FALSE
)
,"""")"),"")</f>
        <v/>
      </c>
      <c r="U8" s="41"/>
      <c r="V8" s="32"/>
      <c r="W8" s="35"/>
      <c r="X8" s="36"/>
      <c r="Y8" s="36"/>
      <c r="Z8" s="38"/>
      <c r="AA8" s="41" t="str">
        <f>IFERROR(__xludf.DUMMYFUNCTION("IFERROR(
$Z8/
VLOOKUP(
IF(
 REGEXMATCH($W8,""(?i)agachamento""),""Agachamento"",
 IF(
  REGEXMATCH($W8,""(?i)supino""),""Supino"",
  IF(
   REGEXMATCH($W8,""(?i)terra""),""Terra"",
   IF(
    REGEXMATCH($W8,""(?i)desenvolvimento""),""Desenvolvimento"",
  "&amp;"  IF(
     REGEXMATCH($W8,""(?i)remada""),""Remada"",
     IF(REGEXMATCH($W8,""(?i)arranco""),""Arranco"",IF(REGEXMATCH($W8,""(?i)arremesso""),""Arremesso"",""""))
    )
   )
  )
 )
),
prs!$A$6:$D$12,
4,
FALSE
)
,"""")"),"")</f>
        <v/>
      </c>
      <c r="AB8" s="41"/>
      <c r="AC8" s="32"/>
    </row>
    <row r="9" ht="15.75" customHeight="1">
      <c r="A9" s="32"/>
      <c r="B9" s="35"/>
      <c r="C9" s="50"/>
      <c r="D9" s="50"/>
      <c r="E9" s="51"/>
      <c r="F9" s="41" t="str">
        <f>IFERROR(__xludf.DUMMYFUNCTION("IFERROR(
$E9/
VLOOKUP(
IF(
 REGEXMATCH($B9,""(?i)agachamento""),""Agachamento"",
 IF(
  REGEXMATCH($B9,""(?i)supino""),""Supino"",
  IF(
   REGEXMATCH($B9,""(?i)terra""),""Terra"",
   IF(
    REGEXMATCH($B9,""(?i)desenvolvimento""),""Desenvolvimento"",
  "&amp;"  IF(
     REGEXMATCH($B9,""(?i)remada""),""Remada"",
     IF(REGEXMATCH($B9,""(?i)arranco""),""Arranco"",IF(REGEXMATCH($B9,""(?i)arremesso""),""Arremesso"",""""))
    )
   )
  )
 )
),
prs!$A$6:$D$12,
4,
FALSE
)
,"""")"),"")</f>
        <v/>
      </c>
      <c r="G9" s="41"/>
      <c r="H9" s="18"/>
      <c r="I9" s="35"/>
      <c r="J9" s="50"/>
      <c r="K9" s="50"/>
      <c r="L9" s="51"/>
      <c r="M9" s="41" t="str">
        <f>IFERROR(__xludf.DUMMYFUNCTION("IFERROR(
$L9/
VLOOKUP(
IF(
 REGEXMATCH($I9,""(?i)agachamento""),""Agachamento"",
 IF(
  REGEXMATCH($I9,""(?i)supino""),""Supino"",
  IF(
   REGEXMATCH($I9,""(?i)terra""),""Terra"",
   IF(
    REGEXMATCH($I9,""(?i)desenvolvimento""),""Desenvolvimento"",
  "&amp;"  IF(
     REGEXMATCH($I9,""(?i)remada""),""Remada"",
     IF(REGEXMATCH($I9,""(?i)arranco""),""Arranco"",IF(REGEXMATCH($I9,""(?i)arremesso""),""Arremesso"",""""))
    )
   )
  )
 )
),
prs!$A$6:$D$12,
4,
FALSE
)
,"""")"),"")</f>
        <v/>
      </c>
      <c r="N9" s="41"/>
      <c r="O9" s="32"/>
      <c r="P9" s="35"/>
      <c r="Q9" s="50"/>
      <c r="R9" s="50"/>
      <c r="S9" s="51"/>
      <c r="T9" s="41" t="str">
        <f>IFERROR(__xludf.DUMMYFUNCTION("IFERROR(
$S9/
VLOOKUP(
IF(
 REGEXMATCH($P9,""(?i)agachamento""),""Agachamento"",
 IF(
  REGEXMATCH($P9,""(?i)supino""),""Supino"",
  IF(
   REGEXMATCH($P9,""(?i)terra""),""Terra"",
   IF(
    REGEXMATCH($P9,""(?i)desenvolvimento""),""Desenvolvimento"",
  "&amp;"  IF(
     REGEXMATCH($P9,""(?i)remada""),""Remada"",
     IF(REGEXMATCH($P9,""(?i)arranco""),""Arranco"",IF(REGEXMATCH($P9,""(?i)arremesso""),""Arremesso"",""""))
    )
   )
  )
 )
),
prs!$A$6:$D$12,
4,
FALSE
)
,"""")"),"")</f>
        <v/>
      </c>
      <c r="U9" s="41"/>
      <c r="V9" s="32"/>
      <c r="W9" s="35"/>
      <c r="X9" s="50"/>
      <c r="Y9" s="50"/>
      <c r="Z9" s="51"/>
      <c r="AA9" s="41" t="str">
        <f>IFERROR(__xludf.DUMMYFUNCTION("IFERROR(
$Z9/
VLOOKUP(
IF(
 REGEXMATCH($W9,""(?i)agachamento""),""Agachamento"",
 IF(
  REGEXMATCH($W9,""(?i)supino""),""Supino"",
  IF(
   REGEXMATCH($W9,""(?i)terra""),""Terra"",
   IF(
    REGEXMATCH($W9,""(?i)desenvolvimento""),""Desenvolvimento"",
  "&amp;"  IF(
     REGEXMATCH($W9,""(?i)remada""),""Remada"",
     IF(REGEXMATCH($W9,""(?i)arranco""),""Arranco"",IF(REGEXMATCH($W9,""(?i)arremesso""),""Arremesso"",""""))
    )
   )
  )
 )
),
prs!$A$6:$D$12,
4,
FALSE
)
,"""")"),"")</f>
        <v/>
      </c>
      <c r="AB9" s="41"/>
      <c r="AC9" s="32"/>
    </row>
    <row r="10" ht="15.75" customHeight="1">
      <c r="A10" s="32"/>
      <c r="B10" s="35"/>
      <c r="C10" s="50"/>
      <c r="D10" s="50"/>
      <c r="E10" s="51"/>
      <c r="F10" s="41" t="str">
        <f>IFERROR(__xludf.DUMMYFUNCTION("IFERROR(
$E10/
VLOOKUP(
IF(
 REGEXMATCH($B10,""(?i)agachamento""),""Agachamento"",
 IF(
  REGEXMATCH($B10,""(?i)supino""),""Supino"",
  IF(
   REGEXMATCH($B10,""(?i)terra""),""Terra"",
   IF(
    REGEXMATCH($B10,""(?i)desenvolvimento""),""Desenvolvimento"&amp;""",
    IF(
     REGEXMATCH($B10,""(?i)remada""),""Remada"",
     IF(REGEXMATCH($B10,""(?i)arranco""),""Arranco"",IF(REGEXMATCH($B10,""(?i)arremesso""),""Arremesso"",""""))
    )
   )
  )
 )
),
prs!$A$6:$D$12,
4,
FALSE
)
,"""")"),"")</f>
        <v/>
      </c>
      <c r="G10" s="41"/>
      <c r="H10" s="18"/>
      <c r="I10" s="35"/>
      <c r="J10" s="50"/>
      <c r="K10" s="50"/>
      <c r="L10" s="51"/>
      <c r="M10" s="41" t="str">
        <f>IFERROR(__xludf.DUMMYFUNCTION("IFERROR(
$L10/
VLOOKUP(
IF(
 REGEXMATCH($I10,""(?i)agachamento""),""Agachamento"",
 IF(
  REGEXMATCH($I10,""(?i)supino""),""Supino"",
  IF(
   REGEXMATCH($I10,""(?i)terra""),""Terra"",
   IF(
    REGEXMATCH($I10,""(?i)desenvolvimento""),""Desenvolvimento"&amp;""",
    IF(
     REGEXMATCH($I10,""(?i)remada""),""Remada"",
     IF(REGEXMATCH($I10,""(?i)arranco""),""Arranco"",IF(REGEXMATCH($I10,""(?i)arremesso""),""Arremesso"",""""))
    )
   )
  )
 )
),
prs!$A$6:$D$12,
4,
FALSE
)
,"""")"),"")</f>
        <v/>
      </c>
      <c r="N10" s="41"/>
      <c r="O10" s="32"/>
      <c r="P10" s="35"/>
      <c r="Q10" s="50"/>
      <c r="R10" s="50"/>
      <c r="S10" s="51"/>
      <c r="T10" s="41" t="str">
        <f>IFERROR(__xludf.DUMMYFUNCTION("IFERROR(
$S10/
VLOOKUP(
IF(
 REGEXMATCH($P10,""(?i)agachamento""),""Agachamento"",
 IF(
  REGEXMATCH($P10,""(?i)supino""),""Supino"",
  IF(
   REGEXMATCH($P10,""(?i)terra""),""Terra"",
   IF(
    REGEXMATCH($P10,""(?i)desenvolvimento""),""Desenvolvimento"&amp;""",
    IF(
     REGEXMATCH($P10,""(?i)remada""),""Remada"",
     IF(REGEXMATCH($P10,""(?i)arranco""),""Arranco"",IF(REGEXMATCH($P10,""(?i)arremesso""),""Arremesso"",""""))
    )
   )
  )
 )
),
prs!$A$6:$D$12,
4,
FALSE
)
,"""")"),"")</f>
        <v/>
      </c>
      <c r="U10" s="41"/>
      <c r="V10" s="32"/>
      <c r="W10" s="35"/>
      <c r="X10" s="50"/>
      <c r="Y10" s="50"/>
      <c r="Z10" s="51"/>
      <c r="AA10" s="41" t="str">
        <f>IFERROR(__xludf.DUMMYFUNCTION("IFERROR(
$Z10/
VLOOKUP(
IF(
 REGEXMATCH($W10,""(?i)agachamento""),""Agachamento"",
 IF(
  REGEXMATCH($W10,""(?i)supino""),""Supino"",
  IF(
   REGEXMATCH($W10,""(?i)terra""),""Terra"",
   IF(
    REGEXMATCH($W10,""(?i)desenvolvimento""),""Desenvolvimento"&amp;""",
    IF(
     REGEXMATCH($W10,""(?i)remada""),""Remada"",
     IF(REGEXMATCH($W10,""(?i)arranco""),""Arranco"",IF(REGEXMATCH($W10,""(?i)arremesso""),""Arremesso"",""""))
    )
   )
  )
 )
),
prs!$A$6:$D$12,
4,
FALSE
)
,"""")"),"")</f>
        <v/>
      </c>
      <c r="AB10" s="41"/>
      <c r="AC10" s="32"/>
    </row>
    <row r="11" ht="15.75" customHeight="1">
      <c r="A11" s="32"/>
      <c r="B11" s="35"/>
      <c r="C11" s="50"/>
      <c r="D11" s="50"/>
      <c r="E11" s="51"/>
      <c r="F11" s="41" t="str">
        <f>IFERROR(__xludf.DUMMYFUNCTION("IFERROR(
$E11/
VLOOKUP(
IF(
 REGEXMATCH($B11,""(?i)agachamento""),""Agachamento"",
 IF(
  REGEXMATCH($B11,""(?i)supino""),""Supino"",
  IF(
   REGEXMATCH($B11,""(?i)terra""),""Terra"",
   IF(
    REGEXMATCH($B11,""(?i)desenvolvimento""),""Desenvolvimento"&amp;""",
    IF(
     REGEXMATCH($B11,""(?i)remada""),""Remada"",
     IF(REGEXMATCH($B11,""(?i)arranco""),""Arranco"",IF(REGEXMATCH($B11,""(?i)arremesso""),""Arremesso"",""""))
    )
   )
  )
 )
),
prs!$A$6:$D$12,
4,
FALSE
)
,"""")"),"")</f>
        <v/>
      </c>
      <c r="G11" s="41"/>
      <c r="H11" s="18"/>
      <c r="I11" s="35"/>
      <c r="J11" s="50"/>
      <c r="K11" s="50"/>
      <c r="L11" s="51"/>
      <c r="M11" s="41" t="str">
        <f>IFERROR(__xludf.DUMMYFUNCTION("IFERROR(
$L11/
VLOOKUP(
IF(
 REGEXMATCH($I11,""(?i)agachamento""),""Agachamento"",
 IF(
  REGEXMATCH($I11,""(?i)supino""),""Supino"",
  IF(
   REGEXMATCH($I11,""(?i)terra""),""Terra"",
   IF(
    REGEXMATCH($I11,""(?i)desenvolvimento""),""Desenvolvimento"&amp;""",
    IF(
     REGEXMATCH($I11,""(?i)remada""),""Remada"",
     IF(REGEXMATCH($I11,""(?i)arranco""),""Arranco"",IF(REGEXMATCH($I11,""(?i)arremesso""),""Arremesso"",""""))
    )
   )
  )
 )
),
prs!$A$6:$D$12,
4,
FALSE
)
,"""")"),"")</f>
        <v/>
      </c>
      <c r="N11" s="41"/>
      <c r="O11" s="32"/>
      <c r="P11" s="35"/>
      <c r="Q11" s="50"/>
      <c r="R11" s="50"/>
      <c r="S11" s="51"/>
      <c r="T11" s="41" t="str">
        <f>IFERROR(__xludf.DUMMYFUNCTION("IFERROR(
$S11/
VLOOKUP(
IF(
 REGEXMATCH($P11,""(?i)agachamento""),""Agachamento"",
 IF(
  REGEXMATCH($P11,""(?i)supino""),""Supino"",
  IF(
   REGEXMATCH($P11,""(?i)terra""),""Terra"",
   IF(
    REGEXMATCH($P11,""(?i)desenvolvimento""),""Desenvolvimento"&amp;""",
    IF(
     REGEXMATCH($P11,""(?i)remada""),""Remada"",
     IF(REGEXMATCH($P11,""(?i)arranco""),""Arranco"",IF(REGEXMATCH($P11,""(?i)arremesso""),""Arremesso"",""""))
    )
   )
  )
 )
),
prs!$A$6:$D$12,
4,
FALSE
)
,"""")"),"")</f>
        <v/>
      </c>
      <c r="U11" s="41"/>
      <c r="V11" s="32"/>
      <c r="W11" s="35"/>
      <c r="X11" s="50"/>
      <c r="Y11" s="50"/>
      <c r="Z11" s="51"/>
      <c r="AA11" s="41" t="str">
        <f>IFERROR(__xludf.DUMMYFUNCTION("IFERROR(
$Z11/
VLOOKUP(
IF(
 REGEXMATCH($W11,""(?i)agachamento""),""Agachamento"",
 IF(
  REGEXMATCH($W11,""(?i)supino""),""Supino"",
  IF(
   REGEXMATCH($W11,""(?i)terra""),""Terra"",
   IF(
    REGEXMATCH($W11,""(?i)desenvolvimento""),""Desenvolvimento"&amp;""",
    IF(
     REGEXMATCH($W11,""(?i)remada""),""Remada"",
     IF(REGEXMATCH($W11,""(?i)arranco""),""Arranco"",IF(REGEXMATCH($W11,""(?i)arremesso""),""Arremesso"",""""))
    )
   )
  )
 )
),
prs!$A$6:$D$12,
4,
FALSE
)
,"""")"),"")</f>
        <v/>
      </c>
      <c r="AB11" s="41"/>
      <c r="AC11" s="32"/>
    </row>
    <row r="12" ht="15.75" customHeight="1">
      <c r="A12" s="32"/>
      <c r="B12" s="35"/>
      <c r="C12" s="50"/>
      <c r="D12" s="50"/>
      <c r="E12" s="51"/>
      <c r="F12" s="41" t="str">
        <f>IFERROR(__xludf.DUMMYFUNCTION("IFERROR(
$E12/
VLOOKUP(
IF(
 REGEXMATCH($B12,""(?i)agachamento""),""Agachamento"",
 IF(
  REGEXMATCH($B12,""(?i)supino""),""Supino"",
  IF(
   REGEXMATCH($B12,""(?i)terra""),""Terra"",
   IF(
    REGEXMATCH($B12,""(?i)desenvolvimento""),""Desenvolvimento"&amp;""",
    IF(
     REGEXMATCH($B12,""(?i)remada""),""Remada"",
     IF(REGEXMATCH($B12,""(?i)arranco""),""Arranco"",IF(REGEXMATCH($B12,""(?i)arremesso""),""Arremesso"",""""))
    )
   )
  )
 )
),
prs!$A$6:$D$12,
4,
FALSE
)
,"""")"),"")</f>
        <v/>
      </c>
      <c r="G12" s="41"/>
      <c r="H12" s="18"/>
      <c r="I12" s="35"/>
      <c r="J12" s="50"/>
      <c r="K12" s="50"/>
      <c r="L12" s="51"/>
      <c r="M12" s="41" t="str">
        <f>IFERROR(__xludf.DUMMYFUNCTION("IFERROR(
$L12/
VLOOKUP(
IF(
 REGEXMATCH($I12,""(?i)agachamento""),""Agachamento"",
 IF(
  REGEXMATCH($I12,""(?i)supino""),""Supino"",
  IF(
   REGEXMATCH($I12,""(?i)terra""),""Terra"",
   IF(
    REGEXMATCH($I12,""(?i)desenvolvimento""),""Desenvolvimento"&amp;""",
    IF(
     REGEXMATCH($I12,""(?i)remada""),""Remada"",
     IF(REGEXMATCH($I12,""(?i)arranco""),""Arranco"",IF(REGEXMATCH($I12,""(?i)arremesso""),""Arremesso"",""""))
    )
   )
  )
 )
),
prs!$A$6:$D$12,
4,
FALSE
)
,"""")"),"")</f>
        <v/>
      </c>
      <c r="N12" s="41"/>
      <c r="O12" s="32"/>
      <c r="P12" s="35"/>
      <c r="Q12" s="50"/>
      <c r="R12" s="50"/>
      <c r="S12" s="51"/>
      <c r="T12" s="41" t="str">
        <f>IFERROR(__xludf.DUMMYFUNCTION("IFERROR(
$S12/
VLOOKUP(
IF(
 REGEXMATCH($P12,""(?i)agachamento""),""Agachamento"",
 IF(
  REGEXMATCH($P12,""(?i)supino""),""Supino"",
  IF(
   REGEXMATCH($P12,""(?i)terra""),""Terra"",
   IF(
    REGEXMATCH($P12,""(?i)desenvolvimento""),""Desenvolvimento"&amp;""",
    IF(
     REGEXMATCH($P12,""(?i)remada""),""Remada"",
     IF(REGEXMATCH($P12,""(?i)arranco""),""Arranco"",IF(REGEXMATCH($P12,""(?i)arremesso""),""Arremesso"",""""))
    )
   )
  )
 )
),
prs!$A$6:$D$12,
4,
FALSE
)
,"""")"),"")</f>
        <v/>
      </c>
      <c r="U12" s="41"/>
      <c r="V12" s="32"/>
      <c r="W12" s="35"/>
      <c r="X12" s="50"/>
      <c r="Y12" s="50"/>
      <c r="Z12" s="51"/>
      <c r="AA12" s="41" t="str">
        <f>IFERROR(__xludf.DUMMYFUNCTION("IFERROR(
$Z12/
VLOOKUP(
IF(
 REGEXMATCH($W12,""(?i)agachamento""),""Agachamento"",
 IF(
  REGEXMATCH($W12,""(?i)supino""),""Supino"",
  IF(
   REGEXMATCH($W12,""(?i)terra""),""Terra"",
   IF(
    REGEXMATCH($W12,""(?i)desenvolvimento""),""Desenvolvimento"&amp;""",
    IF(
     REGEXMATCH($W12,""(?i)remada""),""Remada"",
     IF(REGEXMATCH($W12,""(?i)arranco""),""Arranco"",IF(REGEXMATCH($W12,""(?i)arremesso""),""Arremesso"",""""))
    )
   )
  )
 )
),
prs!$A$6:$D$12,
4,
FALSE
)
,"""")"),"")</f>
        <v/>
      </c>
      <c r="AB12" s="41"/>
      <c r="AC12" s="32"/>
    </row>
    <row r="13" ht="15.75" customHeight="1">
      <c r="A13" s="32"/>
      <c r="B13" s="35"/>
      <c r="C13" s="50"/>
      <c r="D13" s="50"/>
      <c r="E13" s="51"/>
      <c r="F13" s="41" t="str">
        <f>IFERROR(__xludf.DUMMYFUNCTION("IFERROR(
$E13/
VLOOKUP(
IF(
 REGEXMATCH($B13,""(?i)agachamento""),""Agachamento"",
 IF(
  REGEXMATCH($B13,""(?i)supino""),""Supino"",
  IF(
   REGEXMATCH($B13,""(?i)terra""),""Terra"",
   IF(
    REGEXMATCH($B13,""(?i)desenvolvimento""),""Desenvolvimento"&amp;""",
    IF(
     REGEXMATCH($B13,""(?i)remada""),""Remada"",
     IF(REGEXMATCH($B13,""(?i)arranco""),""Arranco"",IF(REGEXMATCH($B13,""(?i)arremesso""),""Arremesso"",""""))
    )
   )
  )
 )
),
prs!$A$6:$D$12,
4,
FALSE
)
,"""")"),"")</f>
        <v/>
      </c>
      <c r="G13" s="41"/>
      <c r="H13" s="18"/>
      <c r="I13" s="35"/>
      <c r="J13" s="50"/>
      <c r="K13" s="50"/>
      <c r="L13" s="51"/>
      <c r="M13" s="41" t="str">
        <f>IFERROR(__xludf.DUMMYFUNCTION("IFERROR(
$L13/
VLOOKUP(
IF(
 REGEXMATCH($I13,""(?i)agachamento""),""Agachamento"",
 IF(
  REGEXMATCH($I13,""(?i)supino""),""Supino"",
  IF(
   REGEXMATCH($I13,""(?i)terra""),""Terra"",
   IF(
    REGEXMATCH($I13,""(?i)desenvolvimento""),""Desenvolvimento"&amp;""",
    IF(
     REGEXMATCH($I13,""(?i)remada""),""Remada"",
     IF(REGEXMATCH($I13,""(?i)arranco""),""Arranco"",IF(REGEXMATCH($I13,""(?i)arremesso""),""Arremesso"",""""))
    )
   )
  )
 )
),
prs!$A$6:$D$12,
4,
FALSE
)
,"""")"),"")</f>
        <v/>
      </c>
      <c r="N13" s="41"/>
      <c r="O13" s="32"/>
      <c r="P13" s="35"/>
      <c r="Q13" s="50"/>
      <c r="R13" s="50"/>
      <c r="S13" s="51"/>
      <c r="T13" s="41" t="str">
        <f>IFERROR(__xludf.DUMMYFUNCTION("IFERROR(
$S13/
VLOOKUP(
IF(
 REGEXMATCH($P13,""(?i)agachamento""),""Agachamento"",
 IF(
  REGEXMATCH($P13,""(?i)supino""),""Supino"",
  IF(
   REGEXMATCH($P13,""(?i)terra""),""Terra"",
   IF(
    REGEXMATCH($P13,""(?i)desenvolvimento""),""Desenvolvimento"&amp;""",
    IF(
     REGEXMATCH($P13,""(?i)remada""),""Remada"",
     IF(REGEXMATCH($P13,""(?i)arranco""),""Arranco"",IF(REGEXMATCH($P13,""(?i)arremesso""),""Arremesso"",""""))
    )
   )
  )
 )
),
prs!$A$6:$D$12,
4,
FALSE
)
,"""")"),"")</f>
        <v/>
      </c>
      <c r="U13" s="41"/>
      <c r="V13" s="32"/>
      <c r="W13" s="35"/>
      <c r="X13" s="50"/>
      <c r="Y13" s="50"/>
      <c r="Z13" s="51"/>
      <c r="AA13" s="41" t="str">
        <f>IFERROR(__xludf.DUMMYFUNCTION("IFERROR(
$Z13/
VLOOKUP(
IF(
 REGEXMATCH($W13,""(?i)agachamento""),""Agachamento"",
 IF(
  REGEXMATCH($W13,""(?i)supino""),""Supino"",
  IF(
   REGEXMATCH($W13,""(?i)terra""),""Terra"",
   IF(
    REGEXMATCH($W13,""(?i)desenvolvimento""),""Desenvolvimento"&amp;""",
    IF(
     REGEXMATCH($W13,""(?i)remada""),""Remada"",
     IF(REGEXMATCH($W13,""(?i)arranco""),""Arranco"",IF(REGEXMATCH($W13,""(?i)arremesso""),""Arremesso"",""""))
    )
   )
  )
 )
),
prs!$A$6:$D$12,
4,
FALSE
)
,"""")"),"")</f>
        <v/>
      </c>
      <c r="AB13" s="41"/>
      <c r="AC13" s="32"/>
    </row>
    <row r="14" ht="15.75" customHeight="1">
      <c r="A14" s="32"/>
      <c r="B14" s="35"/>
      <c r="C14" s="50"/>
      <c r="D14" s="50"/>
      <c r="E14" s="51"/>
      <c r="F14" s="41" t="str">
        <f>IFERROR(__xludf.DUMMYFUNCTION("IFERROR(
$E14/
VLOOKUP(
IF(
 REGEXMATCH($B14,""(?i)agachamento""),""Agachamento"",
 IF(
  REGEXMATCH($B14,""(?i)supino""),""Supino"",
  IF(
   REGEXMATCH($B14,""(?i)terra""),""Terra"",
   IF(
    REGEXMATCH($B14,""(?i)desenvolvimento""),""Desenvolvimento"&amp;""",
    IF(
     REGEXMATCH($B14,""(?i)remada""),""Remada"",
     IF(REGEXMATCH($B14,""(?i)arranco""),""Arranco"",IF(REGEXMATCH($B14,""(?i)arremesso""),""Arremesso"",""""))
    )
   )
  )
 )
),
prs!$A$6:$D$12,
4,
FALSE
)
,"""")"),"")</f>
        <v/>
      </c>
      <c r="G14" s="41"/>
      <c r="H14" s="18"/>
      <c r="I14" s="35"/>
      <c r="J14" s="50"/>
      <c r="K14" s="50"/>
      <c r="L14" s="51"/>
      <c r="M14" s="41" t="str">
        <f>IFERROR(__xludf.DUMMYFUNCTION("IFERROR(
$L14/
VLOOKUP(
IF(
 REGEXMATCH($I14,""(?i)agachamento""),""Agachamento"",
 IF(
  REGEXMATCH($I14,""(?i)supino""),""Supino"",
  IF(
   REGEXMATCH($I14,""(?i)terra""),""Terra"",
   IF(
    REGEXMATCH($I14,""(?i)desenvolvimento""),""Desenvolvimento"&amp;""",
    IF(
     REGEXMATCH($I14,""(?i)remada""),""Remada"",
     IF(REGEXMATCH($I14,""(?i)arranco""),""Arranco"",IF(REGEXMATCH($I14,""(?i)arremesso""),""Arremesso"",""""))
    )
   )
  )
 )
),
prs!$A$6:$D$12,
4,
FALSE
)
,"""")"),"")</f>
        <v/>
      </c>
      <c r="N14" s="41"/>
      <c r="O14" s="32"/>
      <c r="P14" s="35"/>
      <c r="Q14" s="50"/>
      <c r="R14" s="50"/>
      <c r="S14" s="51"/>
      <c r="T14" s="41" t="str">
        <f>IFERROR(__xludf.DUMMYFUNCTION("IFERROR(
$S14/
VLOOKUP(
IF(
 REGEXMATCH($P14,""(?i)agachamento""),""Agachamento"",
 IF(
  REGEXMATCH($P14,""(?i)supino""),""Supino"",
  IF(
   REGEXMATCH($P14,""(?i)terra""),""Terra"",
   IF(
    REGEXMATCH($P14,""(?i)desenvolvimento""),""Desenvolvimento"&amp;""",
    IF(
     REGEXMATCH($P14,""(?i)remada""),""Remada"",
     IF(REGEXMATCH($P14,""(?i)arranco""),""Arranco"",IF(REGEXMATCH($P14,""(?i)arremesso""),""Arremesso"",""""))
    )
   )
  )
 )
),
prs!$A$6:$D$12,
4,
FALSE
)
,"""")"),"")</f>
        <v/>
      </c>
      <c r="U14" s="41"/>
      <c r="V14" s="32"/>
      <c r="W14" s="35"/>
      <c r="X14" s="50"/>
      <c r="Y14" s="50"/>
      <c r="Z14" s="51"/>
      <c r="AA14" s="41" t="str">
        <f>IFERROR(__xludf.DUMMYFUNCTION("IFERROR(
$Z14/
VLOOKUP(
IF(
 REGEXMATCH($W14,""(?i)agachamento""),""Agachamento"",
 IF(
  REGEXMATCH($W14,""(?i)supino""),""Supino"",
  IF(
   REGEXMATCH($W14,""(?i)terra""),""Terra"",
   IF(
    REGEXMATCH($W14,""(?i)desenvolvimento""),""Desenvolvimento"&amp;""",
    IF(
     REGEXMATCH($W14,""(?i)remada""),""Remada"",
     IF(REGEXMATCH($W14,""(?i)arranco""),""Arranco"",IF(REGEXMATCH($W14,""(?i)arremesso""),""Arremesso"",""""))
    )
   )
  )
 )
),
prs!$A$6:$D$12,
4,
FALSE
)
,"""")"),"")</f>
        <v/>
      </c>
      <c r="AB14" s="41"/>
      <c r="AC14" s="32"/>
    </row>
    <row r="15" ht="15.75" customHeight="1">
      <c r="A15" s="32"/>
      <c r="B15" s="35"/>
      <c r="C15" s="50"/>
      <c r="D15" s="50"/>
      <c r="E15" s="51"/>
      <c r="F15" s="41" t="str">
        <f>IFERROR(__xludf.DUMMYFUNCTION("IFERROR(
$E15/
VLOOKUP(
IF(
 REGEXMATCH($B15,""(?i)agachamento""),""Agachamento"",
 IF(
  REGEXMATCH($B15,""(?i)supino""),""Supino"",
  IF(
   REGEXMATCH($B15,""(?i)terra""),""Terra"",
   IF(
    REGEXMATCH($B15,""(?i)desenvolvimento""),""Desenvolvimento"&amp;""",
    IF(
     REGEXMATCH($B15,""(?i)remada""),""Remada"",
     IF(REGEXMATCH($B15,""(?i)arranco""),""Arranco"",IF(REGEXMATCH($B15,""(?i)arremesso""),""Arremesso"",""""))
    )
   )
  )
 )
),
prs!$A$6:$D$12,
4,
FALSE
)
,"""")"),"")</f>
        <v/>
      </c>
      <c r="G15" s="41"/>
      <c r="H15" s="18"/>
      <c r="I15" s="35"/>
      <c r="J15" s="50"/>
      <c r="K15" s="50"/>
      <c r="L15" s="51"/>
      <c r="M15" s="41" t="str">
        <f>IFERROR(__xludf.DUMMYFUNCTION("IFERROR(
$L15/
VLOOKUP(
IF(
 REGEXMATCH($I15,""(?i)agachamento""),""Agachamento"",
 IF(
  REGEXMATCH($I15,""(?i)supino""),""Supino"",
  IF(
   REGEXMATCH($I15,""(?i)terra""),""Terra"",
   IF(
    REGEXMATCH($I15,""(?i)desenvolvimento""),""Desenvolvimento"&amp;""",
    IF(
     REGEXMATCH($I15,""(?i)remada""),""Remada"",
     IF(REGEXMATCH($I15,""(?i)arranco""),""Arranco"",IF(REGEXMATCH($I15,""(?i)arremesso""),""Arremesso"",""""))
    )
   )
  )
 )
),
prs!$A$6:$D$12,
4,
FALSE
)
,"""")"),"")</f>
        <v/>
      </c>
      <c r="N15" s="41"/>
      <c r="O15" s="32"/>
      <c r="P15" s="35"/>
      <c r="Q15" s="50"/>
      <c r="R15" s="50"/>
      <c r="S15" s="51"/>
      <c r="T15" s="41" t="str">
        <f>IFERROR(__xludf.DUMMYFUNCTION("IFERROR(
$S15/
VLOOKUP(
IF(
 REGEXMATCH($P15,""(?i)agachamento""),""Agachamento"",
 IF(
  REGEXMATCH($P15,""(?i)supino""),""Supino"",
  IF(
   REGEXMATCH($P15,""(?i)terra""),""Terra"",
   IF(
    REGEXMATCH($P15,""(?i)desenvolvimento""),""Desenvolvimento"&amp;""",
    IF(
     REGEXMATCH($P15,""(?i)remada""),""Remada"",
     IF(REGEXMATCH($P15,""(?i)arranco""),""Arranco"",IF(REGEXMATCH($P15,""(?i)arremesso""),""Arremesso"",""""))
    )
   )
  )
 )
),
prs!$A$6:$D$12,
4,
FALSE
)
,"""")"),"")</f>
        <v/>
      </c>
      <c r="U15" s="41"/>
      <c r="V15" s="32"/>
      <c r="W15" s="35"/>
      <c r="X15" s="50"/>
      <c r="Y15" s="50"/>
      <c r="Z15" s="51"/>
      <c r="AA15" s="41" t="str">
        <f>IFERROR(__xludf.DUMMYFUNCTION("IFERROR(
$Z15/
VLOOKUP(
IF(
 REGEXMATCH($W15,""(?i)agachamento""),""Agachamento"",
 IF(
  REGEXMATCH($W15,""(?i)supino""),""Supino"",
  IF(
   REGEXMATCH($W15,""(?i)terra""),""Terra"",
   IF(
    REGEXMATCH($W15,""(?i)desenvolvimento""),""Desenvolvimento"&amp;""",
    IF(
     REGEXMATCH($W15,""(?i)remada""),""Remada"",
     IF(REGEXMATCH($W15,""(?i)arranco""),""Arranco"",IF(REGEXMATCH($W15,""(?i)arremesso""),""Arremesso"",""""))
    )
   )
  )
 )
),
prs!$A$6:$D$12,
4,
FALSE
)
,"""")"),"")</f>
        <v/>
      </c>
      <c r="AB15" s="41"/>
      <c r="AC15" s="32"/>
    </row>
    <row r="16" ht="15.75" customHeight="1">
      <c r="A16" s="33"/>
      <c r="B16" s="52"/>
      <c r="C16" s="37" t="s">
        <v>20</v>
      </c>
      <c r="H16" s="18"/>
      <c r="I16" s="52"/>
      <c r="J16" s="37" t="s">
        <v>23</v>
      </c>
      <c r="O16" s="18"/>
      <c r="P16" s="52"/>
      <c r="Q16" s="37" t="s">
        <v>24</v>
      </c>
      <c r="V16" s="18"/>
      <c r="W16" s="52"/>
      <c r="X16" s="37" t="s">
        <v>25</v>
      </c>
      <c r="AC16" s="18"/>
    </row>
    <row r="17" ht="15.75" customHeight="1">
      <c r="A17" s="44"/>
      <c r="B17" s="44"/>
      <c r="C17" s="44"/>
      <c r="D17" s="44"/>
      <c r="H17" s="44"/>
      <c r="I17" s="44"/>
      <c r="J17" s="44"/>
      <c r="K17" s="44"/>
      <c r="O17" s="44"/>
      <c r="P17" s="44"/>
      <c r="Q17" s="44"/>
      <c r="R17" s="44"/>
      <c r="V17" s="44"/>
      <c r="W17" s="44"/>
      <c r="X17" s="44"/>
      <c r="Y17" s="44"/>
      <c r="AC17" s="44"/>
    </row>
    <row r="18" ht="15.75" customHeight="1">
      <c r="A18" s="33" t="s">
        <v>22</v>
      </c>
      <c r="B18" s="13"/>
      <c r="C18" s="16"/>
      <c r="H18" s="18"/>
      <c r="I18" s="13"/>
      <c r="J18" s="4"/>
      <c r="O18" s="18"/>
      <c r="P18" s="13"/>
      <c r="Q18" s="16"/>
      <c r="V18" s="18"/>
      <c r="W18" s="13"/>
      <c r="X18" s="16"/>
      <c r="AC18" s="44"/>
    </row>
    <row r="19" ht="15.75" customHeight="1">
      <c r="A19" s="33"/>
      <c r="B19" s="52"/>
      <c r="C19" s="5" t="s">
        <v>10</v>
      </c>
      <c r="D19" s="5" t="s">
        <v>12</v>
      </c>
      <c r="E19" s="5" t="s">
        <v>13</v>
      </c>
      <c r="F19" s="5" t="s">
        <v>14</v>
      </c>
      <c r="G19" s="5" t="s">
        <v>15</v>
      </c>
      <c r="H19" s="18"/>
      <c r="I19" s="52"/>
      <c r="J19" s="5" t="s">
        <v>10</v>
      </c>
      <c r="K19" s="5" t="s">
        <v>12</v>
      </c>
      <c r="L19" s="5" t="s">
        <v>13</v>
      </c>
      <c r="M19" s="5" t="s">
        <v>14</v>
      </c>
      <c r="N19" s="5" t="s">
        <v>15</v>
      </c>
      <c r="O19" s="18"/>
      <c r="P19" s="52"/>
      <c r="Q19" s="5" t="s">
        <v>10</v>
      </c>
      <c r="R19" s="5" t="s">
        <v>12</v>
      </c>
      <c r="S19" s="5" t="s">
        <v>13</v>
      </c>
      <c r="T19" s="5" t="s">
        <v>14</v>
      </c>
      <c r="U19" s="5" t="s">
        <v>15</v>
      </c>
      <c r="V19" s="18"/>
      <c r="W19" s="52"/>
      <c r="X19" s="5" t="s">
        <v>10</v>
      </c>
      <c r="Y19" s="5" t="s">
        <v>12</v>
      </c>
      <c r="Z19" s="5" t="s">
        <v>13</v>
      </c>
      <c r="AA19" s="5" t="s">
        <v>14</v>
      </c>
      <c r="AB19" s="5" t="s">
        <v>15</v>
      </c>
      <c r="AC19" s="44"/>
    </row>
    <row r="20" ht="15.75" customHeight="1">
      <c r="A20" s="2"/>
      <c r="B20" s="2" t="s">
        <v>16</v>
      </c>
      <c r="C20" s="29"/>
      <c r="D20" s="5"/>
      <c r="E20" s="5"/>
      <c r="F20" s="5" t="s">
        <v>17</v>
      </c>
      <c r="G20" s="5"/>
      <c r="H20" s="18"/>
      <c r="I20" s="2" t="s">
        <v>16</v>
      </c>
      <c r="J20" s="29"/>
      <c r="K20" s="5"/>
      <c r="L20" s="5"/>
      <c r="M20" s="5" t="s">
        <v>17</v>
      </c>
      <c r="N20" s="5"/>
      <c r="O20" s="18"/>
      <c r="P20" s="2" t="s">
        <v>16</v>
      </c>
      <c r="Q20" s="29"/>
      <c r="R20" s="5"/>
      <c r="S20" s="5"/>
      <c r="T20" s="5" t="s">
        <v>17</v>
      </c>
      <c r="U20" s="5"/>
      <c r="V20" s="18"/>
      <c r="W20" s="2" t="s">
        <v>16</v>
      </c>
      <c r="X20" s="29"/>
      <c r="Y20" s="5"/>
      <c r="Z20" s="5"/>
      <c r="AA20" s="5" t="s">
        <v>17</v>
      </c>
      <c r="AB20" s="5"/>
      <c r="AC20" s="44"/>
    </row>
    <row r="21" ht="15.75" customHeight="1">
      <c r="A21" s="47"/>
      <c r="B21" s="35"/>
      <c r="C21" s="36"/>
      <c r="D21" s="36"/>
      <c r="E21" s="38"/>
      <c r="F21" s="41" t="str">
        <f>IFERROR(__xludf.DUMMYFUNCTION("IFERROR(
$E21/
VLOOKUP(
IF(
 REGEXMATCH($B21,""(?i)agachamento""),""Agachamento"",
 IF(
  REGEXMATCH($B21,""(?i)supino""),""Supino"",
  IF(
   REGEXMATCH($B21,""(?i)terra""),""Terra"",
   IF(
    REGEXMATCH($B21,""(?i)desenvolvimento""),""Desenvolvimento"&amp;""",
    IF(
     REGEXMATCH($B21,""(?i)remada""),""Remada"",
     IF(REGEXMATCH($B21,""(?i)arranco""),""Arranco"",IF(REGEXMATCH($B21,""(?i)arremesso""),""Arremesso"",""""))
    )
   )
  )
 )
),
prs!$A$6:$D$12,
4,
FALSE
)
,"""")"),"")</f>
        <v/>
      </c>
      <c r="G21" s="41"/>
      <c r="H21" s="44"/>
      <c r="I21" s="35"/>
      <c r="J21" s="36"/>
      <c r="K21" s="36"/>
      <c r="L21" s="38"/>
      <c r="M21" s="41" t="str">
        <f>IFERROR(__xludf.DUMMYFUNCTION("IFERROR(
$L21/
VLOOKUP(
IF(
 REGEXMATCH($I21,""(?i)agachamento""),""Agachamento"",
 IF(
  REGEXMATCH($I21,""(?i)supino""),""Supino"",
  IF(
   REGEXMATCH($I21,""(?i)terra""),""Terra"",
   IF(
    REGEXMATCH($I21,""(?i)desenvolvimento""),""Desenvolvimento"&amp;""",
    IF(
     REGEXMATCH($I21,""(?i)remada""),""Remada"",
     IF(REGEXMATCH($I21,""(?i)arranco""),""Arranco"",IF(REGEXMATCH($I21,""(?i)arremesso""),""Arremesso"",""""))
    )
   )
  )
 )
),
prs!$A$6:$D$12,
4,
FALSE
)
,"""")"),"")</f>
        <v/>
      </c>
      <c r="N21" s="41"/>
      <c r="O21" s="47"/>
      <c r="P21" s="35"/>
      <c r="Q21" s="36"/>
      <c r="R21" s="36"/>
      <c r="S21" s="38"/>
      <c r="T21" s="41" t="str">
        <f>IFERROR(__xludf.DUMMYFUNCTION("IFERROR(
$S21/
VLOOKUP(
IF(
 REGEXMATCH($P21,""(?i)agachamento""),""Agachamento"",
 IF(
  REGEXMATCH($P21,""(?i)supino""),""Supino"",
  IF(
   REGEXMATCH($P21,""(?i)terra""),""Terra"",
   IF(
    REGEXMATCH($P21,""(?i)desenvolvimento""),""Desenvolvimento"&amp;""",
    IF(
     REGEXMATCH($P21,""(?i)remada""),""Remada"",
     IF(REGEXMATCH($P21,""(?i)arranco""),""Arranco"",IF(REGEXMATCH($P21,""(?i)arremesso""),""Arremesso"",""""))
    )
   )
  )
 )
),
prs!$A$6:$D$12,
4,
FALSE
)
,"""")"),"")</f>
        <v/>
      </c>
      <c r="U21" s="41"/>
      <c r="V21" s="47"/>
      <c r="W21" s="35"/>
      <c r="X21" s="36"/>
      <c r="Y21" s="36"/>
      <c r="Z21" s="38"/>
      <c r="AA21" s="41" t="str">
        <f>IFERROR(__xludf.DUMMYFUNCTION("IFERROR(
$Z21/
VLOOKUP(
IF(
 REGEXMATCH($W21,""(?i)agachamento""),""Agachamento"",
 IF(
  REGEXMATCH($W21,""(?i)supino""),""Supino"",
  IF(
   REGEXMATCH($W21,""(?i)terra""),""Terra"",
   IF(
    REGEXMATCH($W21,""(?i)desenvolvimento""),""Desenvolvimento"&amp;""",
    IF(
     REGEXMATCH($W21,""(?i)remada""),""Remada"",
     IF(REGEXMATCH($W21,""(?i)arranco""),""Arranco"",IF(REGEXMATCH($W21,""(?i)arremesso""),""Arremesso"",""""))
    )
   )
  )
 )
),
prs!$A$6:$D$12,
4,
FALSE
)
,"""")"),"")</f>
        <v/>
      </c>
      <c r="AB21" s="41"/>
      <c r="AC21" s="47"/>
    </row>
    <row r="22" ht="15.75" customHeight="1">
      <c r="A22" s="47"/>
      <c r="B22" s="53"/>
      <c r="C22" s="36"/>
      <c r="D22" s="36"/>
      <c r="E22" s="38"/>
      <c r="F22" s="41" t="str">
        <f>IFERROR(__xludf.DUMMYFUNCTION("IFERROR(
$E22/
VLOOKUP(
IF(
 REGEXMATCH($B22,""(?i)agachamento""),""Agachamento"",
 IF(
  REGEXMATCH($B22,""(?i)supino""),""Supino"",
  IF(
   REGEXMATCH($B22,""(?i)terra""),""Terra"",
   IF(
    REGEXMATCH($B22,""(?i)desenvolvimento""),""Desenvolvimento"&amp;""",
    IF(
     REGEXMATCH($B22,""(?i)remada""),""Remada"",
     IF(REGEXMATCH($B22,""(?i)arranco""),""Arranco"",IF(REGEXMATCH($B22,""(?i)arremesso""),""Arremesso"",""""))
    )
   )
  )
 )
),
prs!$A$6:$D$12,
4,
FALSE
)
,"""")"),"")</f>
        <v/>
      </c>
      <c r="G22" s="41"/>
      <c r="H22" s="44"/>
      <c r="I22" s="53"/>
      <c r="J22" s="36"/>
      <c r="K22" s="36"/>
      <c r="L22" s="38"/>
      <c r="M22" s="41" t="str">
        <f>IFERROR(__xludf.DUMMYFUNCTION("IFERROR(
$L22/
VLOOKUP(
IF(
 REGEXMATCH($I22,""(?i)agachamento""),""Agachamento"",
 IF(
  REGEXMATCH($I22,""(?i)supino""),""Supino"",
  IF(
   REGEXMATCH($I22,""(?i)terra""),""Terra"",
   IF(
    REGEXMATCH($I22,""(?i)desenvolvimento""),""Desenvolvimento"&amp;""",
    IF(
     REGEXMATCH($I22,""(?i)remada""),""Remada"",
     IF(REGEXMATCH($I22,""(?i)arranco""),""Arranco"",IF(REGEXMATCH($I22,""(?i)arremesso""),""Arremesso"",""""))
    )
   )
  )
 )
),
prs!$A$6:$D$12,
4,
FALSE
)
,"""")"),"")</f>
        <v/>
      </c>
      <c r="N22" s="41"/>
      <c r="O22" s="47"/>
      <c r="P22" s="53"/>
      <c r="Q22" s="36"/>
      <c r="R22" s="36"/>
      <c r="S22" s="38"/>
      <c r="T22" s="41" t="str">
        <f>IFERROR(__xludf.DUMMYFUNCTION("IFERROR(
$S22/
VLOOKUP(
IF(
 REGEXMATCH($P22,""(?i)agachamento""),""Agachamento"",
 IF(
  REGEXMATCH($P22,""(?i)supino""),""Supino"",
  IF(
   REGEXMATCH($P22,""(?i)terra""),""Terra"",
   IF(
    REGEXMATCH($P22,""(?i)desenvolvimento""),""Desenvolvimento"&amp;""",
    IF(
     REGEXMATCH($P22,""(?i)remada""),""Remada"",
     IF(REGEXMATCH($P22,""(?i)arranco""),""Arranco"",IF(REGEXMATCH($P22,""(?i)arremesso""),""Arremesso"",""""))
    )
   )
  )
 )
),
prs!$A$6:$D$12,
4,
FALSE
)
,"""")"),"")</f>
        <v/>
      </c>
      <c r="U22" s="41"/>
      <c r="V22" s="47"/>
      <c r="W22" s="53"/>
      <c r="X22" s="36"/>
      <c r="Y22" s="36"/>
      <c r="Z22" s="38"/>
      <c r="AA22" s="41" t="str">
        <f>IFERROR(__xludf.DUMMYFUNCTION("IFERROR(
$Z22/
VLOOKUP(
IF(
 REGEXMATCH($W22,""(?i)agachamento""),""Agachamento"",
 IF(
  REGEXMATCH($W22,""(?i)supino""),""Supino"",
  IF(
   REGEXMATCH($W22,""(?i)terra""),""Terra"",
   IF(
    REGEXMATCH($W22,""(?i)desenvolvimento""),""Desenvolvimento"&amp;""",
    IF(
     REGEXMATCH($W22,""(?i)remada""),""Remada"",
     IF(REGEXMATCH($W22,""(?i)arranco""),""Arranco"",IF(REGEXMATCH($W22,""(?i)arremesso""),""Arremesso"",""""))
    )
   )
  )
 )
),
prs!$A$6:$D$12,
4,
FALSE
)
,"""")"),"")</f>
        <v/>
      </c>
      <c r="AB22" s="41"/>
      <c r="AC22" s="47"/>
    </row>
    <row r="23" ht="15.75" customHeight="1">
      <c r="A23" s="47"/>
      <c r="B23" s="53"/>
      <c r="C23" s="36"/>
      <c r="D23" s="36"/>
      <c r="E23" s="38"/>
      <c r="F23" s="41" t="str">
        <f>IFERROR(__xludf.DUMMYFUNCTION("IFERROR(
$E23/
VLOOKUP(
IF(
 REGEXMATCH($B23,""(?i)agachamento""),""Agachamento"",
 IF(
  REGEXMATCH($B23,""(?i)supino""),""Supino"",
  IF(
   REGEXMATCH($B23,""(?i)terra""),""Terra"",
   IF(
    REGEXMATCH($B23,""(?i)desenvolvimento""),""Desenvolvimento"&amp;""",
    IF(
     REGEXMATCH($B23,""(?i)remada""),""Remada"",
     IF(REGEXMATCH($B23,""(?i)arranco""),""Arranco"",IF(REGEXMATCH($B23,""(?i)arremesso""),""Arremesso"",""""))
    )
   )
  )
 )
),
prs!$A$6:$D$12,
4,
FALSE
)
,"""")"),"")</f>
        <v/>
      </c>
      <c r="G23" s="41"/>
      <c r="H23" s="44"/>
      <c r="I23" s="53"/>
      <c r="J23" s="36"/>
      <c r="K23" s="36"/>
      <c r="L23" s="38"/>
      <c r="M23" s="41" t="str">
        <f>IFERROR(__xludf.DUMMYFUNCTION("IFERROR(
$L23/
VLOOKUP(
IF(
 REGEXMATCH($I23,""(?i)agachamento""),""Agachamento"",
 IF(
  REGEXMATCH($I23,""(?i)supino""),""Supino"",
  IF(
   REGEXMATCH($I23,""(?i)terra""),""Terra"",
   IF(
    REGEXMATCH($I23,""(?i)desenvolvimento""),""Desenvolvimento"&amp;""",
    IF(
     REGEXMATCH($I23,""(?i)remada""),""Remada"",
     IF(REGEXMATCH($I23,""(?i)arranco""),""Arranco"",IF(REGEXMATCH($I23,""(?i)arremesso""),""Arremesso"",""""))
    )
   )
  )
 )
),
prs!$A$6:$D$12,
4,
FALSE
)
,"""")"),"")</f>
        <v/>
      </c>
      <c r="N23" s="41"/>
      <c r="O23" s="47"/>
      <c r="P23" s="53"/>
      <c r="Q23" s="36"/>
      <c r="R23" s="36"/>
      <c r="S23" s="38"/>
      <c r="T23" s="41" t="str">
        <f>IFERROR(__xludf.DUMMYFUNCTION("IFERROR(
$S23/
VLOOKUP(
IF(
 REGEXMATCH($P23,""(?i)agachamento""),""Agachamento"",
 IF(
  REGEXMATCH($P23,""(?i)supino""),""Supino"",
  IF(
   REGEXMATCH($P23,""(?i)terra""),""Terra"",
   IF(
    REGEXMATCH($P23,""(?i)desenvolvimento""),""Desenvolvimento"&amp;""",
    IF(
     REGEXMATCH($P23,""(?i)remada""),""Remada"",
     IF(REGEXMATCH($P23,""(?i)arranco""),""Arranco"",IF(REGEXMATCH($P23,""(?i)arremesso""),""Arremesso"",""""))
    )
   )
  )
 )
),
prs!$A$6:$D$12,
4,
FALSE
)
,"""")"),"")</f>
        <v/>
      </c>
      <c r="U23" s="41"/>
      <c r="V23" s="47"/>
      <c r="W23" s="53"/>
      <c r="X23" s="36"/>
      <c r="Y23" s="36"/>
      <c r="Z23" s="38"/>
      <c r="AA23" s="41" t="str">
        <f>IFERROR(__xludf.DUMMYFUNCTION("IFERROR(
$Z23/
VLOOKUP(
IF(
 REGEXMATCH($W23,""(?i)agachamento""),""Agachamento"",
 IF(
  REGEXMATCH($W23,""(?i)supino""),""Supino"",
  IF(
   REGEXMATCH($W23,""(?i)terra""),""Terra"",
   IF(
    REGEXMATCH($W23,""(?i)desenvolvimento""),""Desenvolvimento"&amp;""",
    IF(
     REGEXMATCH($W23,""(?i)remada""),""Remada"",
     IF(REGEXMATCH($W23,""(?i)arranco""),""Arranco"",IF(REGEXMATCH($W23,""(?i)arremesso""),""Arremesso"",""""))
    )
   )
  )
 )
),
prs!$A$6:$D$12,
4,
FALSE
)
,"""")"),"")</f>
        <v/>
      </c>
      <c r="AB23" s="41"/>
      <c r="AC23" s="47"/>
    </row>
    <row r="24" ht="15.75" customHeight="1">
      <c r="A24" s="47"/>
      <c r="B24" s="53"/>
      <c r="C24" s="50"/>
      <c r="D24" s="50"/>
      <c r="E24" s="51"/>
      <c r="F24" s="41" t="str">
        <f>IFERROR(__xludf.DUMMYFUNCTION("IFERROR(
$E24/
VLOOKUP(
IF(
 REGEXMATCH($B24,""(?i)agachamento""),""Agachamento"",
 IF(
  REGEXMATCH($B24,""(?i)supino""),""Supino"",
  IF(
   REGEXMATCH($B24,""(?i)terra""),""Terra"",
   IF(
    REGEXMATCH($B24,""(?i)desenvolvimento""),""Desenvolvimento"&amp;""",
    IF(
     REGEXMATCH($B24,""(?i)remada""),""Remada"",
     IF(REGEXMATCH($B24,""(?i)arranco""),""Arranco"",IF(REGEXMATCH($B24,""(?i)arremesso""),""Arremesso"",""""))
    )
   )
  )
 )
),
prs!$A$6:$D$12,
4,
FALSE
)
,"""")"),"")</f>
        <v/>
      </c>
      <c r="G24" s="41"/>
      <c r="H24" s="44"/>
      <c r="I24" s="53"/>
      <c r="J24" s="50"/>
      <c r="K24" s="50"/>
      <c r="L24" s="51"/>
      <c r="M24" s="41" t="str">
        <f>IFERROR(__xludf.DUMMYFUNCTION("IFERROR(
$L24/
VLOOKUP(
IF(
 REGEXMATCH($I24,""(?i)agachamento""),""Agachamento"",
 IF(
  REGEXMATCH($I24,""(?i)supino""),""Supino"",
  IF(
   REGEXMATCH($I24,""(?i)terra""),""Terra"",
   IF(
    REGEXMATCH($I24,""(?i)desenvolvimento""),""Desenvolvimento"&amp;""",
    IF(
     REGEXMATCH($I24,""(?i)remada""),""Remada"",
     IF(REGEXMATCH($I24,""(?i)arranco""),""Arranco"",IF(REGEXMATCH($I24,""(?i)arremesso""),""Arremesso"",""""))
    )
   )
  )
 )
),
prs!$A$6:$D$12,
4,
FALSE
)
,"""")"),"")</f>
        <v/>
      </c>
      <c r="N24" s="41"/>
      <c r="O24" s="47"/>
      <c r="P24" s="53"/>
      <c r="Q24" s="50"/>
      <c r="R24" s="50"/>
      <c r="S24" s="51"/>
      <c r="T24" s="41" t="str">
        <f>IFERROR(__xludf.DUMMYFUNCTION("IFERROR(
$S24/
VLOOKUP(
IF(
 REGEXMATCH($P24,""(?i)agachamento""),""Agachamento"",
 IF(
  REGEXMATCH($P24,""(?i)supino""),""Supino"",
  IF(
   REGEXMATCH($P24,""(?i)terra""),""Terra"",
   IF(
    REGEXMATCH($P24,""(?i)desenvolvimento""),""Desenvolvimento"&amp;""",
    IF(
     REGEXMATCH($P24,""(?i)remada""),""Remada"",
     IF(REGEXMATCH($P24,""(?i)arranco""),""Arranco"",IF(REGEXMATCH($P24,""(?i)arremesso""),""Arremesso"",""""))
    )
   )
  )
 )
),
prs!$A$6:$D$12,
4,
FALSE
)
,"""")"),"")</f>
        <v/>
      </c>
      <c r="U24" s="41"/>
      <c r="V24" s="47"/>
      <c r="W24" s="53"/>
      <c r="X24" s="50"/>
      <c r="Y24" s="50"/>
      <c r="Z24" s="51"/>
      <c r="AA24" s="41" t="str">
        <f>IFERROR(__xludf.DUMMYFUNCTION("IFERROR(
$Z24/
VLOOKUP(
IF(
 REGEXMATCH($W24,""(?i)agachamento""),""Agachamento"",
 IF(
  REGEXMATCH($W24,""(?i)supino""),""Supino"",
  IF(
   REGEXMATCH($W24,""(?i)terra""),""Terra"",
   IF(
    REGEXMATCH($W24,""(?i)desenvolvimento""),""Desenvolvimento"&amp;""",
    IF(
     REGEXMATCH($W24,""(?i)remada""),""Remada"",
     IF(REGEXMATCH($W24,""(?i)arranco""),""Arranco"",IF(REGEXMATCH($W24,""(?i)arremesso""),""Arremesso"",""""))
    )
   )
  )
 )
),
prs!$A$6:$D$12,
4,
FALSE
)
,"""")"),"")</f>
        <v/>
      </c>
      <c r="AB24" s="41"/>
      <c r="AC24" s="47"/>
    </row>
    <row r="25" ht="15.75" customHeight="1">
      <c r="A25" s="47"/>
      <c r="B25" s="53"/>
      <c r="C25" s="50"/>
      <c r="D25" s="50"/>
      <c r="E25" s="51"/>
      <c r="F25" s="41" t="str">
        <f>IFERROR(__xludf.DUMMYFUNCTION("IFERROR(
$E25/
VLOOKUP(
IF(
 REGEXMATCH($B25,""(?i)agachamento""),""Agachamento"",
 IF(
  REGEXMATCH($B25,""(?i)supino""),""Supino"",
  IF(
   REGEXMATCH($B25,""(?i)terra""),""Terra"",
   IF(
    REGEXMATCH($B25,""(?i)desenvolvimento""),""Desenvolvimento"&amp;""",
    IF(
     REGEXMATCH($B25,""(?i)remada""),""Remada"",
     IF(REGEXMATCH($B25,""(?i)arranco""),""Arranco"",IF(REGEXMATCH($B25,""(?i)arremesso""),""Arremesso"",""""))
    )
   )
  )
 )
),
prs!$A$6:$D$12,
4,
FALSE
)
,"""")"),"")</f>
        <v/>
      </c>
      <c r="G25" s="41"/>
      <c r="H25" s="44"/>
      <c r="I25" s="53"/>
      <c r="J25" s="50"/>
      <c r="K25" s="50"/>
      <c r="L25" s="51"/>
      <c r="M25" s="41" t="str">
        <f>IFERROR(__xludf.DUMMYFUNCTION("IFERROR(
$L25/
VLOOKUP(
IF(
 REGEXMATCH($I25,""(?i)agachamento""),""Agachamento"",
 IF(
  REGEXMATCH($I25,""(?i)supino""),""Supino"",
  IF(
   REGEXMATCH($I25,""(?i)terra""),""Terra"",
   IF(
    REGEXMATCH($I25,""(?i)desenvolvimento""),""Desenvolvimento"&amp;""",
    IF(
     REGEXMATCH($I25,""(?i)remada""),""Remada"",
     IF(REGEXMATCH($I25,""(?i)arranco""),""Arranco"",IF(REGEXMATCH($I25,""(?i)arremesso""),""Arremesso"",""""))
    )
   )
  )
 )
),
prs!$A$6:$D$12,
4,
FALSE
)
,"""")"),"")</f>
        <v/>
      </c>
      <c r="N25" s="41"/>
      <c r="O25" s="47"/>
      <c r="P25" s="53"/>
      <c r="Q25" s="50"/>
      <c r="R25" s="50"/>
      <c r="S25" s="51"/>
      <c r="T25" s="41" t="str">
        <f>IFERROR(__xludf.DUMMYFUNCTION("IFERROR(
$S25/
VLOOKUP(
IF(
 REGEXMATCH($P25,""(?i)agachamento""),""Agachamento"",
 IF(
  REGEXMATCH($P25,""(?i)supino""),""Supino"",
  IF(
   REGEXMATCH($P25,""(?i)terra""),""Terra"",
   IF(
    REGEXMATCH($P25,""(?i)desenvolvimento""),""Desenvolvimento"&amp;""",
    IF(
     REGEXMATCH($P25,""(?i)remada""),""Remada"",
     IF(REGEXMATCH($P25,""(?i)arranco""),""Arranco"",IF(REGEXMATCH($P25,""(?i)arremesso""),""Arremesso"",""""))
    )
   )
  )
 )
),
prs!$A$6:$D$12,
4,
FALSE
)
,"""")"),"")</f>
        <v/>
      </c>
      <c r="U25" s="41"/>
      <c r="V25" s="47"/>
      <c r="W25" s="53"/>
      <c r="X25" s="50"/>
      <c r="Y25" s="50"/>
      <c r="Z25" s="51"/>
      <c r="AA25" s="41" t="str">
        <f>IFERROR(__xludf.DUMMYFUNCTION("IFERROR(
$Z25/
VLOOKUP(
IF(
 REGEXMATCH($W25,""(?i)agachamento""),""Agachamento"",
 IF(
  REGEXMATCH($W25,""(?i)supino""),""Supino"",
  IF(
   REGEXMATCH($W25,""(?i)terra""),""Terra"",
   IF(
    REGEXMATCH($W25,""(?i)desenvolvimento""),""Desenvolvimento"&amp;""",
    IF(
     REGEXMATCH($W25,""(?i)remada""),""Remada"",
     IF(REGEXMATCH($W25,""(?i)arranco""),""Arranco"",IF(REGEXMATCH($W25,""(?i)arremesso""),""Arremesso"",""""))
    )
   )
  )
 )
),
prs!$A$6:$D$12,
4,
FALSE
)
,"""")"),"")</f>
        <v/>
      </c>
      <c r="AB25" s="41"/>
      <c r="AC25" s="47"/>
    </row>
    <row r="26" ht="15.75" customHeight="1">
      <c r="A26" s="47"/>
      <c r="B26" s="53"/>
      <c r="C26" s="50"/>
      <c r="D26" s="50"/>
      <c r="E26" s="51"/>
      <c r="F26" s="41" t="str">
        <f>IFERROR(__xludf.DUMMYFUNCTION("IFERROR(
$E26/
VLOOKUP(
IF(
 REGEXMATCH($B26,""(?i)agachamento""),""Agachamento"",
 IF(
  REGEXMATCH($B26,""(?i)supino""),""Supino"",
  IF(
   REGEXMATCH($B26,""(?i)terra""),""Terra"",
   IF(
    REGEXMATCH($B26,""(?i)desenvolvimento""),""Desenvolvimento"&amp;""",
    IF(
     REGEXMATCH($B26,""(?i)remada""),""Remada"",
     IF(REGEXMATCH($B26,""(?i)arranco""),""Arranco"",IF(REGEXMATCH($B26,""(?i)arremesso""),""Arremesso"",""""))
    )
   )
  )
 )
),
prs!$A$6:$D$12,
4,
FALSE
)
,"""")"),"")</f>
        <v/>
      </c>
      <c r="G26" s="41"/>
      <c r="H26" s="44"/>
      <c r="I26" s="53"/>
      <c r="J26" s="50"/>
      <c r="K26" s="50"/>
      <c r="L26" s="51"/>
      <c r="M26" s="41" t="str">
        <f>IFERROR(__xludf.DUMMYFUNCTION("IFERROR(
$L26/
VLOOKUP(
IF(
 REGEXMATCH($I26,""(?i)agachamento""),""Agachamento"",
 IF(
  REGEXMATCH($I26,""(?i)supino""),""Supino"",
  IF(
   REGEXMATCH($I26,""(?i)terra""),""Terra"",
   IF(
    REGEXMATCH($I26,""(?i)desenvolvimento""),""Desenvolvimento"&amp;""",
    IF(
     REGEXMATCH($I26,""(?i)remada""),""Remada"",
     IF(REGEXMATCH($I26,""(?i)arranco""),""Arranco"",IF(REGEXMATCH($I26,""(?i)arremesso""),""Arremesso"",""""))
    )
   )
  )
 )
),
prs!$A$6:$D$12,
4,
FALSE
)
,"""")"),"")</f>
        <v/>
      </c>
      <c r="N26" s="41"/>
      <c r="O26" s="47"/>
      <c r="P26" s="53"/>
      <c r="Q26" s="50"/>
      <c r="R26" s="50"/>
      <c r="S26" s="51"/>
      <c r="T26" s="41" t="str">
        <f>IFERROR(__xludf.DUMMYFUNCTION("IFERROR(
$S26/
VLOOKUP(
IF(
 REGEXMATCH($P26,""(?i)agachamento""),""Agachamento"",
 IF(
  REGEXMATCH($P26,""(?i)supino""),""Supino"",
  IF(
   REGEXMATCH($P26,""(?i)terra""),""Terra"",
   IF(
    REGEXMATCH($P26,""(?i)desenvolvimento""),""Desenvolvimento"&amp;""",
    IF(
     REGEXMATCH($P26,""(?i)remada""),""Remada"",
     IF(REGEXMATCH($P26,""(?i)arranco""),""Arranco"",IF(REGEXMATCH($P26,""(?i)arremesso""),""Arremesso"",""""))
    )
   )
  )
 )
),
prs!$A$6:$D$12,
4,
FALSE
)
,"""")"),"")</f>
        <v/>
      </c>
      <c r="U26" s="41"/>
      <c r="V26" s="47"/>
      <c r="W26" s="53"/>
      <c r="X26" s="50"/>
      <c r="Y26" s="50"/>
      <c r="Z26" s="51"/>
      <c r="AA26" s="41" t="str">
        <f>IFERROR(__xludf.DUMMYFUNCTION("IFERROR(
$Z26/
VLOOKUP(
IF(
 REGEXMATCH($W26,""(?i)agachamento""),""Agachamento"",
 IF(
  REGEXMATCH($W26,""(?i)supino""),""Supino"",
  IF(
   REGEXMATCH($W26,""(?i)terra""),""Terra"",
   IF(
    REGEXMATCH($W26,""(?i)desenvolvimento""),""Desenvolvimento"&amp;""",
    IF(
     REGEXMATCH($W26,""(?i)remada""),""Remada"",
     IF(REGEXMATCH($W26,""(?i)arranco""),""Arranco"",IF(REGEXMATCH($W26,""(?i)arremesso""),""Arremesso"",""""))
    )
   )
  )
 )
),
prs!$A$6:$D$12,
4,
FALSE
)
,"""")"),"")</f>
        <v/>
      </c>
      <c r="AB26" s="41"/>
      <c r="AC26" s="47"/>
    </row>
    <row r="27" ht="15.75" customHeight="1">
      <c r="A27" s="47"/>
      <c r="B27" s="53"/>
      <c r="C27" s="50"/>
      <c r="D27" s="50"/>
      <c r="E27" s="51"/>
      <c r="F27" s="41" t="str">
        <f>IFERROR(__xludf.DUMMYFUNCTION("IFERROR(
$E27/
VLOOKUP(
IF(
 REGEXMATCH($B27,""(?i)agachamento""),""Agachamento"",
 IF(
  REGEXMATCH($B27,""(?i)supino""),""Supino"",
  IF(
   REGEXMATCH($B27,""(?i)terra""),""Terra"",
   IF(
    REGEXMATCH($B27,""(?i)desenvolvimento""),""Desenvolvimento"&amp;""",
    IF(
     REGEXMATCH($B27,""(?i)remada""),""Remada"",
     IF(REGEXMATCH($B27,""(?i)arranco""),""Arranco"",IF(REGEXMATCH($B27,""(?i)arremesso""),""Arremesso"",""""))
    )
   )
  )
 )
),
prs!$A$6:$D$12,
4,
FALSE
)
,"""")"),"")</f>
        <v/>
      </c>
      <c r="G27" s="41"/>
      <c r="H27" s="44"/>
      <c r="I27" s="53"/>
      <c r="J27" s="50"/>
      <c r="K27" s="50"/>
      <c r="L27" s="51"/>
      <c r="M27" s="41" t="str">
        <f>IFERROR(__xludf.DUMMYFUNCTION("IFERROR(
$L27/
VLOOKUP(
IF(
 REGEXMATCH($I27,""(?i)agachamento""),""Agachamento"",
 IF(
  REGEXMATCH($I27,""(?i)supino""),""Supino"",
  IF(
   REGEXMATCH($I27,""(?i)terra""),""Terra"",
   IF(
    REGEXMATCH($I27,""(?i)desenvolvimento""),""Desenvolvimento"&amp;""",
    IF(
     REGEXMATCH($I27,""(?i)remada""),""Remada"",
     IF(REGEXMATCH($I27,""(?i)arranco""),""Arranco"",IF(REGEXMATCH($I27,""(?i)arremesso""),""Arremesso"",""""))
    )
   )
  )
 )
),
prs!$A$6:$D$12,
4,
FALSE
)
,"""")"),"")</f>
        <v/>
      </c>
      <c r="N27" s="41"/>
      <c r="O27" s="47"/>
      <c r="P27" s="53"/>
      <c r="Q27" s="50"/>
      <c r="R27" s="50"/>
      <c r="S27" s="51"/>
      <c r="T27" s="41" t="str">
        <f>IFERROR(__xludf.DUMMYFUNCTION("IFERROR(
$S27/
VLOOKUP(
IF(
 REGEXMATCH($P27,""(?i)agachamento""),""Agachamento"",
 IF(
  REGEXMATCH($P27,""(?i)supino""),""Supino"",
  IF(
   REGEXMATCH($P27,""(?i)terra""),""Terra"",
   IF(
    REGEXMATCH($P27,""(?i)desenvolvimento""),""Desenvolvimento"&amp;""",
    IF(
     REGEXMATCH($P27,""(?i)remada""),""Remada"",
     IF(REGEXMATCH($P27,""(?i)arranco""),""Arranco"",IF(REGEXMATCH($P27,""(?i)arremesso""),""Arremesso"",""""))
    )
   )
  )
 )
),
prs!$A$6:$D$12,
4,
FALSE
)
,"""")"),"")</f>
        <v/>
      </c>
      <c r="U27" s="41"/>
      <c r="V27" s="47"/>
      <c r="W27" s="53"/>
      <c r="X27" s="50"/>
      <c r="Y27" s="50"/>
      <c r="Z27" s="51"/>
      <c r="AA27" s="41" t="str">
        <f>IFERROR(__xludf.DUMMYFUNCTION("IFERROR(
$Z27/
VLOOKUP(
IF(
 REGEXMATCH($W27,""(?i)agachamento""),""Agachamento"",
 IF(
  REGEXMATCH($W27,""(?i)supino""),""Supino"",
  IF(
   REGEXMATCH($W27,""(?i)terra""),""Terra"",
   IF(
    REGEXMATCH($W27,""(?i)desenvolvimento""),""Desenvolvimento"&amp;""",
    IF(
     REGEXMATCH($W27,""(?i)remada""),""Remada"",
     IF(REGEXMATCH($W27,""(?i)arranco""),""Arranco"",IF(REGEXMATCH($W27,""(?i)arremesso""),""Arremesso"",""""))
    )
   )
  )
 )
),
prs!$A$6:$D$12,
4,
FALSE
)
,"""")"),"")</f>
        <v/>
      </c>
      <c r="AB27" s="41"/>
      <c r="AC27" s="47"/>
    </row>
    <row r="28" ht="15.75" customHeight="1">
      <c r="A28" s="47"/>
      <c r="B28" s="53"/>
      <c r="C28" s="50"/>
      <c r="D28" s="50"/>
      <c r="E28" s="51"/>
      <c r="F28" s="41" t="str">
        <f>IFERROR(__xludf.DUMMYFUNCTION("IFERROR(
$E28/
VLOOKUP(
IF(
 REGEXMATCH($B28,""(?i)agachamento""),""Agachamento"",
 IF(
  REGEXMATCH($B28,""(?i)supino""),""Supino"",
  IF(
   REGEXMATCH($B28,""(?i)terra""),""Terra"",
   IF(
    REGEXMATCH($B28,""(?i)desenvolvimento""),""Desenvolvimento"&amp;""",
    IF(
     REGEXMATCH($B28,""(?i)remada""),""Remada"",
     IF(REGEXMATCH($B28,""(?i)arranco""),""Arranco"",IF(REGEXMATCH($B28,""(?i)arremesso""),""Arremesso"",""""))
    )
   )
  )
 )
),
prs!$A$6:$D$12,
4,
FALSE
)
,"""")"),"")</f>
        <v/>
      </c>
      <c r="G28" s="41"/>
      <c r="H28" s="44"/>
      <c r="I28" s="53"/>
      <c r="J28" s="50"/>
      <c r="K28" s="50"/>
      <c r="L28" s="51"/>
      <c r="M28" s="41" t="str">
        <f>IFERROR(__xludf.DUMMYFUNCTION("IFERROR(
$L28/
VLOOKUP(
IF(
 REGEXMATCH($I28,""(?i)agachamento""),""Agachamento"",
 IF(
  REGEXMATCH($I28,""(?i)supino""),""Supino"",
  IF(
   REGEXMATCH($I28,""(?i)terra""),""Terra"",
   IF(
    REGEXMATCH($I28,""(?i)desenvolvimento""),""Desenvolvimento"&amp;""",
    IF(
     REGEXMATCH($I28,""(?i)remada""),""Remada"",
     IF(REGEXMATCH($I28,""(?i)arranco""),""Arranco"",IF(REGEXMATCH($I28,""(?i)arremesso""),""Arremesso"",""""))
    )
   )
  )
 )
),
prs!$A$6:$D$12,
4,
FALSE
)
,"""")"),"")</f>
        <v/>
      </c>
      <c r="N28" s="41"/>
      <c r="O28" s="47"/>
      <c r="P28" s="53"/>
      <c r="Q28" s="50"/>
      <c r="R28" s="50"/>
      <c r="S28" s="51"/>
      <c r="T28" s="41" t="str">
        <f>IFERROR(__xludf.DUMMYFUNCTION("IFERROR(
$S28/
VLOOKUP(
IF(
 REGEXMATCH($P28,""(?i)agachamento""),""Agachamento"",
 IF(
  REGEXMATCH($P28,""(?i)supino""),""Supino"",
  IF(
   REGEXMATCH($P28,""(?i)terra""),""Terra"",
   IF(
    REGEXMATCH($P28,""(?i)desenvolvimento""),""Desenvolvimento"&amp;""",
    IF(
     REGEXMATCH($P28,""(?i)remada""),""Remada"",
     IF(REGEXMATCH($P28,""(?i)arranco""),""Arranco"",IF(REGEXMATCH($P28,""(?i)arremesso""),""Arremesso"",""""))
    )
   )
  )
 )
),
prs!$A$6:$D$12,
4,
FALSE
)
,"""")"),"")</f>
        <v/>
      </c>
      <c r="U28" s="41"/>
      <c r="V28" s="47"/>
      <c r="W28" s="53"/>
      <c r="X28" s="50"/>
      <c r="Y28" s="50"/>
      <c r="Z28" s="51"/>
      <c r="AA28" s="41" t="str">
        <f>IFERROR(__xludf.DUMMYFUNCTION("IFERROR(
$Z28/
VLOOKUP(
IF(
 REGEXMATCH($W28,""(?i)agachamento""),""Agachamento"",
 IF(
  REGEXMATCH($W28,""(?i)supino""),""Supino"",
  IF(
   REGEXMATCH($W28,""(?i)terra""),""Terra"",
   IF(
    REGEXMATCH($W28,""(?i)desenvolvimento""),""Desenvolvimento"&amp;""",
    IF(
     REGEXMATCH($W28,""(?i)remada""),""Remada"",
     IF(REGEXMATCH($W28,""(?i)arranco""),""Arranco"",IF(REGEXMATCH($W28,""(?i)arremesso""),""Arremesso"",""""))
    )
   )
  )
 )
),
prs!$A$6:$D$12,
4,
FALSE
)
,"""")"),"")</f>
        <v/>
      </c>
      <c r="AB28" s="41"/>
      <c r="AC28" s="47"/>
    </row>
    <row r="29" ht="15.75" customHeight="1">
      <c r="A29" s="47"/>
      <c r="B29" s="53"/>
      <c r="C29" s="50"/>
      <c r="D29" s="50"/>
      <c r="E29" s="51"/>
      <c r="F29" s="41" t="str">
        <f>IFERROR(__xludf.DUMMYFUNCTION("IFERROR(
$E29/
VLOOKUP(
IF(
 REGEXMATCH($B29,""(?i)agachamento""),""Agachamento"",
 IF(
  REGEXMATCH($B29,""(?i)supino""),""Supino"",
  IF(
   REGEXMATCH($B29,""(?i)terra""),""Terra"",
   IF(
    REGEXMATCH($B29,""(?i)desenvolvimento""),""Desenvolvimento"&amp;""",
    IF(
     REGEXMATCH($B29,""(?i)remada""),""Remada"",
     IF(REGEXMATCH($B29,""(?i)arranco""),""Arranco"",IF(REGEXMATCH($B29,""(?i)arremesso""),""Arremesso"",""""))
    )
   )
  )
 )
),
prs!$A$6:$D$12,
4,
FALSE
)
,"""")"),"")</f>
        <v/>
      </c>
      <c r="G29" s="41"/>
      <c r="H29" s="44"/>
      <c r="I29" s="53"/>
      <c r="J29" s="50"/>
      <c r="K29" s="50"/>
      <c r="L29" s="51"/>
      <c r="M29" s="41" t="str">
        <f>IFERROR(__xludf.DUMMYFUNCTION("IFERROR(
$L29/
VLOOKUP(
IF(
 REGEXMATCH($I29,""(?i)agachamento""),""Agachamento"",
 IF(
  REGEXMATCH($I29,""(?i)supino""),""Supino"",
  IF(
   REGEXMATCH($I29,""(?i)terra""),""Terra"",
   IF(
    REGEXMATCH($I29,""(?i)desenvolvimento""),""Desenvolvimento"&amp;""",
    IF(
     REGEXMATCH($I29,""(?i)remada""),""Remada"",
     IF(REGEXMATCH($I29,""(?i)arranco""),""Arranco"",IF(REGEXMATCH($I29,""(?i)arremesso""),""Arremesso"",""""))
    )
   )
  )
 )
),
prs!$A$6:$D$12,
4,
FALSE
)
,"""")"),"")</f>
        <v/>
      </c>
      <c r="N29" s="41"/>
      <c r="O29" s="47"/>
      <c r="P29" s="53"/>
      <c r="Q29" s="50"/>
      <c r="R29" s="50"/>
      <c r="S29" s="51"/>
      <c r="T29" s="41" t="str">
        <f>IFERROR(__xludf.DUMMYFUNCTION("IFERROR(
$S29/
VLOOKUP(
IF(
 REGEXMATCH($P29,""(?i)agachamento""),""Agachamento"",
 IF(
  REGEXMATCH($P29,""(?i)supino""),""Supino"",
  IF(
   REGEXMATCH($P29,""(?i)terra""),""Terra"",
   IF(
    REGEXMATCH($P29,""(?i)desenvolvimento""),""Desenvolvimento"&amp;""",
    IF(
     REGEXMATCH($P29,""(?i)remada""),""Remada"",
     IF(REGEXMATCH($P29,""(?i)arranco""),""Arranco"",IF(REGEXMATCH($P29,""(?i)arremesso""),""Arremesso"",""""))
    )
   )
  )
 )
),
prs!$A$6:$D$12,
4,
FALSE
)
,"""")"),"")</f>
        <v/>
      </c>
      <c r="U29" s="41"/>
      <c r="V29" s="47"/>
      <c r="W29" s="53"/>
      <c r="X29" s="50"/>
      <c r="Y29" s="50"/>
      <c r="Z29" s="51"/>
      <c r="AA29" s="41" t="str">
        <f>IFERROR(__xludf.DUMMYFUNCTION("IFERROR(
$Z29/
VLOOKUP(
IF(
 REGEXMATCH($W29,""(?i)agachamento""),""Agachamento"",
 IF(
  REGEXMATCH($W29,""(?i)supino""),""Supino"",
  IF(
   REGEXMATCH($W29,""(?i)terra""),""Terra"",
   IF(
    REGEXMATCH($W29,""(?i)desenvolvimento""),""Desenvolvimento"&amp;""",
    IF(
     REGEXMATCH($W29,""(?i)remada""),""Remada"",
     IF(REGEXMATCH($W29,""(?i)arranco""),""Arranco"",IF(REGEXMATCH($W29,""(?i)arremesso""),""Arremesso"",""""))
    )
   )
  )
 )
),
prs!$A$6:$D$12,
4,
FALSE
)
,"""")"),"")</f>
        <v/>
      </c>
      <c r="AB29" s="41"/>
      <c r="AC29" s="47"/>
    </row>
    <row r="30" ht="15.75" customHeight="1">
      <c r="A30" s="47"/>
      <c r="B30" s="53"/>
      <c r="C30" s="50"/>
      <c r="D30" s="50"/>
      <c r="E30" s="51"/>
      <c r="F30" s="41" t="str">
        <f>IFERROR(__xludf.DUMMYFUNCTION("IFERROR(
$E30/
VLOOKUP(
IF(
 REGEXMATCH($B30,""(?i)agachamento""),""Agachamento"",
 IF(
  REGEXMATCH($B30,""(?i)supino""),""Supino"",
  IF(
   REGEXMATCH($B30,""(?i)terra""),""Terra"",
   IF(
    REGEXMATCH($B30,""(?i)desenvolvimento""),""Desenvolvimento"&amp;""",
    IF(
     REGEXMATCH($B30,""(?i)remada""),""Remada"",
     IF(REGEXMATCH($B30,""(?i)arranco""),""Arranco"",IF(REGEXMATCH($B30,""(?i)arremesso""),""Arremesso"",""""))
    )
   )
  )
 )
),
prs!$A$6:$D$12,
4,
FALSE
)
,"""")"),"")</f>
        <v/>
      </c>
      <c r="G30" s="41"/>
      <c r="H30" s="44"/>
      <c r="I30" s="53"/>
      <c r="J30" s="50"/>
      <c r="K30" s="50"/>
      <c r="L30" s="51"/>
      <c r="M30" s="41" t="str">
        <f>IFERROR(__xludf.DUMMYFUNCTION("IFERROR(
$L30/
VLOOKUP(
IF(
 REGEXMATCH($I30,""(?i)agachamento""),""Agachamento"",
 IF(
  REGEXMATCH($I30,""(?i)supino""),""Supino"",
  IF(
   REGEXMATCH($I30,""(?i)terra""),""Terra"",
   IF(
    REGEXMATCH($I30,""(?i)desenvolvimento""),""Desenvolvimento"&amp;""",
    IF(
     REGEXMATCH($I30,""(?i)remada""),""Remada"",
     IF(REGEXMATCH($I30,""(?i)arranco""),""Arranco"",IF(REGEXMATCH($I30,""(?i)arremesso""),""Arremesso"",""""))
    )
   )
  )
 )
),
prs!$A$6:$D$12,
4,
FALSE
)
,"""")"),"")</f>
        <v/>
      </c>
      <c r="N30" s="41"/>
      <c r="O30" s="47"/>
      <c r="P30" s="53"/>
      <c r="Q30" s="50"/>
      <c r="R30" s="50"/>
      <c r="S30" s="51"/>
      <c r="T30" s="41" t="str">
        <f>IFERROR(__xludf.DUMMYFUNCTION("IFERROR(
$S30/
VLOOKUP(
IF(
 REGEXMATCH($P30,""(?i)agachamento""),""Agachamento"",
 IF(
  REGEXMATCH($P30,""(?i)supino""),""Supino"",
  IF(
   REGEXMATCH($P30,""(?i)terra""),""Terra"",
   IF(
    REGEXMATCH($P30,""(?i)desenvolvimento""),""Desenvolvimento"&amp;""",
    IF(
     REGEXMATCH($P30,""(?i)remada""),""Remada"",
     IF(REGEXMATCH($P30,""(?i)arranco""),""Arranco"",IF(REGEXMATCH($P30,""(?i)arremesso""),""Arremesso"",""""))
    )
   )
  )
 )
),
prs!$A$6:$D$12,
4,
FALSE
)
,"""")"),"")</f>
        <v/>
      </c>
      <c r="U30" s="41"/>
      <c r="V30" s="47"/>
      <c r="W30" s="53"/>
      <c r="X30" s="50"/>
      <c r="Y30" s="50"/>
      <c r="Z30" s="51"/>
      <c r="AA30" s="41" t="str">
        <f>IFERROR(__xludf.DUMMYFUNCTION("IFERROR(
$Z30/
VLOOKUP(
IF(
 REGEXMATCH($W30,""(?i)agachamento""),""Agachamento"",
 IF(
  REGEXMATCH($W30,""(?i)supino""),""Supino"",
  IF(
   REGEXMATCH($W30,""(?i)terra""),""Terra"",
   IF(
    REGEXMATCH($W30,""(?i)desenvolvimento""),""Desenvolvimento"&amp;""",
    IF(
     REGEXMATCH($W30,""(?i)remada""),""Remada"",
     IF(REGEXMATCH($W30,""(?i)arranco""),""Arranco"",IF(REGEXMATCH($W30,""(?i)arremesso""),""Arremesso"",""""))
    )
   )
  )
 )
),
prs!$A$6:$D$12,
4,
FALSE
)
,"""")"),"")</f>
        <v/>
      </c>
      <c r="AB30" s="41"/>
      <c r="AC30" s="47"/>
    </row>
    <row r="31" ht="15.75" customHeight="1">
      <c r="A31" s="52"/>
      <c r="B31" s="52"/>
      <c r="C31" s="37" t="s">
        <v>20</v>
      </c>
      <c r="H31" s="18"/>
      <c r="I31" s="52"/>
      <c r="J31" s="37" t="s">
        <v>23</v>
      </c>
      <c r="O31" s="18"/>
      <c r="P31" s="52"/>
      <c r="Q31" s="37" t="s">
        <v>24</v>
      </c>
      <c r="V31" s="18"/>
      <c r="W31" s="52"/>
      <c r="X31" s="37" t="s">
        <v>25</v>
      </c>
      <c r="AC31" s="44"/>
    </row>
    <row r="32" ht="15.75" customHeight="1">
      <c r="A32" s="11"/>
      <c r="B32" s="54"/>
      <c r="C32" s="11"/>
      <c r="D32" s="11"/>
      <c r="H32" s="11"/>
      <c r="I32" s="54"/>
      <c r="J32" s="11"/>
      <c r="K32" s="11"/>
      <c r="O32" s="11"/>
      <c r="P32" s="54"/>
      <c r="Q32" s="11"/>
      <c r="R32" s="11"/>
      <c r="V32" s="11"/>
      <c r="W32" s="54"/>
      <c r="X32" s="11"/>
      <c r="Y32" s="11"/>
      <c r="AC32" s="11"/>
    </row>
    <row r="33" ht="15.75" customHeight="1">
      <c r="A33" s="2" t="s">
        <v>26</v>
      </c>
      <c r="B33" s="13"/>
      <c r="C33" s="37"/>
      <c r="H33" s="18"/>
      <c r="I33" s="13"/>
      <c r="J33" s="37"/>
      <c r="O33" s="18"/>
      <c r="P33" s="13"/>
      <c r="Q33" s="37"/>
      <c r="V33" s="18"/>
      <c r="W33" s="13"/>
      <c r="X33" s="37"/>
      <c r="AC33" s="11"/>
    </row>
    <row r="34" ht="15.75" customHeight="1">
      <c r="A34" s="2"/>
      <c r="B34" s="2"/>
      <c r="C34" s="5" t="s">
        <v>10</v>
      </c>
      <c r="D34" s="5" t="s">
        <v>12</v>
      </c>
      <c r="E34" s="5" t="s">
        <v>13</v>
      </c>
      <c r="F34" s="5" t="s">
        <v>14</v>
      </c>
      <c r="G34" s="5" t="s">
        <v>15</v>
      </c>
      <c r="H34" s="18"/>
      <c r="I34" s="2"/>
      <c r="J34" s="5" t="s">
        <v>10</v>
      </c>
      <c r="K34" s="5" t="s">
        <v>12</v>
      </c>
      <c r="L34" s="5" t="s">
        <v>13</v>
      </c>
      <c r="M34" s="5" t="s">
        <v>14</v>
      </c>
      <c r="N34" s="5" t="s">
        <v>15</v>
      </c>
      <c r="O34" s="18"/>
      <c r="P34" s="2"/>
      <c r="Q34" s="5" t="s">
        <v>10</v>
      </c>
      <c r="R34" s="5" t="s">
        <v>12</v>
      </c>
      <c r="S34" s="5" t="s">
        <v>13</v>
      </c>
      <c r="T34" s="5" t="s">
        <v>14</v>
      </c>
      <c r="U34" s="5" t="s">
        <v>15</v>
      </c>
      <c r="V34" s="18"/>
      <c r="W34" s="2"/>
      <c r="X34" s="5" t="s">
        <v>10</v>
      </c>
      <c r="Y34" s="5" t="s">
        <v>12</v>
      </c>
      <c r="Z34" s="5" t="s">
        <v>13</v>
      </c>
      <c r="AA34" s="5" t="s">
        <v>14</v>
      </c>
      <c r="AB34" s="5" t="s">
        <v>15</v>
      </c>
      <c r="AC34" s="18"/>
    </row>
    <row r="35" ht="15.75" customHeight="1">
      <c r="A35" s="2"/>
      <c r="B35" s="2" t="s">
        <v>16</v>
      </c>
      <c r="C35" s="29"/>
      <c r="D35" s="5"/>
      <c r="E35" s="5"/>
      <c r="F35" s="5" t="s">
        <v>17</v>
      </c>
      <c r="G35" s="5"/>
      <c r="H35" s="18"/>
      <c r="I35" s="2" t="s">
        <v>16</v>
      </c>
      <c r="J35" s="29"/>
      <c r="K35" s="5"/>
      <c r="L35" s="5"/>
      <c r="M35" s="5" t="s">
        <v>17</v>
      </c>
      <c r="N35" s="5"/>
      <c r="O35" s="18"/>
      <c r="P35" s="2" t="s">
        <v>16</v>
      </c>
      <c r="Q35" s="29"/>
      <c r="R35" s="5"/>
      <c r="S35" s="5"/>
      <c r="T35" s="5" t="s">
        <v>17</v>
      </c>
      <c r="U35" s="5"/>
      <c r="V35" s="18"/>
      <c r="W35" s="2" t="s">
        <v>16</v>
      </c>
      <c r="X35" s="29"/>
      <c r="Y35" s="5"/>
      <c r="Z35" s="5"/>
      <c r="AA35" s="5" t="s">
        <v>17</v>
      </c>
      <c r="AB35" s="5"/>
      <c r="AC35" s="18"/>
    </row>
    <row r="36" ht="15.75" customHeight="1">
      <c r="A36" s="32"/>
      <c r="B36" s="35"/>
      <c r="C36" s="36"/>
      <c r="D36" s="36"/>
      <c r="E36" s="38"/>
      <c r="F36" s="41" t="str">
        <f>IFERROR(__xludf.DUMMYFUNCTION("IFERROR(
$E36/
VLOOKUP(
IF(
 REGEXMATCH($B36,""(?i)agachamento""),""Agachamento"",
 IF(
  REGEXMATCH($B36,""(?i)supino""),""Supino"",
  IF(
   REGEXMATCH($B36,""(?i)terra""),""Terra"",
   IF(
    REGEXMATCH($B36,""(?i)desenvolvimento""),""Desenvolvimento"&amp;""",
    IF(
     REGEXMATCH($B36,""(?i)remada""),""Remada"",
     IF(REGEXMATCH($B36,""(?i)arranco""),""Arranco"",IF(REGEXMATCH($B36,""(?i)arremesso""),""Arremesso"",""""))
    )
   )
  )
 )
),
prs!$A$6:$D$12,
4,
FALSE
)
,"""")"),"")</f>
        <v/>
      </c>
      <c r="G36" s="41"/>
      <c r="H36" s="18"/>
      <c r="I36" s="35"/>
      <c r="J36" s="36"/>
      <c r="K36" s="36"/>
      <c r="L36" s="38"/>
      <c r="M36" s="41" t="str">
        <f>IFERROR(__xludf.DUMMYFUNCTION("IFERROR(
$L36/
VLOOKUP(
IF(
 REGEXMATCH($I36,""(?i)agachamento""),""Agachamento"",
 IF(
  REGEXMATCH($I36,""(?i)supino""),""Supino"",
  IF(
   REGEXMATCH($I36,""(?i)terra""),""Terra"",
   IF(
    REGEXMATCH($I36,""(?i)desenvolvimento""),""Desenvolvimento"&amp;""",
    IF(
     REGEXMATCH($I36,""(?i)remada""),""Remada"",
     IF(REGEXMATCH($I36,""(?i)arranco""),""Arranco"",IF(REGEXMATCH($I36,""(?i)arremesso""),""Arremesso"",""""))
    )
   )
  )
 )
),
prs!$A$6:$D$12,
4,
FALSE
)
,"""")"),"")</f>
        <v/>
      </c>
      <c r="N36" s="41"/>
      <c r="O36" s="32"/>
      <c r="P36" s="35"/>
      <c r="Q36" s="36"/>
      <c r="R36" s="36"/>
      <c r="S36" s="38"/>
      <c r="T36" s="41" t="str">
        <f>IFERROR(__xludf.DUMMYFUNCTION("IFERROR(
$S36/
VLOOKUP(
IF(
 REGEXMATCH($P36,""(?i)agachamento""),""Agachamento"",
 IF(
  REGEXMATCH($P36,""(?i)supino""),""Supino"",
  IF(
   REGEXMATCH($P36,""(?i)terra""),""Terra"",
   IF(
    REGEXMATCH($P36,""(?i)desenvolvimento""),""Desenvolvimento"&amp;""",
    IF(
     REGEXMATCH($P36,""(?i)remada""),""Remada"",
     IF(REGEXMATCH($P36,""(?i)arranco""),""Arranco"",IF(REGEXMATCH($P36,""(?i)arremesso""),""Arremesso"",""""))
    )
   )
  )
 )
),
prs!$A$6:$D$12,
4,
FALSE
)
,"""")"),"")</f>
        <v/>
      </c>
      <c r="U36" s="41"/>
      <c r="V36" s="32"/>
      <c r="W36" s="35"/>
      <c r="X36" s="36"/>
      <c r="Y36" s="36"/>
      <c r="Z36" s="38"/>
      <c r="AA36" s="41" t="str">
        <f>IFERROR(__xludf.DUMMYFUNCTION("IFERROR(
$Z36/
VLOOKUP(
IF(
 REGEXMATCH($W36,""(?i)agachamento""),""Agachamento"",
 IF(
  REGEXMATCH($W36,""(?i)supino""),""Supino"",
  IF(
   REGEXMATCH($W36,""(?i)terra""),""Terra"",
   IF(
    REGEXMATCH($W36,""(?i)desenvolvimento""),""Desenvolvimento"&amp;""",
    IF(
     REGEXMATCH($W36,""(?i)remada""),""Remada"",
     IF(REGEXMATCH($W36,""(?i)arranco""),""Arranco"",IF(REGEXMATCH($W36,""(?i)arremesso""),""Arremesso"",""""))
    )
   )
  )
 )
),
prs!$A$6:$D$12,
4,
FALSE
)
,"""")"),"")</f>
        <v/>
      </c>
      <c r="AB36" s="41"/>
      <c r="AC36" s="32"/>
    </row>
    <row r="37" ht="15.75" customHeight="1">
      <c r="A37" s="32"/>
      <c r="B37" s="35"/>
      <c r="C37" s="36"/>
      <c r="D37" s="36"/>
      <c r="E37" s="38"/>
      <c r="F37" s="41" t="str">
        <f>IFERROR(__xludf.DUMMYFUNCTION("IFERROR(
$E37/
VLOOKUP(
IF(
 REGEXMATCH($B37,""(?i)agachamento""),""Agachamento"",
 IF(
  REGEXMATCH($B37,""(?i)supino""),""Supino"",
  IF(
   REGEXMATCH($B37,""(?i)terra""),""Terra"",
   IF(
    REGEXMATCH($B37,""(?i)desenvolvimento""),""Desenvolvimento"&amp;""",
    IF(
     REGEXMATCH($B37,""(?i)remada""),""Remada"",
     IF(REGEXMATCH($B37,""(?i)arranco""),""Arranco"",IF(REGEXMATCH($B37,""(?i)arremesso""),""Arremesso"",""""))
    )
   )
  )
 )
),
prs!$A$6:$D$12,
4,
FALSE
)
,"""")"),"")</f>
        <v/>
      </c>
      <c r="G37" s="41"/>
      <c r="H37" s="18"/>
      <c r="I37" s="35"/>
      <c r="J37" s="36"/>
      <c r="K37" s="36"/>
      <c r="L37" s="38"/>
      <c r="M37" s="41" t="str">
        <f>IFERROR(__xludf.DUMMYFUNCTION("IFERROR(
$L37/
VLOOKUP(
IF(
 REGEXMATCH($I37,""(?i)agachamento""),""Agachamento"",
 IF(
  REGEXMATCH($I37,""(?i)supino""),""Supino"",
  IF(
   REGEXMATCH($I37,""(?i)terra""),""Terra"",
   IF(
    REGEXMATCH($I37,""(?i)desenvolvimento""),""Desenvolvimento"&amp;""",
    IF(
     REGEXMATCH($I37,""(?i)remada""),""Remada"",
     IF(REGEXMATCH($I37,""(?i)arranco""),""Arranco"",IF(REGEXMATCH($I37,""(?i)arremesso""),""Arremesso"",""""))
    )
   )
  )
 )
),
prs!$A$6:$D$12,
4,
FALSE
)
,"""")"),"")</f>
        <v/>
      </c>
      <c r="N37" s="41"/>
      <c r="O37" s="32"/>
      <c r="P37" s="35"/>
      <c r="Q37" s="36"/>
      <c r="R37" s="36"/>
      <c r="S37" s="38"/>
      <c r="T37" s="41" t="str">
        <f>IFERROR(__xludf.DUMMYFUNCTION("IFERROR(
$S37/
VLOOKUP(
IF(
 REGEXMATCH($P37,""(?i)agachamento""),""Agachamento"",
 IF(
  REGEXMATCH($P37,""(?i)supino""),""Supino"",
  IF(
   REGEXMATCH($P37,""(?i)terra""),""Terra"",
   IF(
    REGEXMATCH($P37,""(?i)desenvolvimento""),""Desenvolvimento"&amp;""",
    IF(
     REGEXMATCH($P37,""(?i)remada""),""Remada"",
     IF(REGEXMATCH($P37,""(?i)arranco""),""Arranco"",IF(REGEXMATCH($P37,""(?i)arremesso""),""Arremesso"",""""))
    )
   )
  )
 )
),
prs!$A$6:$D$12,
4,
FALSE
)
,"""")"),"")</f>
        <v/>
      </c>
      <c r="U37" s="41"/>
      <c r="V37" s="32"/>
      <c r="W37" s="35"/>
      <c r="X37" s="36"/>
      <c r="Y37" s="36"/>
      <c r="Z37" s="38"/>
      <c r="AA37" s="41" t="str">
        <f>IFERROR(__xludf.DUMMYFUNCTION("IFERROR(
$Z37/
VLOOKUP(
IF(
 REGEXMATCH($W37,""(?i)agachamento""),""Agachamento"",
 IF(
  REGEXMATCH($W37,""(?i)supino""),""Supino"",
  IF(
   REGEXMATCH($W37,""(?i)terra""),""Terra"",
   IF(
    REGEXMATCH($W37,""(?i)desenvolvimento""),""Desenvolvimento"&amp;""",
    IF(
     REGEXMATCH($W37,""(?i)remada""),""Remada"",
     IF(REGEXMATCH($W37,""(?i)arranco""),""Arranco"",IF(REGEXMATCH($W37,""(?i)arremesso""),""Arremesso"",""""))
    )
   )
  )
 )
),
prs!$A$6:$D$12,
4,
FALSE
)
,"""")"),"")</f>
        <v/>
      </c>
      <c r="AB37" s="41"/>
      <c r="AC37" s="32"/>
    </row>
    <row r="38" ht="15.75" customHeight="1">
      <c r="A38" s="32"/>
      <c r="B38" s="35"/>
      <c r="C38" s="36"/>
      <c r="D38" s="36"/>
      <c r="E38" s="38"/>
      <c r="F38" s="41" t="str">
        <f>IFERROR(__xludf.DUMMYFUNCTION("IFERROR(
$E38/
VLOOKUP(
IF(
 REGEXMATCH($B38,""(?i)agachamento""),""Agachamento"",
 IF(
  REGEXMATCH($B38,""(?i)supino""),""Supino"",
  IF(
   REGEXMATCH($B38,""(?i)terra""),""Terra"",
   IF(
    REGEXMATCH($B38,""(?i)desenvolvimento""),""Desenvolvimento"&amp;""",
    IF(
     REGEXMATCH($B38,""(?i)remada""),""Remada"",
     IF(REGEXMATCH($B38,""(?i)arranco""),""Arranco"",IF(REGEXMATCH($B38,""(?i)arremesso""),""Arremesso"",""""))
    )
   )
  )
 )
),
prs!$A$6:$D$12,
4,
FALSE
)
,"""")"),"")</f>
        <v/>
      </c>
      <c r="G38" s="41"/>
      <c r="H38" s="18"/>
      <c r="I38" s="35"/>
      <c r="J38" s="36"/>
      <c r="K38" s="36"/>
      <c r="L38" s="38"/>
      <c r="M38" s="41" t="str">
        <f>IFERROR(__xludf.DUMMYFUNCTION("IFERROR(
$L38/
VLOOKUP(
IF(
 REGEXMATCH($I38,""(?i)agachamento""),""Agachamento"",
 IF(
  REGEXMATCH($I38,""(?i)supino""),""Supino"",
  IF(
   REGEXMATCH($I38,""(?i)terra""),""Terra"",
   IF(
    REGEXMATCH($I38,""(?i)desenvolvimento""),""Desenvolvimento"&amp;""",
    IF(
     REGEXMATCH($I38,""(?i)remada""),""Remada"",
     IF(REGEXMATCH($I38,""(?i)arranco""),""Arranco"",IF(REGEXMATCH($I38,""(?i)arremesso""),""Arremesso"",""""))
    )
   )
  )
 )
),
prs!$A$6:$D$12,
4,
FALSE
)
,"""")"),"")</f>
        <v/>
      </c>
      <c r="N38" s="41"/>
      <c r="O38" s="32"/>
      <c r="P38" s="35"/>
      <c r="Q38" s="36"/>
      <c r="R38" s="36"/>
      <c r="S38" s="38"/>
      <c r="T38" s="41" t="str">
        <f>IFERROR(__xludf.DUMMYFUNCTION("IFERROR(
$S38/
VLOOKUP(
IF(
 REGEXMATCH($P38,""(?i)agachamento""),""Agachamento"",
 IF(
  REGEXMATCH($P38,""(?i)supino""),""Supino"",
  IF(
   REGEXMATCH($P38,""(?i)terra""),""Terra"",
   IF(
    REGEXMATCH($P38,""(?i)desenvolvimento""),""Desenvolvimento"&amp;""",
    IF(
     REGEXMATCH($P38,""(?i)remada""),""Remada"",
     IF(REGEXMATCH($P38,""(?i)arranco""),""Arranco"",IF(REGEXMATCH($P38,""(?i)arremesso""),""Arremesso"",""""))
    )
   )
  )
 )
),
prs!$A$6:$D$12,
4,
FALSE
)
,"""")"),"")</f>
        <v/>
      </c>
      <c r="U38" s="41"/>
      <c r="V38" s="32"/>
      <c r="W38" s="35"/>
      <c r="X38" s="36"/>
      <c r="Y38" s="36"/>
      <c r="Z38" s="38"/>
      <c r="AA38" s="41" t="str">
        <f>IFERROR(__xludf.DUMMYFUNCTION("IFERROR(
$Z38/
VLOOKUP(
IF(
 REGEXMATCH($W38,""(?i)agachamento""),""Agachamento"",
 IF(
  REGEXMATCH($W38,""(?i)supino""),""Supino"",
  IF(
   REGEXMATCH($W38,""(?i)terra""),""Terra"",
   IF(
    REGEXMATCH($W38,""(?i)desenvolvimento""),""Desenvolvimento"&amp;""",
    IF(
     REGEXMATCH($W38,""(?i)remada""),""Remada"",
     IF(REGEXMATCH($W38,""(?i)arranco""),""Arranco"",IF(REGEXMATCH($W38,""(?i)arremesso""),""Arremesso"",""""))
    )
   )
  )
 )
),
prs!$A$6:$D$12,
4,
FALSE
)
,"""")"),"")</f>
        <v/>
      </c>
      <c r="AB38" s="41"/>
      <c r="AC38" s="32"/>
    </row>
    <row r="39" ht="15.75" customHeight="1">
      <c r="A39" s="32"/>
      <c r="B39" s="35"/>
      <c r="C39" s="50"/>
      <c r="D39" s="50"/>
      <c r="E39" s="51"/>
      <c r="F39" s="41" t="str">
        <f>IFERROR(__xludf.DUMMYFUNCTION("IFERROR(
$E39/
VLOOKUP(
IF(
 REGEXMATCH($B39,""(?i)agachamento""),""Agachamento"",
 IF(
  REGEXMATCH($B39,""(?i)supino""),""Supino"",
  IF(
   REGEXMATCH($B39,""(?i)terra""),""Terra"",
   IF(
    REGEXMATCH($B39,""(?i)desenvolvimento""),""Desenvolvimento"&amp;""",
    IF(
     REGEXMATCH($B39,""(?i)remada""),""Remada"",
     IF(REGEXMATCH($B39,""(?i)arranco""),""Arranco"",IF(REGEXMATCH($B39,""(?i)arremesso""),""Arremesso"",""""))
    )
   )
  )
 )
),
prs!$A$6:$D$12,
4,
FALSE
)
,"""")"),"")</f>
        <v/>
      </c>
      <c r="G39" s="41"/>
      <c r="H39" s="18"/>
      <c r="I39" s="35"/>
      <c r="J39" s="50"/>
      <c r="K39" s="50"/>
      <c r="L39" s="51"/>
      <c r="M39" s="41" t="str">
        <f>IFERROR(__xludf.DUMMYFUNCTION("IFERROR(
$L39/
VLOOKUP(
IF(
 REGEXMATCH($I39,""(?i)agachamento""),""Agachamento"",
 IF(
  REGEXMATCH($I39,""(?i)supino""),""Supino"",
  IF(
   REGEXMATCH($I39,""(?i)terra""),""Terra"",
   IF(
    REGEXMATCH($I39,""(?i)desenvolvimento""),""Desenvolvimento"&amp;""",
    IF(
     REGEXMATCH($I39,""(?i)remada""),""Remada"",
     IF(REGEXMATCH($I39,""(?i)arranco""),""Arranco"",IF(REGEXMATCH($I39,""(?i)arremesso""),""Arremesso"",""""))
    )
   )
  )
 )
),
prs!$A$6:$D$12,
4,
FALSE
)
,"""")"),"")</f>
        <v/>
      </c>
      <c r="N39" s="41"/>
      <c r="O39" s="32"/>
      <c r="P39" s="35"/>
      <c r="Q39" s="50"/>
      <c r="R39" s="50"/>
      <c r="S39" s="51"/>
      <c r="T39" s="41" t="str">
        <f>IFERROR(__xludf.DUMMYFUNCTION("IFERROR(
$S39/
VLOOKUP(
IF(
 REGEXMATCH($P39,""(?i)agachamento""),""Agachamento"",
 IF(
  REGEXMATCH($P39,""(?i)supino""),""Supino"",
  IF(
   REGEXMATCH($P39,""(?i)terra""),""Terra"",
   IF(
    REGEXMATCH($P39,""(?i)desenvolvimento""),""Desenvolvimento"&amp;""",
    IF(
     REGEXMATCH($P39,""(?i)remada""),""Remada"",
     IF(REGEXMATCH($P39,""(?i)arranco""),""Arranco"",IF(REGEXMATCH($P39,""(?i)arremesso""),""Arremesso"",""""))
    )
   )
  )
 )
),
prs!$A$6:$D$12,
4,
FALSE
)
,"""")"),"")</f>
        <v/>
      </c>
      <c r="U39" s="41"/>
      <c r="V39" s="32"/>
      <c r="W39" s="35"/>
      <c r="X39" s="50"/>
      <c r="Y39" s="50"/>
      <c r="Z39" s="51"/>
      <c r="AA39" s="41" t="str">
        <f>IFERROR(__xludf.DUMMYFUNCTION("IFERROR(
$Z39/
VLOOKUP(
IF(
 REGEXMATCH($W39,""(?i)agachamento""),""Agachamento"",
 IF(
  REGEXMATCH($W39,""(?i)supino""),""Supino"",
  IF(
   REGEXMATCH($W39,""(?i)terra""),""Terra"",
   IF(
    REGEXMATCH($W39,""(?i)desenvolvimento""),""Desenvolvimento"&amp;""",
    IF(
     REGEXMATCH($W39,""(?i)remada""),""Remada"",
     IF(REGEXMATCH($W39,""(?i)arranco""),""Arranco"",IF(REGEXMATCH($W39,""(?i)arremesso""),""Arremesso"",""""))
    )
   )
  )
 )
),
prs!$A$6:$D$12,
4,
FALSE
)
,"""")"),"")</f>
        <v/>
      </c>
      <c r="AB39" s="41"/>
      <c r="AC39" s="32"/>
    </row>
    <row r="40" ht="15.75" customHeight="1">
      <c r="A40" s="32"/>
      <c r="B40" s="35"/>
      <c r="C40" s="50"/>
      <c r="D40" s="50"/>
      <c r="E40" s="51"/>
      <c r="F40" s="41" t="str">
        <f>IFERROR(__xludf.DUMMYFUNCTION("IFERROR(
$E40/
VLOOKUP(
IF(
 REGEXMATCH($B40,""(?i)agachamento""),""Agachamento"",
 IF(
  REGEXMATCH($B40,""(?i)supino""),""Supino"",
  IF(
   REGEXMATCH($B40,""(?i)terra""),""Terra"",
   IF(
    REGEXMATCH($B40,""(?i)desenvolvimento""),""Desenvolvimento"&amp;""",
    IF(
     REGEXMATCH($B40,""(?i)remada""),""Remada"",
     IF(REGEXMATCH($B40,""(?i)arranco""),""Arranco"",IF(REGEXMATCH($B40,""(?i)arremesso""),""Arremesso"",""""))
    )
   )
  )
 )
),
prs!$A$6:$D$12,
4,
FALSE
)
,"""")"),"")</f>
        <v/>
      </c>
      <c r="G40" s="41"/>
      <c r="H40" s="18"/>
      <c r="I40" s="35"/>
      <c r="J40" s="50"/>
      <c r="K40" s="50"/>
      <c r="L40" s="51"/>
      <c r="M40" s="41" t="str">
        <f>IFERROR(__xludf.DUMMYFUNCTION("IFERROR(
$L40/
VLOOKUP(
IF(
 REGEXMATCH($I40,""(?i)agachamento""),""Agachamento"",
 IF(
  REGEXMATCH($I40,""(?i)supino""),""Supino"",
  IF(
   REGEXMATCH($I40,""(?i)terra""),""Terra"",
   IF(
    REGEXMATCH($I40,""(?i)desenvolvimento""),""Desenvolvimento"&amp;""",
    IF(
     REGEXMATCH($I40,""(?i)remada""),""Remada"",
     IF(REGEXMATCH($I40,""(?i)arranco""),""Arranco"",IF(REGEXMATCH($I40,""(?i)arremesso""),""Arremesso"",""""))
    )
   )
  )
 )
),
prs!$A$6:$D$12,
4,
FALSE
)
,"""")"),"")</f>
        <v/>
      </c>
      <c r="N40" s="41"/>
      <c r="O40" s="32"/>
      <c r="P40" s="35"/>
      <c r="Q40" s="50"/>
      <c r="R40" s="50"/>
      <c r="S40" s="51"/>
      <c r="T40" s="41" t="str">
        <f>IFERROR(__xludf.DUMMYFUNCTION("IFERROR(
$S40/
VLOOKUP(
IF(
 REGEXMATCH($P40,""(?i)agachamento""),""Agachamento"",
 IF(
  REGEXMATCH($P40,""(?i)supino""),""Supino"",
  IF(
   REGEXMATCH($P40,""(?i)terra""),""Terra"",
   IF(
    REGEXMATCH($P40,""(?i)desenvolvimento""),""Desenvolvimento"&amp;""",
    IF(
     REGEXMATCH($P40,""(?i)remada""),""Remada"",
     IF(REGEXMATCH($P40,""(?i)arranco""),""Arranco"",IF(REGEXMATCH($P40,""(?i)arremesso""),""Arremesso"",""""))
    )
   )
  )
 )
),
prs!$A$6:$D$12,
4,
FALSE
)
,"""")"),"")</f>
        <v/>
      </c>
      <c r="U40" s="41"/>
      <c r="V40" s="32"/>
      <c r="W40" s="35"/>
      <c r="X40" s="50"/>
      <c r="Y40" s="50"/>
      <c r="Z40" s="51"/>
      <c r="AA40" s="41" t="str">
        <f>IFERROR(__xludf.DUMMYFUNCTION("IFERROR(
$Z40/
VLOOKUP(
IF(
 REGEXMATCH($W40,""(?i)agachamento""),""Agachamento"",
 IF(
  REGEXMATCH($W40,""(?i)supino""),""Supino"",
  IF(
   REGEXMATCH($W40,""(?i)terra""),""Terra"",
   IF(
    REGEXMATCH($W40,""(?i)desenvolvimento""),""Desenvolvimento"&amp;""",
    IF(
     REGEXMATCH($W40,""(?i)remada""),""Remada"",
     IF(REGEXMATCH($W40,""(?i)arranco""),""Arranco"",IF(REGEXMATCH($W40,""(?i)arremesso""),""Arremesso"",""""))
    )
   )
  )
 )
),
prs!$A$6:$D$12,
4,
FALSE
)
,"""")"),"")</f>
        <v/>
      </c>
      <c r="AB40" s="41"/>
      <c r="AC40" s="32"/>
    </row>
    <row r="41" ht="15.75" customHeight="1">
      <c r="A41" s="32"/>
      <c r="B41" s="35"/>
      <c r="C41" s="50"/>
      <c r="D41" s="50"/>
      <c r="E41" s="51"/>
      <c r="F41" s="41" t="str">
        <f>IFERROR(__xludf.DUMMYFUNCTION("IFERROR(
$E41/
VLOOKUP(
IF(
 REGEXMATCH($B41,""(?i)agachamento""),""Agachamento"",
 IF(
  REGEXMATCH($B41,""(?i)supino""),""Supino"",
  IF(
   REGEXMATCH($B41,""(?i)terra""),""Terra"",
   IF(
    REGEXMATCH($B41,""(?i)desenvolvimento""),""Desenvolvimento"&amp;""",
    IF(
     REGEXMATCH($B41,""(?i)remada""),""Remada"",
     IF(REGEXMATCH($B41,""(?i)arranco""),""Arranco"",IF(REGEXMATCH($B41,""(?i)arremesso""),""Arremesso"",""""))
    )
   )
  )
 )
),
prs!$A$6:$D$12,
4,
FALSE
)
,"""")"),"")</f>
        <v/>
      </c>
      <c r="G41" s="41"/>
      <c r="H41" s="18"/>
      <c r="I41" s="35"/>
      <c r="J41" s="50"/>
      <c r="K41" s="50"/>
      <c r="L41" s="51"/>
      <c r="M41" s="41" t="str">
        <f>IFERROR(__xludf.DUMMYFUNCTION("IFERROR(
$L41/
VLOOKUP(
IF(
 REGEXMATCH($I41,""(?i)agachamento""),""Agachamento"",
 IF(
  REGEXMATCH($I41,""(?i)supino""),""Supino"",
  IF(
   REGEXMATCH($I41,""(?i)terra""),""Terra"",
   IF(
    REGEXMATCH($I41,""(?i)desenvolvimento""),""Desenvolvimento"&amp;""",
    IF(
     REGEXMATCH($I41,""(?i)remada""),""Remada"",
     IF(REGEXMATCH($I41,""(?i)arranco""),""Arranco"",IF(REGEXMATCH($I41,""(?i)arremesso""),""Arremesso"",""""))
    )
   )
  )
 )
),
prs!$A$6:$D$12,
4,
FALSE
)
,"""")"),"")</f>
        <v/>
      </c>
      <c r="N41" s="41"/>
      <c r="O41" s="32"/>
      <c r="P41" s="35"/>
      <c r="Q41" s="50"/>
      <c r="R41" s="50"/>
      <c r="S41" s="51"/>
      <c r="T41" s="41" t="str">
        <f>IFERROR(__xludf.DUMMYFUNCTION("IFERROR(
$S41/
VLOOKUP(
IF(
 REGEXMATCH($P41,""(?i)agachamento""),""Agachamento"",
 IF(
  REGEXMATCH($P41,""(?i)supino""),""Supino"",
  IF(
   REGEXMATCH($P41,""(?i)terra""),""Terra"",
   IF(
    REGEXMATCH($P41,""(?i)desenvolvimento""),""Desenvolvimento"&amp;""",
    IF(
     REGEXMATCH($P41,""(?i)remada""),""Remada"",
     IF(REGEXMATCH($P41,""(?i)arranco""),""Arranco"",IF(REGEXMATCH($P41,""(?i)arremesso""),""Arremesso"",""""))
    )
   )
  )
 )
),
prs!$A$6:$D$12,
4,
FALSE
)
,"""")"),"")</f>
        <v/>
      </c>
      <c r="U41" s="41"/>
      <c r="V41" s="32"/>
      <c r="W41" s="35"/>
      <c r="X41" s="50"/>
      <c r="Y41" s="50"/>
      <c r="Z41" s="51"/>
      <c r="AA41" s="41" t="str">
        <f>IFERROR(__xludf.DUMMYFUNCTION("IFERROR(
$Z41/
VLOOKUP(
IF(
 REGEXMATCH($W41,""(?i)agachamento""),""Agachamento"",
 IF(
  REGEXMATCH($W41,""(?i)supino""),""Supino"",
  IF(
   REGEXMATCH($W41,""(?i)terra""),""Terra"",
   IF(
    REGEXMATCH($W41,""(?i)desenvolvimento""),""Desenvolvimento"&amp;""",
    IF(
     REGEXMATCH($W41,""(?i)remada""),""Remada"",
     IF(REGEXMATCH($W41,""(?i)arranco""),""Arranco"",IF(REGEXMATCH($W41,""(?i)arremesso""),""Arremesso"",""""))
    )
   )
  )
 )
),
prs!$A$6:$D$12,
4,
FALSE
)
,"""")"),"")</f>
        <v/>
      </c>
      <c r="AB41" s="41"/>
      <c r="AC41" s="32"/>
    </row>
    <row r="42" ht="15.75" customHeight="1">
      <c r="A42" s="32"/>
      <c r="B42" s="35"/>
      <c r="C42" s="50"/>
      <c r="D42" s="50"/>
      <c r="E42" s="51"/>
      <c r="F42" s="41" t="str">
        <f>IFERROR(__xludf.DUMMYFUNCTION("IFERROR(
$E42/
VLOOKUP(
IF(
 REGEXMATCH($B42,""(?i)agachamento""),""Agachamento"",
 IF(
  REGEXMATCH($B42,""(?i)supino""),""Supino"",
  IF(
   REGEXMATCH($B42,""(?i)terra""),""Terra"",
   IF(
    REGEXMATCH($B42,""(?i)desenvolvimento""),""Desenvolvimento"&amp;""",
    IF(
     REGEXMATCH($B42,""(?i)remada""),""Remada"",
     IF(REGEXMATCH($B42,""(?i)arranco""),""Arranco"",IF(REGEXMATCH($B42,""(?i)arremesso""),""Arremesso"",""""))
    )
   )
  )
 )
),
prs!$A$6:$D$12,
4,
FALSE
)
,"""")"),"")</f>
        <v/>
      </c>
      <c r="G42" s="41"/>
      <c r="H42" s="18"/>
      <c r="I42" s="35"/>
      <c r="J42" s="50"/>
      <c r="K42" s="50"/>
      <c r="L42" s="51"/>
      <c r="M42" s="41" t="str">
        <f>IFERROR(__xludf.DUMMYFUNCTION("IFERROR(
$L42/
VLOOKUP(
IF(
 REGEXMATCH($I42,""(?i)agachamento""),""Agachamento"",
 IF(
  REGEXMATCH($I42,""(?i)supino""),""Supino"",
  IF(
   REGEXMATCH($I42,""(?i)terra""),""Terra"",
   IF(
    REGEXMATCH($I42,""(?i)desenvolvimento""),""Desenvolvimento"&amp;""",
    IF(
     REGEXMATCH($I42,""(?i)remada""),""Remada"",
     IF(REGEXMATCH($I42,""(?i)arranco""),""Arranco"",IF(REGEXMATCH($I42,""(?i)arremesso""),""Arremesso"",""""))
    )
   )
  )
 )
),
prs!$A$6:$D$12,
4,
FALSE
)
,"""")"),"")</f>
        <v/>
      </c>
      <c r="N42" s="41"/>
      <c r="O42" s="32"/>
      <c r="P42" s="35"/>
      <c r="Q42" s="50"/>
      <c r="R42" s="50"/>
      <c r="S42" s="51"/>
      <c r="T42" s="41" t="str">
        <f>IFERROR(__xludf.DUMMYFUNCTION("IFERROR(
$S42/
VLOOKUP(
IF(
 REGEXMATCH($P42,""(?i)agachamento""),""Agachamento"",
 IF(
  REGEXMATCH($P42,""(?i)supino""),""Supino"",
  IF(
   REGEXMATCH($P42,""(?i)terra""),""Terra"",
   IF(
    REGEXMATCH($P42,""(?i)desenvolvimento""),""Desenvolvimento"&amp;""",
    IF(
     REGEXMATCH($P42,""(?i)remada""),""Remada"",
     IF(REGEXMATCH($P42,""(?i)arranco""),""Arranco"",IF(REGEXMATCH($P42,""(?i)arremesso""),""Arremesso"",""""))
    )
   )
  )
 )
),
prs!$A$6:$D$12,
4,
FALSE
)
,"""")"),"")</f>
        <v/>
      </c>
      <c r="U42" s="41"/>
      <c r="V42" s="32"/>
      <c r="W42" s="35"/>
      <c r="X42" s="50"/>
      <c r="Y42" s="50"/>
      <c r="Z42" s="51"/>
      <c r="AA42" s="41" t="str">
        <f>IFERROR(__xludf.DUMMYFUNCTION("IFERROR(
$Z42/
VLOOKUP(
IF(
 REGEXMATCH($W42,""(?i)agachamento""),""Agachamento"",
 IF(
  REGEXMATCH($W42,""(?i)supino""),""Supino"",
  IF(
   REGEXMATCH($W42,""(?i)terra""),""Terra"",
   IF(
    REGEXMATCH($W42,""(?i)desenvolvimento""),""Desenvolvimento"&amp;""",
    IF(
     REGEXMATCH($W42,""(?i)remada""),""Remada"",
     IF(REGEXMATCH($W42,""(?i)arranco""),""Arranco"",IF(REGEXMATCH($W42,""(?i)arremesso""),""Arremesso"",""""))
    )
   )
  )
 )
),
prs!$A$6:$D$12,
4,
FALSE
)
,"""")"),"")</f>
        <v/>
      </c>
      <c r="AB42" s="41"/>
      <c r="AC42" s="32"/>
    </row>
    <row r="43" ht="15.75" customHeight="1">
      <c r="A43" s="32"/>
      <c r="B43" s="35"/>
      <c r="C43" s="50"/>
      <c r="D43" s="50"/>
      <c r="E43" s="51"/>
      <c r="F43" s="41" t="str">
        <f>IFERROR(__xludf.DUMMYFUNCTION("IFERROR(
$E43/
VLOOKUP(
IF(
 REGEXMATCH($B43,""(?i)agachamento""),""Agachamento"",
 IF(
  REGEXMATCH($B43,""(?i)supino""),""Supino"",
  IF(
   REGEXMATCH($B43,""(?i)terra""),""Terra"",
   IF(
    REGEXMATCH($B43,""(?i)desenvolvimento""),""Desenvolvimento"&amp;""",
    IF(
     REGEXMATCH($B43,""(?i)remada""),""Remada"",
     IF(REGEXMATCH($B43,""(?i)arranco""),""Arranco"",IF(REGEXMATCH($B43,""(?i)arremesso""),""Arremesso"",""""))
    )
   )
  )
 )
),
prs!$A$6:$D$12,
4,
FALSE
)
,"""")"),"")</f>
        <v/>
      </c>
      <c r="G43" s="41"/>
      <c r="H43" s="18"/>
      <c r="I43" s="35"/>
      <c r="J43" s="50"/>
      <c r="K43" s="50"/>
      <c r="L43" s="51"/>
      <c r="M43" s="41" t="str">
        <f>IFERROR(__xludf.DUMMYFUNCTION("IFERROR(
$L43/
VLOOKUP(
IF(
 REGEXMATCH($I43,""(?i)agachamento""),""Agachamento"",
 IF(
  REGEXMATCH($I43,""(?i)supino""),""Supino"",
  IF(
   REGEXMATCH($I43,""(?i)terra""),""Terra"",
   IF(
    REGEXMATCH($I43,""(?i)desenvolvimento""),""Desenvolvimento"&amp;""",
    IF(
     REGEXMATCH($I43,""(?i)remada""),""Remada"",
     IF(REGEXMATCH($I43,""(?i)arranco""),""Arranco"",IF(REGEXMATCH($I43,""(?i)arremesso""),""Arremesso"",""""))
    )
   )
  )
 )
),
prs!$A$6:$D$12,
4,
FALSE
)
,"""")"),"")</f>
        <v/>
      </c>
      <c r="N43" s="41"/>
      <c r="O43" s="32"/>
      <c r="P43" s="35"/>
      <c r="Q43" s="50"/>
      <c r="R43" s="50"/>
      <c r="S43" s="51"/>
      <c r="T43" s="41" t="str">
        <f>IFERROR(__xludf.DUMMYFUNCTION("IFERROR(
$S43/
VLOOKUP(
IF(
 REGEXMATCH($P43,""(?i)agachamento""),""Agachamento"",
 IF(
  REGEXMATCH($P43,""(?i)supino""),""Supino"",
  IF(
   REGEXMATCH($P43,""(?i)terra""),""Terra"",
   IF(
    REGEXMATCH($P43,""(?i)desenvolvimento""),""Desenvolvimento"&amp;""",
    IF(
     REGEXMATCH($P43,""(?i)remada""),""Remada"",
     IF(REGEXMATCH($P43,""(?i)arranco""),""Arranco"",IF(REGEXMATCH($P43,""(?i)arremesso""),""Arremesso"",""""))
    )
   )
  )
 )
),
prs!$A$6:$D$12,
4,
FALSE
)
,"""")"),"")</f>
        <v/>
      </c>
      <c r="U43" s="41"/>
      <c r="V43" s="32"/>
      <c r="W43" s="35"/>
      <c r="X43" s="50"/>
      <c r="Y43" s="50"/>
      <c r="Z43" s="51"/>
      <c r="AA43" s="41" t="str">
        <f>IFERROR(__xludf.DUMMYFUNCTION("IFERROR(
$Z43/
VLOOKUP(
IF(
 REGEXMATCH($W43,""(?i)agachamento""),""Agachamento"",
 IF(
  REGEXMATCH($W43,""(?i)supino""),""Supino"",
  IF(
   REGEXMATCH($W43,""(?i)terra""),""Terra"",
   IF(
    REGEXMATCH($W43,""(?i)desenvolvimento""),""Desenvolvimento"&amp;""",
    IF(
     REGEXMATCH($W43,""(?i)remada""),""Remada"",
     IF(REGEXMATCH($W43,""(?i)arranco""),""Arranco"",IF(REGEXMATCH($W43,""(?i)arremesso""),""Arremesso"",""""))
    )
   )
  )
 )
),
prs!$A$6:$D$12,
4,
FALSE
)
,"""")"),"")</f>
        <v/>
      </c>
      <c r="AB43" s="41"/>
      <c r="AC43" s="32"/>
    </row>
    <row r="44" ht="15.75" customHeight="1">
      <c r="A44" s="32"/>
      <c r="B44" s="35"/>
      <c r="C44" s="50"/>
      <c r="D44" s="50"/>
      <c r="E44" s="51"/>
      <c r="F44" s="41" t="str">
        <f>IFERROR(__xludf.DUMMYFUNCTION("IFERROR(
$E44/
VLOOKUP(
IF(
 REGEXMATCH($B44,""(?i)agachamento""),""Agachamento"",
 IF(
  REGEXMATCH($B44,""(?i)supino""),""Supino"",
  IF(
   REGEXMATCH($B44,""(?i)terra""),""Terra"",
   IF(
    REGEXMATCH($B44,""(?i)desenvolvimento""),""Desenvolvimento"&amp;""",
    IF(
     REGEXMATCH($B44,""(?i)remada""),""Remada"",
     IF(REGEXMATCH($B44,""(?i)arranco""),""Arranco"",IF(REGEXMATCH($B44,""(?i)arremesso""),""Arremesso"",""""))
    )
   )
  )
 )
),
prs!$A$6:$D$12,
4,
FALSE
)
,"""")"),"")</f>
        <v/>
      </c>
      <c r="G44" s="41"/>
      <c r="H44" s="18"/>
      <c r="I44" s="35"/>
      <c r="J44" s="50"/>
      <c r="K44" s="50"/>
      <c r="L44" s="51"/>
      <c r="M44" s="41" t="str">
        <f>IFERROR(__xludf.DUMMYFUNCTION("IFERROR(
$L44/
VLOOKUP(
IF(
 REGEXMATCH($I44,""(?i)agachamento""),""Agachamento"",
 IF(
  REGEXMATCH($I44,""(?i)supino""),""Supino"",
  IF(
   REGEXMATCH($I44,""(?i)terra""),""Terra"",
   IF(
    REGEXMATCH($I44,""(?i)desenvolvimento""),""Desenvolvimento"&amp;""",
    IF(
     REGEXMATCH($I44,""(?i)remada""),""Remada"",
     IF(REGEXMATCH($I44,""(?i)arranco""),""Arranco"",IF(REGEXMATCH($I44,""(?i)arremesso""),""Arremesso"",""""))
    )
   )
  )
 )
),
prs!$A$6:$D$12,
4,
FALSE
)
,"""")"),"")</f>
        <v/>
      </c>
      <c r="N44" s="41"/>
      <c r="O44" s="32"/>
      <c r="P44" s="35"/>
      <c r="Q44" s="50"/>
      <c r="R44" s="50"/>
      <c r="S44" s="51"/>
      <c r="T44" s="41" t="str">
        <f>IFERROR(__xludf.DUMMYFUNCTION("IFERROR(
$S44/
VLOOKUP(
IF(
 REGEXMATCH($P44,""(?i)agachamento""),""Agachamento"",
 IF(
  REGEXMATCH($P44,""(?i)supino""),""Supino"",
  IF(
   REGEXMATCH($P44,""(?i)terra""),""Terra"",
   IF(
    REGEXMATCH($P44,""(?i)desenvolvimento""),""Desenvolvimento"&amp;""",
    IF(
     REGEXMATCH($P44,""(?i)remada""),""Remada"",
     IF(REGEXMATCH($P44,""(?i)arranco""),""Arranco"",IF(REGEXMATCH($P44,""(?i)arremesso""),""Arremesso"",""""))
    )
   )
  )
 )
),
prs!$A$6:$D$12,
4,
FALSE
)
,"""")"),"")</f>
        <v/>
      </c>
      <c r="U44" s="41"/>
      <c r="V44" s="32"/>
      <c r="W44" s="35"/>
      <c r="X44" s="50"/>
      <c r="Y44" s="50"/>
      <c r="Z44" s="51"/>
      <c r="AA44" s="41" t="str">
        <f>IFERROR(__xludf.DUMMYFUNCTION("IFERROR(
$Z44/
VLOOKUP(
IF(
 REGEXMATCH($W44,""(?i)agachamento""),""Agachamento"",
 IF(
  REGEXMATCH($W44,""(?i)supino""),""Supino"",
  IF(
   REGEXMATCH($W44,""(?i)terra""),""Terra"",
   IF(
    REGEXMATCH($W44,""(?i)desenvolvimento""),""Desenvolvimento"&amp;""",
    IF(
     REGEXMATCH($W44,""(?i)remada""),""Remada"",
     IF(REGEXMATCH($W44,""(?i)arranco""),""Arranco"",IF(REGEXMATCH($W44,""(?i)arremesso""),""Arremesso"",""""))
    )
   )
  )
 )
),
prs!$A$6:$D$12,
4,
FALSE
)
,"""")"),"")</f>
        <v/>
      </c>
      <c r="AB44" s="41"/>
      <c r="AC44" s="32"/>
    </row>
    <row r="45" ht="15.75" customHeight="1">
      <c r="A45" s="32"/>
      <c r="B45" s="35"/>
      <c r="C45" s="50"/>
      <c r="D45" s="50"/>
      <c r="E45" s="51"/>
      <c r="F45" s="41" t="str">
        <f>IFERROR(__xludf.DUMMYFUNCTION("IFERROR(
$E45/
VLOOKUP(
IF(
 REGEXMATCH($B45,""(?i)agachamento""),""Agachamento"",
 IF(
  REGEXMATCH($B45,""(?i)supino""),""Supino"",
  IF(
   REGEXMATCH($B45,""(?i)terra""),""Terra"",
   IF(
    REGEXMATCH($B45,""(?i)desenvolvimento""),""Desenvolvimento"&amp;""",
    IF(
     REGEXMATCH($B45,""(?i)remada""),""Remada"",
     IF(REGEXMATCH($B45,""(?i)arranco""),""Arranco"",IF(REGEXMATCH($B45,""(?i)arremesso""),""Arremesso"",""""))
    )
   )
  )
 )
),
prs!$A$6:$D$12,
4,
FALSE
)
,"""")"),"")</f>
        <v/>
      </c>
      <c r="G45" s="41"/>
      <c r="H45" s="18"/>
      <c r="I45" s="35"/>
      <c r="J45" s="50"/>
      <c r="K45" s="50"/>
      <c r="L45" s="51"/>
      <c r="M45" s="41" t="str">
        <f>IFERROR(__xludf.DUMMYFUNCTION("IFERROR(
$L45/
VLOOKUP(
IF(
 REGEXMATCH($I45,""(?i)agachamento""),""Agachamento"",
 IF(
  REGEXMATCH($I45,""(?i)supino""),""Supino"",
  IF(
   REGEXMATCH($I45,""(?i)terra""),""Terra"",
   IF(
    REGEXMATCH($I45,""(?i)desenvolvimento""),""Desenvolvimento"&amp;""",
    IF(
     REGEXMATCH($I45,""(?i)remada""),""Remada"",
     IF(REGEXMATCH($I45,""(?i)arranco""),""Arranco"",IF(REGEXMATCH($I45,""(?i)arremesso""),""Arremesso"",""""))
    )
   )
  )
 )
),
prs!$A$6:$D$12,
4,
FALSE
)
,"""")"),"")</f>
        <v/>
      </c>
      <c r="N45" s="41"/>
      <c r="O45" s="32"/>
      <c r="P45" s="35"/>
      <c r="Q45" s="50"/>
      <c r="R45" s="50"/>
      <c r="S45" s="51"/>
      <c r="T45" s="41" t="str">
        <f>IFERROR(__xludf.DUMMYFUNCTION("IFERROR(
$S45/
VLOOKUP(
IF(
 REGEXMATCH($P45,""(?i)agachamento""),""Agachamento"",
 IF(
  REGEXMATCH($P45,""(?i)supino""),""Supino"",
  IF(
   REGEXMATCH($P45,""(?i)terra""),""Terra"",
   IF(
    REGEXMATCH($P45,""(?i)desenvolvimento""),""Desenvolvimento"&amp;""",
    IF(
     REGEXMATCH($P45,""(?i)remada""),""Remada"",
     IF(REGEXMATCH($P45,""(?i)arranco""),""Arranco"",IF(REGEXMATCH($P45,""(?i)arremesso""),""Arremesso"",""""))
    )
   )
  )
 )
),
prs!$A$6:$D$12,
4,
FALSE
)
,"""")"),"")</f>
        <v/>
      </c>
      <c r="U45" s="41"/>
      <c r="V45" s="32"/>
      <c r="W45" s="35"/>
      <c r="X45" s="50"/>
      <c r="Y45" s="50"/>
      <c r="Z45" s="51"/>
      <c r="AA45" s="41" t="str">
        <f>IFERROR(__xludf.DUMMYFUNCTION("IFERROR(
$Z45/
VLOOKUP(
IF(
 REGEXMATCH($W45,""(?i)agachamento""),""Agachamento"",
 IF(
  REGEXMATCH($W45,""(?i)supino""),""Supino"",
  IF(
   REGEXMATCH($W45,""(?i)terra""),""Terra"",
   IF(
    REGEXMATCH($W45,""(?i)desenvolvimento""),""Desenvolvimento"&amp;""",
    IF(
     REGEXMATCH($W45,""(?i)remada""),""Remada"",
     IF(REGEXMATCH($W45,""(?i)arranco""),""Arranco"",IF(REGEXMATCH($W45,""(?i)arremesso""),""Arremesso"",""""))
    )
   )
  )
 )
),
prs!$A$6:$D$12,
4,
FALSE
)
,"""")"),"")</f>
        <v/>
      </c>
      <c r="AB45" s="41"/>
      <c r="AC45" s="32"/>
    </row>
    <row r="46" ht="15.75" customHeight="1">
      <c r="A46" s="33"/>
      <c r="B46" s="52"/>
      <c r="C46" s="37" t="s">
        <v>20</v>
      </c>
      <c r="H46" s="18"/>
      <c r="I46" s="52"/>
      <c r="J46" s="37" t="s">
        <v>23</v>
      </c>
      <c r="O46" s="18"/>
      <c r="P46" s="52"/>
      <c r="Q46" s="37" t="s">
        <v>24</v>
      </c>
      <c r="V46" s="18"/>
      <c r="W46" s="52"/>
      <c r="X46" s="37" t="s">
        <v>25</v>
      </c>
      <c r="AC46" s="18"/>
    </row>
    <row r="47" ht="15.75" customHeight="1">
      <c r="A47" s="44"/>
      <c r="B47" s="44"/>
      <c r="C47" s="44"/>
      <c r="D47" s="44"/>
      <c r="H47" s="44"/>
      <c r="I47" s="44"/>
      <c r="J47" s="44"/>
      <c r="K47" s="44"/>
      <c r="O47" s="44"/>
      <c r="P47" s="44"/>
      <c r="Q47" s="44"/>
      <c r="R47" s="44"/>
      <c r="V47" s="44"/>
      <c r="W47" s="44"/>
      <c r="X47" s="44"/>
      <c r="Y47" s="44"/>
      <c r="AC47" s="44"/>
    </row>
    <row r="48" ht="15.75" customHeight="1">
      <c r="A48" s="12"/>
      <c r="B48" s="12"/>
      <c r="C48" s="12"/>
      <c r="D48" s="12"/>
      <c r="E48" s="12"/>
      <c r="F48" s="12"/>
      <c r="G48" s="12"/>
      <c r="H48" s="12"/>
      <c r="I48" s="12"/>
      <c r="J48" s="12"/>
      <c r="K48" s="12"/>
      <c r="L48" s="12"/>
      <c r="M48" s="12"/>
      <c r="N48" s="12"/>
      <c r="O48" s="12"/>
      <c r="P48" s="12"/>
      <c r="Q48" s="12"/>
      <c r="R48" s="12"/>
      <c r="S48" s="12"/>
      <c r="T48" s="12"/>
      <c r="U48" s="12"/>
      <c r="V48" s="12"/>
      <c r="W48" s="12"/>
      <c r="X48" s="12"/>
      <c r="Y48" s="12"/>
      <c r="Z48" s="12"/>
      <c r="AA48" s="12"/>
      <c r="AB48" s="12"/>
      <c r="AC48" s="12"/>
    </row>
    <row r="49" ht="15.75" customHeight="1">
      <c r="A49" s="12"/>
      <c r="B49" s="12"/>
      <c r="C49" s="12"/>
      <c r="D49" s="12"/>
      <c r="E49" s="12"/>
      <c r="F49" s="12"/>
      <c r="G49" s="12"/>
      <c r="H49" s="12"/>
      <c r="I49" s="12"/>
      <c r="J49" s="12"/>
      <c r="K49" s="12"/>
      <c r="L49" s="12"/>
      <c r="M49" s="12"/>
      <c r="N49" s="12"/>
      <c r="O49" s="12"/>
      <c r="P49" s="12"/>
      <c r="Q49" s="12"/>
      <c r="R49" s="12"/>
      <c r="S49" s="12"/>
      <c r="T49" s="12"/>
      <c r="U49" s="12"/>
      <c r="V49" s="12"/>
      <c r="W49" s="12"/>
      <c r="X49" s="12"/>
      <c r="Y49" s="12"/>
      <c r="Z49" s="12"/>
      <c r="AA49" s="12"/>
      <c r="AB49" s="12"/>
      <c r="AC49" s="12"/>
    </row>
    <row r="50" ht="15.75" customHeight="1">
      <c r="A50" s="12"/>
      <c r="B50" s="12"/>
      <c r="C50" s="12"/>
      <c r="D50" s="12"/>
      <c r="E50" s="12"/>
      <c r="F50" s="12"/>
      <c r="G50" s="12"/>
      <c r="H50" s="12"/>
      <c r="I50" s="12"/>
      <c r="J50" s="12"/>
      <c r="K50" s="12"/>
      <c r="L50" s="12"/>
      <c r="M50" s="12"/>
      <c r="N50" s="12"/>
      <c r="O50" s="12"/>
      <c r="P50" s="12"/>
      <c r="Q50" s="12"/>
      <c r="R50" s="12"/>
      <c r="S50" s="12"/>
      <c r="T50" s="12"/>
      <c r="U50" s="12"/>
      <c r="V50" s="12"/>
      <c r="W50" s="12"/>
      <c r="X50" s="12"/>
      <c r="Y50" s="12"/>
      <c r="Z50" s="12"/>
      <c r="AA50" s="12"/>
      <c r="AB50" s="12"/>
      <c r="AC50" s="12"/>
    </row>
    <row r="51" ht="15.75" customHeight="1">
      <c r="A51" s="12"/>
      <c r="B51" s="12"/>
      <c r="C51" s="12"/>
      <c r="D51" s="12"/>
      <c r="E51" s="12"/>
      <c r="F51" s="12"/>
      <c r="G51" s="12"/>
      <c r="H51" s="12"/>
      <c r="I51" s="12"/>
      <c r="J51" s="12"/>
      <c r="K51" s="12"/>
      <c r="L51" s="12"/>
      <c r="M51" s="12"/>
      <c r="N51" s="12"/>
      <c r="O51" s="12"/>
      <c r="P51" s="12"/>
      <c r="Q51" s="12"/>
      <c r="R51" s="12"/>
      <c r="S51" s="12"/>
      <c r="T51" s="12"/>
      <c r="U51" s="12"/>
      <c r="V51" s="12"/>
      <c r="W51" s="12"/>
      <c r="X51" s="12"/>
      <c r="Y51" s="12"/>
      <c r="Z51" s="12"/>
      <c r="AA51" s="12"/>
      <c r="AB51" s="12"/>
      <c r="AC51" s="12"/>
    </row>
    <row r="52" ht="15.75" customHeight="1">
      <c r="A52" s="12"/>
      <c r="B52" s="12"/>
      <c r="C52" s="12"/>
      <c r="D52" s="12"/>
      <c r="E52" s="12"/>
      <c r="F52" s="12"/>
      <c r="G52" s="12"/>
      <c r="H52" s="12"/>
      <c r="I52" s="12"/>
      <c r="J52" s="12"/>
      <c r="K52" s="12"/>
      <c r="L52" s="12"/>
      <c r="M52" s="12"/>
      <c r="N52" s="12"/>
      <c r="O52" s="12"/>
      <c r="P52" s="12"/>
      <c r="Q52" s="12"/>
      <c r="R52" s="12"/>
      <c r="S52" s="12"/>
      <c r="T52" s="12"/>
      <c r="U52" s="12"/>
      <c r="V52" s="12"/>
      <c r="W52" s="12"/>
      <c r="X52" s="12"/>
      <c r="Y52" s="12"/>
      <c r="Z52" s="12"/>
      <c r="AA52" s="12"/>
      <c r="AB52" s="12"/>
      <c r="AC52" s="12"/>
    </row>
    <row r="53" ht="15.75" customHeight="1">
      <c r="A53" s="12"/>
      <c r="B53" s="12"/>
      <c r="C53" s="12"/>
      <c r="D53" s="12"/>
      <c r="E53" s="12"/>
      <c r="F53" s="12"/>
      <c r="G53" s="12"/>
      <c r="H53" s="12"/>
      <c r="I53" s="12"/>
      <c r="J53" s="12"/>
      <c r="K53" s="12"/>
      <c r="L53" s="12"/>
      <c r="M53" s="12"/>
      <c r="N53" s="12"/>
      <c r="O53" s="12"/>
      <c r="P53" s="12"/>
      <c r="Q53" s="12"/>
      <c r="R53" s="12"/>
      <c r="S53" s="12"/>
      <c r="T53" s="12"/>
      <c r="U53" s="12"/>
      <c r="V53" s="12"/>
      <c r="W53" s="12"/>
      <c r="X53" s="12"/>
      <c r="Y53" s="12"/>
      <c r="Z53" s="12"/>
      <c r="AA53" s="12"/>
      <c r="AB53" s="12"/>
      <c r="AC53" s="12"/>
    </row>
    <row r="54" ht="15.75" customHeight="1">
      <c r="A54" s="12"/>
      <c r="B54" s="12"/>
      <c r="C54" s="12"/>
      <c r="D54" s="12"/>
      <c r="E54" s="12"/>
      <c r="F54" s="12"/>
      <c r="G54" s="12"/>
      <c r="H54" s="12"/>
      <c r="I54" s="12"/>
      <c r="J54" s="12"/>
      <c r="K54" s="12"/>
      <c r="L54" s="12"/>
      <c r="M54" s="12"/>
      <c r="N54" s="12"/>
      <c r="O54" s="12"/>
      <c r="P54" s="12"/>
      <c r="Q54" s="12"/>
      <c r="R54" s="12"/>
      <c r="S54" s="12"/>
      <c r="T54" s="12"/>
      <c r="U54" s="12"/>
      <c r="V54" s="12"/>
      <c r="W54" s="12"/>
      <c r="X54" s="12"/>
      <c r="Y54" s="12"/>
      <c r="Z54" s="12"/>
      <c r="AA54" s="12"/>
      <c r="AB54" s="12"/>
      <c r="AC54" s="12"/>
    </row>
    <row r="55" ht="15.75" customHeight="1">
      <c r="A55" s="12"/>
      <c r="B55" s="12"/>
      <c r="C55" s="12"/>
      <c r="D55" s="12"/>
      <c r="E55" s="12"/>
      <c r="F55" s="12"/>
      <c r="G55" s="12"/>
      <c r="H55" s="12"/>
      <c r="I55" s="12"/>
      <c r="J55" s="12"/>
      <c r="K55" s="12"/>
      <c r="L55" s="12"/>
      <c r="M55" s="12"/>
      <c r="N55" s="12"/>
      <c r="O55" s="12"/>
      <c r="P55" s="12"/>
      <c r="Q55" s="12"/>
      <c r="R55" s="12"/>
      <c r="S55" s="12"/>
      <c r="T55" s="12"/>
      <c r="U55" s="12"/>
      <c r="V55" s="12"/>
      <c r="W55" s="12"/>
      <c r="X55" s="12"/>
      <c r="Y55" s="12"/>
      <c r="Z55" s="12"/>
      <c r="AA55" s="12"/>
      <c r="AB55" s="12"/>
      <c r="AC55" s="12"/>
    </row>
    <row r="56" ht="15.75" customHeight="1">
      <c r="A56" s="12"/>
      <c r="B56" s="12"/>
      <c r="C56" s="12"/>
      <c r="D56" s="12"/>
      <c r="E56" s="12"/>
      <c r="F56" s="12"/>
      <c r="G56" s="12"/>
      <c r="H56" s="12"/>
      <c r="I56" s="12"/>
      <c r="J56" s="12"/>
      <c r="K56" s="12"/>
      <c r="L56" s="12"/>
      <c r="M56" s="12"/>
      <c r="N56" s="12"/>
      <c r="O56" s="12"/>
      <c r="P56" s="12"/>
      <c r="Q56" s="12"/>
      <c r="R56" s="12"/>
      <c r="S56" s="12"/>
      <c r="T56" s="12"/>
      <c r="U56" s="12"/>
      <c r="V56" s="12"/>
      <c r="W56" s="12"/>
      <c r="X56" s="12"/>
      <c r="Y56" s="12"/>
      <c r="Z56" s="12"/>
      <c r="AA56" s="12"/>
      <c r="AB56" s="12"/>
      <c r="AC56" s="12"/>
    </row>
    <row r="57" ht="15.75" customHeight="1">
      <c r="A57" s="12"/>
      <c r="B57" s="12"/>
      <c r="C57" s="12"/>
      <c r="D57" s="12"/>
      <c r="E57" s="12"/>
      <c r="F57" s="12"/>
      <c r="G57" s="12"/>
      <c r="H57" s="12"/>
      <c r="I57" s="12"/>
      <c r="J57" s="12"/>
      <c r="K57" s="12"/>
      <c r="L57" s="12"/>
      <c r="M57" s="12"/>
      <c r="N57" s="12"/>
      <c r="O57" s="12"/>
      <c r="P57" s="12"/>
      <c r="Q57" s="12"/>
      <c r="R57" s="12"/>
      <c r="S57" s="12"/>
      <c r="T57" s="12"/>
      <c r="U57" s="12"/>
      <c r="V57" s="12"/>
      <c r="W57" s="12"/>
      <c r="X57" s="12"/>
      <c r="Y57" s="12"/>
      <c r="Z57" s="12"/>
      <c r="AA57" s="12"/>
      <c r="AB57" s="12"/>
      <c r="AC57" s="12"/>
    </row>
    <row r="58" ht="15.75" customHeight="1">
      <c r="A58" s="12"/>
      <c r="B58" s="12"/>
      <c r="C58" s="12"/>
      <c r="D58" s="12"/>
      <c r="E58" s="12"/>
      <c r="F58" s="12"/>
      <c r="G58" s="12"/>
      <c r="H58" s="12"/>
      <c r="I58" s="12"/>
      <c r="J58" s="12"/>
      <c r="K58" s="12"/>
      <c r="L58" s="12"/>
      <c r="M58" s="12"/>
      <c r="N58" s="12"/>
      <c r="O58" s="12"/>
      <c r="P58" s="12"/>
      <c r="Q58" s="12"/>
      <c r="R58" s="12"/>
      <c r="S58" s="12"/>
      <c r="T58" s="12"/>
      <c r="U58" s="12"/>
      <c r="V58" s="12"/>
      <c r="W58" s="12"/>
      <c r="X58" s="12"/>
      <c r="Y58" s="12"/>
      <c r="Z58" s="12"/>
      <c r="AA58" s="12"/>
      <c r="AB58" s="12"/>
      <c r="AC58" s="12"/>
    </row>
    <row r="59" ht="15.75" customHeight="1">
      <c r="A59" s="12"/>
      <c r="B59" s="12"/>
      <c r="C59" s="12"/>
      <c r="D59" s="12"/>
      <c r="E59" s="12"/>
      <c r="F59" s="12"/>
      <c r="G59" s="12"/>
      <c r="H59" s="12"/>
      <c r="I59" s="12"/>
      <c r="J59" s="12"/>
      <c r="K59" s="12"/>
      <c r="L59" s="12"/>
      <c r="M59" s="12"/>
      <c r="N59" s="12"/>
      <c r="O59" s="12"/>
      <c r="P59" s="12"/>
      <c r="Q59" s="12"/>
      <c r="R59" s="12"/>
      <c r="S59" s="12"/>
      <c r="T59" s="12"/>
      <c r="U59" s="12"/>
      <c r="V59" s="12"/>
      <c r="W59" s="12"/>
      <c r="X59" s="12"/>
      <c r="Y59" s="12"/>
      <c r="Z59" s="12"/>
      <c r="AA59" s="12"/>
      <c r="AB59" s="12"/>
      <c r="AC59" s="12"/>
    </row>
    <row r="60" ht="15.75" customHeight="1">
      <c r="A60" s="12"/>
      <c r="B60" s="12"/>
      <c r="C60" s="12"/>
      <c r="D60" s="12"/>
      <c r="E60" s="12"/>
      <c r="F60" s="12"/>
      <c r="G60" s="12"/>
      <c r="H60" s="12"/>
      <c r="I60" s="12"/>
      <c r="J60" s="12"/>
      <c r="K60" s="12"/>
      <c r="L60" s="12"/>
      <c r="M60" s="12"/>
      <c r="N60" s="12"/>
      <c r="O60" s="12"/>
      <c r="P60" s="12"/>
      <c r="Q60" s="12"/>
      <c r="R60" s="12"/>
      <c r="S60" s="12"/>
      <c r="T60" s="12"/>
      <c r="U60" s="12"/>
      <c r="V60" s="12"/>
      <c r="W60" s="12"/>
      <c r="X60" s="12"/>
      <c r="Y60" s="12"/>
      <c r="Z60" s="12"/>
      <c r="AA60" s="12"/>
      <c r="AB60" s="12"/>
      <c r="AC60" s="12"/>
    </row>
    <row r="61" ht="15.75" customHeight="1">
      <c r="A61" s="12"/>
      <c r="B61" s="12"/>
      <c r="C61" s="12"/>
      <c r="D61" s="12"/>
      <c r="E61" s="12"/>
      <c r="F61" s="12"/>
      <c r="G61" s="12"/>
      <c r="H61" s="12"/>
      <c r="I61" s="12"/>
      <c r="J61" s="12"/>
      <c r="K61" s="12"/>
      <c r="L61" s="12"/>
      <c r="M61" s="12"/>
      <c r="N61" s="12"/>
      <c r="O61" s="12"/>
      <c r="P61" s="12"/>
      <c r="Q61" s="12"/>
      <c r="R61" s="12"/>
      <c r="S61" s="12"/>
      <c r="T61" s="12"/>
      <c r="U61" s="12"/>
      <c r="V61" s="12"/>
      <c r="W61" s="12"/>
      <c r="X61" s="12"/>
      <c r="Y61" s="12"/>
      <c r="Z61" s="12"/>
      <c r="AA61" s="12"/>
      <c r="AB61" s="12"/>
      <c r="AC61" s="12"/>
    </row>
    <row r="62" ht="15.75" customHeight="1">
      <c r="A62" s="12"/>
      <c r="B62" s="12"/>
      <c r="C62" s="12"/>
      <c r="D62" s="12"/>
      <c r="E62" s="12"/>
      <c r="F62" s="12"/>
      <c r="G62" s="12"/>
      <c r="H62" s="12"/>
      <c r="I62" s="12"/>
      <c r="J62" s="12"/>
      <c r="K62" s="12"/>
      <c r="L62" s="12"/>
      <c r="M62" s="12"/>
      <c r="N62" s="12"/>
      <c r="O62" s="12"/>
      <c r="P62" s="12"/>
      <c r="Q62" s="12"/>
      <c r="R62" s="12"/>
      <c r="S62" s="12"/>
      <c r="T62" s="12"/>
      <c r="U62" s="12"/>
      <c r="V62" s="12"/>
      <c r="W62" s="12"/>
      <c r="X62" s="12"/>
      <c r="Y62" s="12"/>
      <c r="Z62" s="12"/>
      <c r="AA62" s="12"/>
      <c r="AB62" s="12"/>
      <c r="AC62" s="12"/>
    </row>
    <row r="63" ht="15.75" customHeight="1">
      <c r="A63" s="12"/>
      <c r="B63" s="12"/>
      <c r="C63" s="12"/>
      <c r="D63" s="12"/>
      <c r="E63" s="12"/>
      <c r="F63" s="12"/>
      <c r="G63" s="12"/>
      <c r="H63" s="12"/>
      <c r="I63" s="12"/>
      <c r="J63" s="12"/>
      <c r="K63" s="12"/>
      <c r="L63" s="12"/>
      <c r="M63" s="12"/>
      <c r="N63" s="12"/>
      <c r="O63" s="12"/>
      <c r="P63" s="12"/>
      <c r="Q63" s="12"/>
      <c r="R63" s="12"/>
      <c r="S63" s="12"/>
      <c r="T63" s="12"/>
      <c r="U63" s="12"/>
      <c r="V63" s="12"/>
      <c r="W63" s="12"/>
      <c r="X63" s="12"/>
      <c r="Y63" s="12"/>
      <c r="Z63" s="12"/>
      <c r="AA63" s="12"/>
      <c r="AB63" s="12"/>
      <c r="AC63" s="12"/>
    </row>
    <row r="64" ht="15.75" customHeight="1">
      <c r="A64" s="12"/>
      <c r="B64" s="12"/>
      <c r="C64" s="12"/>
      <c r="D64" s="12"/>
      <c r="E64" s="12"/>
      <c r="F64" s="12"/>
      <c r="G64" s="12"/>
      <c r="H64" s="12"/>
      <c r="I64" s="12"/>
      <c r="J64" s="12"/>
      <c r="K64" s="12"/>
      <c r="L64" s="12"/>
      <c r="M64" s="12"/>
      <c r="N64" s="12"/>
      <c r="O64" s="12"/>
      <c r="P64" s="12"/>
      <c r="Q64" s="12"/>
      <c r="R64" s="12"/>
      <c r="S64" s="12"/>
      <c r="T64" s="12"/>
      <c r="U64" s="12"/>
      <c r="V64" s="12"/>
      <c r="W64" s="12"/>
      <c r="X64" s="12"/>
      <c r="Y64" s="12"/>
      <c r="Z64" s="12"/>
      <c r="AA64" s="12"/>
      <c r="AB64" s="12"/>
      <c r="AC64" s="12"/>
    </row>
    <row r="65" ht="15.75" customHeight="1">
      <c r="A65" s="12"/>
      <c r="B65" s="12"/>
      <c r="C65" s="12"/>
      <c r="D65" s="12"/>
      <c r="E65" s="12"/>
      <c r="F65" s="12"/>
      <c r="G65" s="12"/>
      <c r="H65" s="12"/>
      <c r="I65" s="12"/>
      <c r="J65" s="12"/>
      <c r="K65" s="12"/>
      <c r="L65" s="12"/>
      <c r="M65" s="12"/>
      <c r="N65" s="12"/>
      <c r="O65" s="12"/>
      <c r="P65" s="12"/>
      <c r="Q65" s="12"/>
      <c r="R65" s="12"/>
      <c r="S65" s="12"/>
      <c r="T65" s="12"/>
      <c r="U65" s="12"/>
      <c r="V65" s="12"/>
      <c r="W65" s="12"/>
      <c r="X65" s="12"/>
      <c r="Y65" s="12"/>
      <c r="Z65" s="12"/>
      <c r="AA65" s="12"/>
      <c r="AB65" s="12"/>
      <c r="AC65" s="12"/>
    </row>
    <row r="66" ht="15.75" customHeight="1">
      <c r="A66" s="12"/>
      <c r="B66" s="12"/>
      <c r="C66" s="12"/>
      <c r="D66" s="12"/>
      <c r="E66" s="12"/>
      <c r="F66" s="12"/>
      <c r="G66" s="12"/>
      <c r="H66" s="12"/>
      <c r="I66" s="12"/>
      <c r="J66" s="12"/>
      <c r="K66" s="12"/>
      <c r="L66" s="12"/>
      <c r="M66" s="12"/>
      <c r="N66" s="12"/>
      <c r="O66" s="12"/>
      <c r="P66" s="12"/>
      <c r="Q66" s="12"/>
      <c r="R66" s="12"/>
      <c r="S66" s="12"/>
      <c r="T66" s="12"/>
      <c r="U66" s="12"/>
      <c r="V66" s="12"/>
      <c r="W66" s="12"/>
      <c r="X66" s="12"/>
      <c r="Y66" s="12"/>
      <c r="Z66" s="12"/>
      <c r="AA66" s="12"/>
      <c r="AB66" s="12"/>
      <c r="AC66" s="12"/>
    </row>
    <row r="67" ht="15.75" customHeight="1">
      <c r="A67" s="12"/>
      <c r="B67" s="12"/>
      <c r="C67" s="12"/>
      <c r="D67" s="12"/>
      <c r="E67" s="12"/>
      <c r="F67" s="12"/>
      <c r="G67" s="12"/>
      <c r="H67" s="12"/>
      <c r="I67" s="12"/>
      <c r="J67" s="12"/>
      <c r="K67" s="12"/>
      <c r="L67" s="12"/>
      <c r="M67" s="12"/>
      <c r="N67" s="12"/>
      <c r="O67" s="12"/>
      <c r="P67" s="12"/>
      <c r="Q67" s="12"/>
      <c r="R67" s="12"/>
      <c r="S67" s="12"/>
      <c r="T67" s="12"/>
      <c r="U67" s="12"/>
      <c r="V67" s="12"/>
      <c r="W67" s="12"/>
      <c r="X67" s="12"/>
      <c r="Y67" s="12"/>
      <c r="Z67" s="12"/>
      <c r="AA67" s="12"/>
      <c r="AB67" s="12"/>
      <c r="AC67" s="12"/>
    </row>
    <row r="68" ht="15.75" customHeight="1">
      <c r="A68" s="12"/>
      <c r="B68" s="12"/>
      <c r="C68" s="12"/>
      <c r="D68" s="12"/>
      <c r="E68" s="12"/>
      <c r="F68" s="12"/>
      <c r="G68" s="12"/>
      <c r="H68" s="12"/>
      <c r="I68" s="12"/>
      <c r="J68" s="12"/>
      <c r="K68" s="12"/>
      <c r="L68" s="12"/>
      <c r="M68" s="12"/>
      <c r="N68" s="12"/>
      <c r="O68" s="12"/>
      <c r="P68" s="12"/>
      <c r="Q68" s="12"/>
      <c r="R68" s="12"/>
      <c r="S68" s="12"/>
      <c r="T68" s="12"/>
      <c r="U68" s="12"/>
      <c r="V68" s="12"/>
      <c r="W68" s="12"/>
      <c r="X68" s="12"/>
      <c r="Y68" s="12"/>
      <c r="Z68" s="12"/>
      <c r="AA68" s="12"/>
      <c r="AB68" s="12"/>
      <c r="AC68" s="12"/>
    </row>
    <row r="69" ht="15.75" customHeight="1">
      <c r="A69" s="12"/>
      <c r="B69" s="12"/>
      <c r="C69" s="12"/>
      <c r="D69" s="12"/>
      <c r="E69" s="12"/>
      <c r="F69" s="12"/>
      <c r="G69" s="12"/>
      <c r="H69" s="12"/>
      <c r="I69" s="12"/>
      <c r="J69" s="12"/>
      <c r="K69" s="12"/>
      <c r="L69" s="12"/>
      <c r="M69" s="12"/>
      <c r="N69" s="12"/>
      <c r="O69" s="12"/>
      <c r="P69" s="12"/>
      <c r="Q69" s="12"/>
      <c r="R69" s="12"/>
      <c r="S69" s="12"/>
      <c r="T69" s="12"/>
      <c r="U69" s="12"/>
      <c r="V69" s="12"/>
      <c r="W69" s="12"/>
      <c r="X69" s="12"/>
      <c r="Y69" s="12"/>
      <c r="Z69" s="12"/>
      <c r="AA69" s="12"/>
      <c r="AB69" s="12"/>
      <c r="AC69" s="12"/>
    </row>
    <row r="70" ht="15.75" customHeight="1">
      <c r="A70" s="12"/>
      <c r="B70" s="12"/>
      <c r="C70" s="12"/>
      <c r="D70" s="12"/>
      <c r="E70" s="12"/>
      <c r="F70" s="12"/>
      <c r="G70" s="12"/>
      <c r="H70" s="12"/>
      <c r="I70" s="12"/>
      <c r="J70" s="12"/>
      <c r="K70" s="12"/>
      <c r="L70" s="12"/>
      <c r="M70" s="12"/>
      <c r="N70" s="12"/>
      <c r="O70" s="12"/>
      <c r="P70" s="12"/>
      <c r="Q70" s="12"/>
      <c r="R70" s="12"/>
      <c r="S70" s="12"/>
      <c r="T70" s="12"/>
      <c r="U70" s="12"/>
      <c r="V70" s="12"/>
      <c r="W70" s="12"/>
      <c r="X70" s="12"/>
      <c r="Y70" s="12"/>
      <c r="Z70" s="12"/>
      <c r="AA70" s="12"/>
      <c r="AB70" s="12"/>
      <c r="AC70" s="12"/>
    </row>
    <row r="71" ht="15.75" customHeight="1">
      <c r="A71" s="12"/>
      <c r="B71" s="12"/>
      <c r="C71" s="12"/>
      <c r="D71" s="12"/>
      <c r="E71" s="12"/>
      <c r="F71" s="12"/>
      <c r="G71" s="12"/>
      <c r="H71" s="12"/>
      <c r="I71" s="12"/>
      <c r="J71" s="12"/>
      <c r="K71" s="12"/>
      <c r="L71" s="12"/>
      <c r="M71" s="12"/>
      <c r="N71" s="12"/>
      <c r="O71" s="12"/>
      <c r="P71" s="12"/>
      <c r="Q71" s="12"/>
      <c r="R71" s="12"/>
      <c r="S71" s="12"/>
      <c r="T71" s="12"/>
      <c r="U71" s="12"/>
      <c r="V71" s="12"/>
      <c r="W71" s="12"/>
      <c r="X71" s="12"/>
      <c r="Y71" s="12"/>
      <c r="Z71" s="12"/>
      <c r="AA71" s="12"/>
      <c r="AB71" s="12"/>
      <c r="AC71" s="12"/>
    </row>
    <row r="72" ht="15.75" customHeight="1">
      <c r="A72" s="12"/>
      <c r="B72" s="12"/>
      <c r="C72" s="12"/>
      <c r="D72" s="12"/>
      <c r="E72" s="12"/>
      <c r="F72" s="12"/>
      <c r="G72" s="12"/>
      <c r="H72" s="12"/>
      <c r="I72" s="12"/>
      <c r="J72" s="12"/>
      <c r="K72" s="12"/>
      <c r="L72" s="12"/>
      <c r="M72" s="12"/>
      <c r="N72" s="12"/>
      <c r="O72" s="12"/>
      <c r="P72" s="12"/>
      <c r="Q72" s="12"/>
      <c r="R72" s="12"/>
      <c r="S72" s="12"/>
      <c r="T72" s="12"/>
      <c r="U72" s="12"/>
      <c r="V72" s="12"/>
      <c r="W72" s="12"/>
      <c r="X72" s="12"/>
      <c r="Y72" s="12"/>
      <c r="Z72" s="12"/>
      <c r="AA72" s="12"/>
      <c r="AB72" s="12"/>
      <c r="AC72" s="12"/>
    </row>
    <row r="73" ht="15.75" customHeight="1">
      <c r="A73" s="12"/>
      <c r="B73" s="12"/>
      <c r="C73" s="12"/>
      <c r="D73" s="12"/>
      <c r="E73" s="12"/>
      <c r="F73" s="12"/>
      <c r="G73" s="12"/>
      <c r="H73" s="12"/>
      <c r="I73" s="12"/>
      <c r="J73" s="12"/>
      <c r="K73" s="12"/>
      <c r="L73" s="12"/>
      <c r="M73" s="12"/>
      <c r="N73" s="12"/>
      <c r="O73" s="12"/>
      <c r="P73" s="12"/>
      <c r="Q73" s="12"/>
      <c r="R73" s="12"/>
      <c r="S73" s="12"/>
      <c r="T73" s="12"/>
      <c r="U73" s="12"/>
      <c r="V73" s="12"/>
      <c r="W73" s="12"/>
      <c r="X73" s="12"/>
      <c r="Y73" s="12"/>
      <c r="Z73" s="12"/>
      <c r="AA73" s="12"/>
      <c r="AB73" s="12"/>
      <c r="AC73" s="12"/>
    </row>
    <row r="74" ht="15.75" customHeight="1">
      <c r="A74" s="12"/>
      <c r="B74" s="12"/>
      <c r="C74" s="12"/>
      <c r="D74" s="12"/>
      <c r="E74" s="12"/>
      <c r="F74" s="12"/>
      <c r="G74" s="12"/>
      <c r="H74" s="12"/>
      <c r="I74" s="12"/>
      <c r="J74" s="12"/>
      <c r="K74" s="12"/>
      <c r="L74" s="12"/>
      <c r="M74" s="12"/>
      <c r="N74" s="12"/>
      <c r="O74" s="12"/>
      <c r="P74" s="12"/>
      <c r="Q74" s="12"/>
      <c r="R74" s="12"/>
      <c r="S74" s="12"/>
      <c r="T74" s="12"/>
      <c r="U74" s="12"/>
      <c r="V74" s="12"/>
      <c r="W74" s="12"/>
      <c r="X74" s="12"/>
      <c r="Y74" s="12"/>
      <c r="Z74" s="12"/>
      <c r="AA74" s="12"/>
      <c r="AB74" s="12"/>
      <c r="AC74" s="12"/>
    </row>
    <row r="75" ht="15.75" customHeight="1">
      <c r="A75" s="12"/>
      <c r="B75" s="12"/>
      <c r="C75" s="12"/>
      <c r="D75" s="12"/>
      <c r="E75" s="12"/>
      <c r="F75" s="12"/>
      <c r="G75" s="12"/>
      <c r="H75" s="12"/>
      <c r="I75" s="12"/>
      <c r="J75" s="12"/>
      <c r="K75" s="12"/>
      <c r="L75" s="12"/>
      <c r="M75" s="12"/>
      <c r="N75" s="12"/>
      <c r="O75" s="12"/>
      <c r="P75" s="12"/>
      <c r="Q75" s="12"/>
      <c r="R75" s="12"/>
      <c r="S75" s="12"/>
      <c r="T75" s="12"/>
      <c r="U75" s="12"/>
      <c r="V75" s="12"/>
      <c r="W75" s="12"/>
      <c r="X75" s="12"/>
      <c r="Y75" s="12"/>
      <c r="Z75" s="12"/>
      <c r="AA75" s="12"/>
      <c r="AB75" s="12"/>
      <c r="AC75" s="12"/>
    </row>
    <row r="76" ht="15.75" customHeight="1">
      <c r="A76" s="12"/>
      <c r="B76" s="12"/>
      <c r="C76" s="12"/>
      <c r="D76" s="12"/>
      <c r="E76" s="12"/>
      <c r="F76" s="12"/>
      <c r="G76" s="12"/>
      <c r="H76" s="12"/>
      <c r="I76" s="12"/>
      <c r="J76" s="12"/>
      <c r="K76" s="12"/>
      <c r="L76" s="12"/>
      <c r="M76" s="12"/>
      <c r="N76" s="12"/>
      <c r="O76" s="12"/>
      <c r="P76" s="12"/>
      <c r="Q76" s="12"/>
      <c r="R76" s="12"/>
      <c r="S76" s="12"/>
      <c r="T76" s="12"/>
      <c r="U76" s="12"/>
      <c r="V76" s="12"/>
      <c r="W76" s="12"/>
      <c r="X76" s="12"/>
      <c r="Y76" s="12"/>
      <c r="Z76" s="12"/>
      <c r="AA76" s="12"/>
      <c r="AB76" s="12"/>
      <c r="AC76" s="12"/>
    </row>
    <row r="77" ht="15.75" customHeight="1">
      <c r="A77" s="12"/>
      <c r="B77" s="12"/>
      <c r="C77" s="12"/>
      <c r="D77" s="12"/>
      <c r="E77" s="12"/>
      <c r="F77" s="12"/>
      <c r="G77" s="12"/>
      <c r="H77" s="12"/>
      <c r="I77" s="12"/>
      <c r="J77" s="12"/>
      <c r="K77" s="12"/>
      <c r="L77" s="12"/>
      <c r="M77" s="12"/>
      <c r="N77" s="12"/>
      <c r="O77" s="12"/>
      <c r="P77" s="12"/>
      <c r="Q77" s="12"/>
      <c r="R77" s="12"/>
      <c r="S77" s="12"/>
      <c r="T77" s="12"/>
      <c r="U77" s="12"/>
      <c r="V77" s="12"/>
      <c r="W77" s="12"/>
      <c r="X77" s="12"/>
      <c r="Y77" s="12"/>
      <c r="Z77" s="12"/>
      <c r="AA77" s="12"/>
      <c r="AB77" s="12"/>
      <c r="AC77" s="12"/>
    </row>
    <row r="78" ht="15.75" customHeight="1">
      <c r="A78" s="12"/>
      <c r="B78" s="12"/>
      <c r="C78" s="12"/>
      <c r="D78" s="12"/>
      <c r="E78" s="12"/>
      <c r="F78" s="12"/>
      <c r="G78" s="12"/>
      <c r="H78" s="12"/>
      <c r="I78" s="12"/>
      <c r="J78" s="12"/>
      <c r="K78" s="12"/>
      <c r="L78" s="12"/>
      <c r="M78" s="12"/>
      <c r="N78" s="12"/>
      <c r="O78" s="12"/>
      <c r="P78" s="12"/>
      <c r="Q78" s="12"/>
      <c r="R78" s="12"/>
      <c r="S78" s="12"/>
      <c r="T78" s="12"/>
      <c r="U78" s="12"/>
      <c r="V78" s="12"/>
      <c r="W78" s="12"/>
      <c r="X78" s="12"/>
      <c r="Y78" s="12"/>
      <c r="Z78" s="12"/>
      <c r="AA78" s="12"/>
      <c r="AB78" s="12"/>
      <c r="AC78" s="12"/>
    </row>
    <row r="79" ht="15.75" customHeight="1">
      <c r="A79" s="12"/>
      <c r="B79" s="12"/>
      <c r="C79" s="12"/>
      <c r="D79" s="12"/>
      <c r="E79" s="12"/>
      <c r="F79" s="12"/>
      <c r="G79" s="12"/>
      <c r="H79" s="12"/>
      <c r="I79" s="12"/>
      <c r="J79" s="12"/>
      <c r="K79" s="12"/>
      <c r="L79" s="12"/>
      <c r="M79" s="12"/>
      <c r="N79" s="12"/>
      <c r="O79" s="12"/>
      <c r="P79" s="12"/>
      <c r="Q79" s="12"/>
      <c r="R79" s="12"/>
      <c r="S79" s="12"/>
      <c r="T79" s="12"/>
      <c r="U79" s="12"/>
      <c r="V79" s="12"/>
      <c r="W79" s="12"/>
      <c r="X79" s="12"/>
      <c r="Y79" s="12"/>
      <c r="Z79" s="12"/>
      <c r="AA79" s="12"/>
      <c r="AB79" s="12"/>
      <c r="AC79" s="12"/>
    </row>
    <row r="80" ht="15.75" customHeight="1">
      <c r="A80" s="12"/>
      <c r="B80" s="12"/>
      <c r="C80" s="12"/>
      <c r="D80" s="12"/>
      <c r="E80" s="12"/>
      <c r="F80" s="12"/>
      <c r="G80" s="12"/>
      <c r="H80" s="12"/>
      <c r="I80" s="12"/>
      <c r="J80" s="12"/>
      <c r="K80" s="12"/>
      <c r="L80" s="12"/>
      <c r="M80" s="12"/>
      <c r="N80" s="12"/>
      <c r="O80" s="12"/>
      <c r="P80" s="12"/>
      <c r="Q80" s="12"/>
      <c r="R80" s="12"/>
      <c r="S80" s="12"/>
      <c r="T80" s="12"/>
      <c r="U80" s="12"/>
      <c r="V80" s="12"/>
      <c r="W80" s="12"/>
      <c r="X80" s="12"/>
      <c r="Y80" s="12"/>
      <c r="Z80" s="12"/>
      <c r="AA80" s="12"/>
      <c r="AB80" s="12"/>
      <c r="AC80" s="12"/>
    </row>
    <row r="81" ht="15.75" customHeight="1">
      <c r="A81" s="12"/>
      <c r="B81" s="12"/>
      <c r="C81" s="12"/>
      <c r="D81" s="12"/>
      <c r="E81" s="12"/>
      <c r="F81" s="12"/>
      <c r="G81" s="12"/>
      <c r="H81" s="12"/>
      <c r="I81" s="12"/>
      <c r="J81" s="12"/>
      <c r="K81" s="12"/>
      <c r="L81" s="12"/>
      <c r="M81" s="12"/>
      <c r="N81" s="12"/>
      <c r="O81" s="12"/>
      <c r="P81" s="12"/>
      <c r="Q81" s="12"/>
      <c r="R81" s="12"/>
      <c r="S81" s="12"/>
      <c r="T81" s="12"/>
      <c r="U81" s="12"/>
      <c r="V81" s="12"/>
      <c r="W81" s="12"/>
      <c r="X81" s="12"/>
      <c r="Y81" s="12"/>
      <c r="Z81" s="12"/>
      <c r="AA81" s="12"/>
      <c r="AB81" s="12"/>
      <c r="AC81" s="12"/>
    </row>
    <row r="82" ht="15.75" customHeight="1">
      <c r="A82" s="12"/>
      <c r="B82" s="12"/>
      <c r="C82" s="12"/>
      <c r="D82" s="12"/>
      <c r="E82" s="12"/>
      <c r="F82" s="12"/>
      <c r="G82" s="12"/>
      <c r="H82" s="12"/>
      <c r="I82" s="12"/>
      <c r="J82" s="12"/>
      <c r="K82" s="12"/>
      <c r="L82" s="12"/>
      <c r="M82" s="12"/>
      <c r="N82" s="12"/>
      <c r="O82" s="12"/>
      <c r="P82" s="12"/>
      <c r="Q82" s="12"/>
      <c r="R82" s="12"/>
      <c r="S82" s="12"/>
      <c r="T82" s="12"/>
      <c r="U82" s="12"/>
      <c r="V82" s="12"/>
      <c r="W82" s="12"/>
      <c r="X82" s="12"/>
      <c r="Y82" s="12"/>
      <c r="Z82" s="12"/>
      <c r="AA82" s="12"/>
      <c r="AB82" s="12"/>
      <c r="AC82" s="12"/>
    </row>
    <row r="83" ht="15.75" customHeight="1">
      <c r="A83" s="12"/>
      <c r="B83" s="12"/>
      <c r="C83" s="12"/>
      <c r="D83" s="12"/>
      <c r="E83" s="12"/>
      <c r="F83" s="12"/>
      <c r="G83" s="12"/>
      <c r="H83" s="12"/>
      <c r="I83" s="12"/>
      <c r="J83" s="12"/>
      <c r="K83" s="12"/>
      <c r="L83" s="12"/>
      <c r="M83" s="12"/>
      <c r="N83" s="12"/>
      <c r="O83" s="12"/>
      <c r="P83" s="12"/>
      <c r="Q83" s="12"/>
      <c r="R83" s="12"/>
      <c r="S83" s="12"/>
      <c r="T83" s="12"/>
      <c r="U83" s="12"/>
      <c r="V83" s="12"/>
      <c r="W83" s="12"/>
      <c r="X83" s="12"/>
      <c r="Y83" s="12"/>
      <c r="Z83" s="12"/>
      <c r="AA83" s="12"/>
      <c r="AB83" s="12"/>
      <c r="AC83" s="12"/>
    </row>
    <row r="84" ht="15.75" customHeight="1">
      <c r="A84" s="12"/>
      <c r="B84" s="12"/>
      <c r="C84" s="12"/>
      <c r="D84" s="12"/>
      <c r="E84" s="12"/>
      <c r="F84" s="12"/>
      <c r="G84" s="12"/>
      <c r="H84" s="12"/>
      <c r="I84" s="12"/>
      <c r="J84" s="12"/>
      <c r="K84" s="12"/>
      <c r="L84" s="12"/>
      <c r="M84" s="12"/>
      <c r="N84" s="12"/>
      <c r="O84" s="12"/>
      <c r="P84" s="12"/>
      <c r="Q84" s="12"/>
      <c r="R84" s="12"/>
      <c r="S84" s="12"/>
      <c r="T84" s="12"/>
      <c r="U84" s="12"/>
      <c r="V84" s="12"/>
      <c r="W84" s="12"/>
      <c r="X84" s="12"/>
      <c r="Y84" s="12"/>
      <c r="Z84" s="12"/>
      <c r="AA84" s="12"/>
      <c r="AB84" s="12"/>
      <c r="AC84" s="12"/>
    </row>
    <row r="85" ht="15.75" customHeight="1">
      <c r="A85" s="12"/>
      <c r="B85" s="12"/>
      <c r="C85" s="12"/>
      <c r="D85" s="12"/>
      <c r="E85" s="12"/>
      <c r="F85" s="12"/>
      <c r="G85" s="12"/>
      <c r="H85" s="12"/>
      <c r="I85" s="12"/>
      <c r="J85" s="12"/>
      <c r="K85" s="12"/>
      <c r="L85" s="12"/>
      <c r="M85" s="12"/>
      <c r="N85" s="12"/>
      <c r="O85" s="12"/>
      <c r="P85" s="12"/>
      <c r="Q85" s="12"/>
      <c r="R85" s="12"/>
      <c r="S85" s="12"/>
      <c r="T85" s="12"/>
      <c r="U85" s="12"/>
      <c r="V85" s="12"/>
      <c r="W85" s="12"/>
      <c r="X85" s="12"/>
      <c r="Y85" s="12"/>
      <c r="Z85" s="12"/>
      <c r="AA85" s="12"/>
      <c r="AB85" s="12"/>
      <c r="AC85" s="12"/>
    </row>
    <row r="86" ht="15.75" customHeight="1">
      <c r="A86" s="12"/>
      <c r="B86" s="12"/>
      <c r="C86" s="12"/>
      <c r="D86" s="12"/>
      <c r="E86" s="12"/>
      <c r="F86" s="12"/>
      <c r="G86" s="12"/>
      <c r="H86" s="12"/>
      <c r="I86" s="12"/>
      <c r="J86" s="12"/>
      <c r="K86" s="12"/>
      <c r="L86" s="12"/>
      <c r="M86" s="12"/>
      <c r="N86" s="12"/>
      <c r="O86" s="12"/>
      <c r="P86" s="12"/>
      <c r="Q86" s="12"/>
      <c r="R86" s="12"/>
      <c r="S86" s="12"/>
      <c r="T86" s="12"/>
      <c r="U86" s="12"/>
      <c r="V86" s="12"/>
      <c r="W86" s="12"/>
      <c r="X86" s="12"/>
      <c r="Y86" s="12"/>
      <c r="Z86" s="12"/>
      <c r="AA86" s="12"/>
      <c r="AB86" s="12"/>
      <c r="AC86" s="12"/>
    </row>
    <row r="87" ht="15.75" customHeight="1">
      <c r="A87" s="12"/>
      <c r="B87" s="12"/>
      <c r="C87" s="12"/>
      <c r="D87" s="12"/>
      <c r="E87" s="12"/>
      <c r="F87" s="12"/>
      <c r="G87" s="12"/>
      <c r="H87" s="12"/>
      <c r="I87" s="12"/>
      <c r="J87" s="12"/>
      <c r="K87" s="12"/>
      <c r="L87" s="12"/>
      <c r="M87" s="12"/>
      <c r="N87" s="12"/>
      <c r="O87" s="12"/>
      <c r="P87" s="12"/>
      <c r="Q87" s="12"/>
      <c r="R87" s="12"/>
      <c r="S87" s="12"/>
      <c r="T87" s="12"/>
      <c r="U87" s="12"/>
      <c r="V87" s="12"/>
      <c r="W87" s="12"/>
      <c r="X87" s="12"/>
      <c r="Y87" s="12"/>
      <c r="Z87" s="12"/>
      <c r="AA87" s="12"/>
      <c r="AB87" s="12"/>
      <c r="AC87" s="12"/>
    </row>
    <row r="88" ht="15.75" customHeight="1">
      <c r="A88" s="12"/>
      <c r="B88" s="12"/>
      <c r="C88" s="12"/>
      <c r="D88" s="12"/>
      <c r="E88" s="12"/>
      <c r="F88" s="12"/>
      <c r="G88" s="12"/>
      <c r="H88" s="12"/>
      <c r="I88" s="12"/>
      <c r="J88" s="12"/>
      <c r="K88" s="12"/>
      <c r="L88" s="12"/>
      <c r="M88" s="12"/>
      <c r="N88" s="12"/>
      <c r="O88" s="12"/>
      <c r="P88" s="12"/>
      <c r="Q88" s="12"/>
      <c r="R88" s="12"/>
      <c r="S88" s="12"/>
      <c r="T88" s="12"/>
      <c r="U88" s="12"/>
      <c r="V88" s="12"/>
      <c r="W88" s="12"/>
      <c r="X88" s="12"/>
      <c r="Y88" s="12"/>
      <c r="Z88" s="12"/>
      <c r="AA88" s="12"/>
      <c r="AB88" s="12"/>
      <c r="AC88" s="12"/>
    </row>
    <row r="89" ht="15.75" customHeight="1">
      <c r="A89" s="12"/>
      <c r="B89" s="12"/>
      <c r="C89" s="12"/>
      <c r="D89" s="12"/>
      <c r="E89" s="12"/>
      <c r="F89" s="12"/>
      <c r="G89" s="12"/>
      <c r="H89" s="12"/>
      <c r="I89" s="12"/>
      <c r="J89" s="12"/>
      <c r="K89" s="12"/>
      <c r="L89" s="12"/>
      <c r="M89" s="12"/>
      <c r="N89" s="12"/>
      <c r="O89" s="12"/>
      <c r="P89" s="12"/>
      <c r="Q89" s="12"/>
      <c r="R89" s="12"/>
      <c r="S89" s="12"/>
      <c r="T89" s="12"/>
      <c r="U89" s="12"/>
      <c r="V89" s="12"/>
      <c r="W89" s="12"/>
      <c r="X89" s="12"/>
      <c r="Y89" s="12"/>
      <c r="Z89" s="12"/>
      <c r="AA89" s="12"/>
      <c r="AB89" s="12"/>
      <c r="AC89" s="12"/>
    </row>
    <row r="90" ht="15.75" customHeight="1">
      <c r="A90" s="12"/>
      <c r="B90" s="12"/>
      <c r="C90" s="12"/>
      <c r="D90" s="12"/>
      <c r="E90" s="12"/>
      <c r="F90" s="12"/>
      <c r="G90" s="12"/>
      <c r="H90" s="12"/>
      <c r="I90" s="12"/>
      <c r="J90" s="12"/>
      <c r="K90" s="12"/>
      <c r="L90" s="12"/>
      <c r="M90" s="12"/>
      <c r="N90" s="12"/>
      <c r="O90" s="12"/>
      <c r="P90" s="12"/>
      <c r="Q90" s="12"/>
      <c r="R90" s="12"/>
      <c r="S90" s="12"/>
      <c r="T90" s="12"/>
      <c r="U90" s="12"/>
      <c r="V90" s="12"/>
      <c r="W90" s="12"/>
      <c r="X90" s="12"/>
      <c r="Y90" s="12"/>
      <c r="Z90" s="12"/>
      <c r="AA90" s="12"/>
      <c r="AB90" s="12"/>
      <c r="AC90" s="12"/>
    </row>
    <row r="91" ht="15.75" customHeight="1">
      <c r="A91" s="12"/>
      <c r="B91" s="12"/>
      <c r="C91" s="12"/>
      <c r="D91" s="12"/>
      <c r="E91" s="12"/>
      <c r="F91" s="12"/>
      <c r="G91" s="12"/>
      <c r="H91" s="12"/>
      <c r="I91" s="12"/>
      <c r="J91" s="12"/>
      <c r="K91" s="12"/>
      <c r="L91" s="12"/>
      <c r="M91" s="12"/>
      <c r="N91" s="12"/>
      <c r="O91" s="12"/>
      <c r="P91" s="12"/>
      <c r="Q91" s="12"/>
      <c r="R91" s="12"/>
      <c r="S91" s="12"/>
      <c r="T91" s="12"/>
      <c r="U91" s="12"/>
      <c r="V91" s="12"/>
      <c r="W91" s="12"/>
      <c r="X91" s="12"/>
      <c r="Y91" s="12"/>
      <c r="Z91" s="12"/>
      <c r="AA91" s="12"/>
      <c r="AB91" s="12"/>
      <c r="AC91" s="12"/>
    </row>
    <row r="92" ht="15.75" customHeight="1">
      <c r="A92" s="12"/>
      <c r="B92" s="12"/>
      <c r="C92" s="12"/>
      <c r="D92" s="12"/>
      <c r="E92" s="12"/>
      <c r="F92" s="12"/>
      <c r="G92" s="12"/>
      <c r="H92" s="12"/>
      <c r="I92" s="12"/>
      <c r="J92" s="12"/>
      <c r="K92" s="12"/>
      <c r="L92" s="12"/>
      <c r="M92" s="12"/>
      <c r="N92" s="12"/>
      <c r="O92" s="12"/>
      <c r="P92" s="12"/>
      <c r="Q92" s="12"/>
      <c r="R92" s="12"/>
      <c r="S92" s="12"/>
      <c r="T92" s="12"/>
      <c r="U92" s="12"/>
      <c r="V92" s="12"/>
      <c r="W92" s="12"/>
      <c r="X92" s="12"/>
      <c r="Y92" s="12"/>
      <c r="Z92" s="12"/>
      <c r="AA92" s="12"/>
      <c r="AB92" s="12"/>
      <c r="AC92" s="12"/>
    </row>
    <row r="93" ht="15.75" customHeight="1">
      <c r="A93" s="12"/>
      <c r="B93" s="12"/>
      <c r="C93" s="12"/>
      <c r="D93" s="12"/>
      <c r="E93" s="12"/>
      <c r="F93" s="12"/>
      <c r="G93" s="12"/>
      <c r="H93" s="12"/>
      <c r="I93" s="12"/>
      <c r="J93" s="12"/>
      <c r="K93" s="12"/>
      <c r="L93" s="12"/>
      <c r="M93" s="12"/>
      <c r="N93" s="12"/>
      <c r="O93" s="12"/>
      <c r="P93" s="12"/>
      <c r="Q93" s="12"/>
      <c r="R93" s="12"/>
      <c r="S93" s="12"/>
      <c r="T93" s="12"/>
      <c r="U93" s="12"/>
      <c r="V93" s="12"/>
      <c r="W93" s="12"/>
      <c r="X93" s="12"/>
      <c r="Y93" s="12"/>
      <c r="Z93" s="12"/>
      <c r="AA93" s="12"/>
      <c r="AB93" s="12"/>
      <c r="AC93" s="12"/>
    </row>
    <row r="94" ht="15.75" customHeight="1">
      <c r="A94" s="12"/>
      <c r="B94" s="12"/>
      <c r="C94" s="12"/>
      <c r="D94" s="12"/>
      <c r="E94" s="12"/>
      <c r="F94" s="12"/>
      <c r="G94" s="12"/>
      <c r="H94" s="12"/>
      <c r="I94" s="12"/>
      <c r="J94" s="12"/>
      <c r="K94" s="12"/>
      <c r="L94" s="12"/>
      <c r="M94" s="12"/>
      <c r="N94" s="12"/>
      <c r="O94" s="12"/>
      <c r="P94" s="12"/>
      <c r="Q94" s="12"/>
      <c r="R94" s="12"/>
      <c r="S94" s="12"/>
      <c r="T94" s="12"/>
      <c r="U94" s="12"/>
      <c r="V94" s="12"/>
      <c r="W94" s="12"/>
      <c r="X94" s="12"/>
      <c r="Y94" s="12"/>
      <c r="Z94" s="12"/>
      <c r="AA94" s="12"/>
      <c r="AB94" s="12"/>
      <c r="AC94" s="12"/>
    </row>
    <row r="95" ht="15.75" customHeight="1">
      <c r="A95" s="12"/>
      <c r="B95" s="12"/>
      <c r="C95" s="12"/>
      <c r="D95" s="12"/>
      <c r="E95" s="12"/>
      <c r="F95" s="12"/>
      <c r="G95" s="12"/>
      <c r="H95" s="12"/>
      <c r="I95" s="12"/>
      <c r="J95" s="12"/>
      <c r="K95" s="12"/>
      <c r="L95" s="12"/>
      <c r="M95" s="12"/>
      <c r="N95" s="12"/>
      <c r="O95" s="12"/>
      <c r="P95" s="12"/>
      <c r="Q95" s="12"/>
      <c r="R95" s="12"/>
      <c r="S95" s="12"/>
      <c r="T95" s="12"/>
      <c r="U95" s="12"/>
      <c r="V95" s="12"/>
      <c r="W95" s="12"/>
      <c r="X95" s="12"/>
      <c r="Y95" s="12"/>
      <c r="Z95" s="12"/>
      <c r="AA95" s="12"/>
      <c r="AB95" s="12"/>
      <c r="AC95" s="12"/>
    </row>
    <row r="96" ht="15.75" customHeight="1">
      <c r="A96" s="12"/>
      <c r="B96" s="12"/>
      <c r="C96" s="12"/>
      <c r="D96" s="12"/>
      <c r="E96" s="12"/>
      <c r="F96" s="12"/>
      <c r="G96" s="12"/>
      <c r="H96" s="12"/>
      <c r="I96" s="12"/>
      <c r="J96" s="12"/>
      <c r="K96" s="12"/>
      <c r="L96" s="12"/>
      <c r="M96" s="12"/>
      <c r="N96" s="12"/>
      <c r="O96" s="12"/>
      <c r="P96" s="12"/>
      <c r="Q96" s="12"/>
      <c r="R96" s="12"/>
      <c r="S96" s="12"/>
      <c r="T96" s="12"/>
      <c r="U96" s="12"/>
      <c r="V96" s="12"/>
      <c r="W96" s="12"/>
      <c r="X96" s="12"/>
      <c r="Y96" s="12"/>
      <c r="Z96" s="12"/>
      <c r="AA96" s="12"/>
      <c r="AB96" s="12"/>
      <c r="AC96" s="12"/>
    </row>
    <row r="97" ht="15.75" customHeight="1">
      <c r="A97" s="12"/>
      <c r="B97" s="12"/>
      <c r="C97" s="12"/>
      <c r="D97" s="12"/>
      <c r="E97" s="12"/>
      <c r="F97" s="12"/>
      <c r="G97" s="12"/>
      <c r="H97" s="12"/>
      <c r="I97" s="12"/>
      <c r="J97" s="12"/>
      <c r="K97" s="12"/>
      <c r="L97" s="12"/>
      <c r="M97" s="12"/>
      <c r="N97" s="12"/>
      <c r="O97" s="12"/>
      <c r="P97" s="12"/>
      <c r="Q97" s="12"/>
      <c r="R97" s="12"/>
      <c r="S97" s="12"/>
      <c r="T97" s="12"/>
      <c r="U97" s="12"/>
      <c r="V97" s="12"/>
      <c r="W97" s="12"/>
      <c r="X97" s="12"/>
      <c r="Y97" s="12"/>
      <c r="Z97" s="12"/>
      <c r="AA97" s="12"/>
      <c r="AB97" s="12"/>
      <c r="AC97" s="12"/>
    </row>
    <row r="98" ht="15.75" customHeight="1">
      <c r="A98" s="12"/>
      <c r="B98" s="12"/>
      <c r="C98" s="12"/>
      <c r="D98" s="12"/>
      <c r="E98" s="12"/>
      <c r="F98" s="12"/>
      <c r="G98" s="12"/>
      <c r="H98" s="12"/>
      <c r="I98" s="12"/>
      <c r="J98" s="12"/>
      <c r="K98" s="12"/>
      <c r="L98" s="12"/>
      <c r="M98" s="12"/>
      <c r="N98" s="12"/>
      <c r="O98" s="12"/>
      <c r="P98" s="12"/>
      <c r="Q98" s="12"/>
      <c r="R98" s="12"/>
      <c r="S98" s="12"/>
      <c r="T98" s="12"/>
      <c r="U98" s="12"/>
      <c r="V98" s="12"/>
      <c r="W98" s="12"/>
      <c r="X98" s="12"/>
      <c r="Y98" s="12"/>
      <c r="Z98" s="12"/>
      <c r="AA98" s="12"/>
      <c r="AB98" s="12"/>
      <c r="AC98" s="12"/>
    </row>
    <row r="99" ht="15.75" customHeight="1">
      <c r="A99" s="12"/>
      <c r="B99" s="12"/>
      <c r="C99" s="12"/>
      <c r="D99" s="12"/>
      <c r="E99" s="12"/>
      <c r="F99" s="12"/>
      <c r="G99" s="12"/>
      <c r="H99" s="12"/>
      <c r="I99" s="12"/>
      <c r="J99" s="12"/>
      <c r="K99" s="12"/>
      <c r="L99" s="12"/>
      <c r="M99" s="12"/>
      <c r="N99" s="12"/>
      <c r="O99" s="12"/>
      <c r="P99" s="12"/>
      <c r="Q99" s="12"/>
      <c r="R99" s="12"/>
      <c r="S99" s="12"/>
      <c r="T99" s="12"/>
      <c r="U99" s="12"/>
      <c r="V99" s="12"/>
      <c r="W99" s="12"/>
      <c r="X99" s="12"/>
      <c r="Y99" s="12"/>
      <c r="Z99" s="12"/>
      <c r="AA99" s="12"/>
      <c r="AB99" s="12"/>
      <c r="AC99" s="12"/>
    </row>
    <row r="100" ht="15.75" customHeight="1">
      <c r="A100" s="12"/>
      <c r="B100" s="12"/>
      <c r="C100" s="12"/>
      <c r="D100" s="12"/>
      <c r="E100" s="12"/>
      <c r="F100" s="12"/>
      <c r="G100" s="12"/>
      <c r="H100" s="12"/>
      <c r="I100" s="12"/>
      <c r="J100" s="12"/>
      <c r="K100" s="12"/>
      <c r="L100" s="12"/>
      <c r="M100" s="12"/>
      <c r="N100" s="12"/>
      <c r="O100" s="12"/>
      <c r="P100" s="12"/>
      <c r="Q100" s="12"/>
      <c r="R100" s="12"/>
      <c r="S100" s="12"/>
      <c r="T100" s="12"/>
      <c r="U100" s="12"/>
      <c r="V100" s="12"/>
      <c r="W100" s="12"/>
      <c r="X100" s="12"/>
      <c r="Y100" s="12"/>
      <c r="Z100" s="12"/>
      <c r="AA100" s="12"/>
      <c r="AB100" s="12"/>
      <c r="AC100" s="12"/>
    </row>
    <row r="101" ht="15.75" customHeight="1">
      <c r="A101" s="12"/>
      <c r="B101" s="12"/>
      <c r="C101" s="12"/>
      <c r="D101" s="12"/>
      <c r="E101" s="12"/>
      <c r="F101" s="12"/>
      <c r="G101" s="12"/>
      <c r="H101" s="12"/>
      <c r="I101" s="12"/>
      <c r="J101" s="12"/>
      <c r="K101" s="12"/>
      <c r="L101" s="12"/>
      <c r="M101" s="12"/>
      <c r="N101" s="12"/>
      <c r="O101" s="12"/>
      <c r="P101" s="12"/>
      <c r="Q101" s="12"/>
      <c r="R101" s="12"/>
      <c r="S101" s="12"/>
      <c r="T101" s="12"/>
      <c r="U101" s="12"/>
      <c r="V101" s="12"/>
      <c r="W101" s="12"/>
      <c r="X101" s="12"/>
      <c r="Y101" s="12"/>
      <c r="Z101" s="12"/>
      <c r="AA101" s="12"/>
      <c r="AB101" s="12"/>
      <c r="AC101" s="12"/>
    </row>
    <row r="102" ht="15.75" customHeight="1">
      <c r="A102" s="12"/>
      <c r="B102" s="12"/>
      <c r="C102" s="12"/>
      <c r="D102" s="12"/>
      <c r="E102" s="12"/>
      <c r="F102" s="12"/>
      <c r="G102" s="12"/>
      <c r="H102" s="12"/>
      <c r="I102" s="12"/>
      <c r="J102" s="12"/>
      <c r="K102" s="12"/>
      <c r="L102" s="12"/>
      <c r="M102" s="12"/>
      <c r="N102" s="12"/>
      <c r="O102" s="12"/>
      <c r="P102" s="12"/>
      <c r="Q102" s="12"/>
      <c r="R102" s="12"/>
      <c r="S102" s="12"/>
      <c r="T102" s="12"/>
      <c r="U102" s="12"/>
      <c r="V102" s="12"/>
      <c r="W102" s="12"/>
      <c r="X102" s="12"/>
      <c r="Y102" s="12"/>
      <c r="Z102" s="12"/>
      <c r="AA102" s="12"/>
      <c r="AB102" s="12"/>
      <c r="AC102" s="12"/>
    </row>
    <row r="103" ht="15.75" customHeight="1">
      <c r="A103" s="12"/>
      <c r="B103" s="12"/>
      <c r="C103" s="12"/>
      <c r="D103" s="12"/>
      <c r="E103" s="12"/>
      <c r="F103" s="12"/>
      <c r="G103" s="12"/>
      <c r="H103" s="12"/>
      <c r="I103" s="12"/>
      <c r="J103" s="12"/>
      <c r="K103" s="12"/>
      <c r="L103" s="12"/>
      <c r="M103" s="12"/>
      <c r="N103" s="12"/>
      <c r="O103" s="12"/>
      <c r="P103" s="12"/>
      <c r="Q103" s="12"/>
      <c r="R103" s="12"/>
      <c r="S103" s="12"/>
      <c r="T103" s="12"/>
      <c r="U103" s="12"/>
      <c r="V103" s="12"/>
      <c r="W103" s="12"/>
      <c r="X103" s="12"/>
      <c r="Y103" s="12"/>
      <c r="Z103" s="12"/>
      <c r="AA103" s="12"/>
      <c r="AB103" s="12"/>
      <c r="AC103" s="12"/>
    </row>
    <row r="104" ht="15.75" customHeight="1">
      <c r="A104" s="12"/>
      <c r="B104" s="12"/>
      <c r="C104" s="12"/>
      <c r="D104" s="12"/>
      <c r="E104" s="12"/>
      <c r="F104" s="12"/>
      <c r="G104" s="12"/>
      <c r="H104" s="12"/>
      <c r="I104" s="12"/>
      <c r="J104" s="12"/>
      <c r="K104" s="12"/>
      <c r="L104" s="12"/>
      <c r="M104" s="12"/>
      <c r="N104" s="12"/>
      <c r="O104" s="12"/>
      <c r="P104" s="12"/>
      <c r="Q104" s="12"/>
      <c r="R104" s="12"/>
      <c r="S104" s="12"/>
      <c r="T104" s="12"/>
      <c r="U104" s="12"/>
      <c r="V104" s="12"/>
      <c r="W104" s="12"/>
      <c r="X104" s="12"/>
      <c r="Y104" s="12"/>
      <c r="Z104" s="12"/>
      <c r="AA104" s="12"/>
      <c r="AB104" s="12"/>
      <c r="AC104" s="12"/>
    </row>
    <row r="105" ht="15.75" customHeight="1">
      <c r="A105" s="12"/>
      <c r="B105" s="12"/>
      <c r="C105" s="12"/>
      <c r="D105" s="12"/>
      <c r="E105" s="12"/>
      <c r="F105" s="12"/>
      <c r="G105" s="12"/>
      <c r="H105" s="12"/>
      <c r="I105" s="12"/>
      <c r="J105" s="12"/>
      <c r="K105" s="12"/>
      <c r="L105" s="12"/>
      <c r="M105" s="12"/>
      <c r="N105" s="12"/>
      <c r="O105" s="12"/>
      <c r="P105" s="12"/>
      <c r="Q105" s="12"/>
      <c r="R105" s="12"/>
      <c r="S105" s="12"/>
      <c r="T105" s="12"/>
      <c r="U105" s="12"/>
      <c r="V105" s="12"/>
      <c r="W105" s="12"/>
      <c r="X105" s="12"/>
      <c r="Y105" s="12"/>
      <c r="Z105" s="12"/>
      <c r="AA105" s="12"/>
      <c r="AB105" s="12"/>
      <c r="AC105" s="12"/>
    </row>
    <row r="106" ht="15.75" customHeight="1">
      <c r="A106" s="12"/>
      <c r="B106" s="12"/>
      <c r="C106" s="12"/>
      <c r="D106" s="12"/>
      <c r="E106" s="12"/>
      <c r="F106" s="12"/>
      <c r="G106" s="12"/>
      <c r="H106" s="12"/>
      <c r="I106" s="12"/>
      <c r="J106" s="12"/>
      <c r="K106" s="12"/>
      <c r="L106" s="12"/>
      <c r="M106" s="12"/>
      <c r="N106" s="12"/>
      <c r="O106" s="12"/>
      <c r="P106" s="12"/>
      <c r="Q106" s="12"/>
      <c r="R106" s="12"/>
      <c r="S106" s="12"/>
      <c r="T106" s="12"/>
      <c r="U106" s="12"/>
      <c r="V106" s="12"/>
      <c r="W106" s="12"/>
      <c r="X106" s="12"/>
      <c r="Y106" s="12"/>
      <c r="Z106" s="12"/>
      <c r="AA106" s="12"/>
      <c r="AB106" s="12"/>
      <c r="AC106" s="12"/>
    </row>
    <row r="107" ht="15.75" customHeight="1">
      <c r="A107" s="12"/>
      <c r="B107" s="12"/>
      <c r="C107" s="12"/>
      <c r="D107" s="12"/>
      <c r="E107" s="12"/>
      <c r="F107" s="12"/>
      <c r="G107" s="12"/>
      <c r="H107" s="12"/>
      <c r="I107" s="12"/>
      <c r="J107" s="12"/>
      <c r="K107" s="12"/>
      <c r="L107" s="12"/>
      <c r="M107" s="12"/>
      <c r="N107" s="12"/>
      <c r="O107" s="12"/>
      <c r="P107" s="12"/>
      <c r="Q107" s="12"/>
      <c r="R107" s="12"/>
      <c r="S107" s="12"/>
      <c r="T107" s="12"/>
      <c r="U107" s="12"/>
      <c r="V107" s="12"/>
      <c r="W107" s="12"/>
      <c r="X107" s="12"/>
      <c r="Y107" s="12"/>
      <c r="Z107" s="12"/>
      <c r="AA107" s="12"/>
      <c r="AB107" s="12"/>
      <c r="AC107" s="12"/>
    </row>
    <row r="108" ht="15.75" customHeight="1">
      <c r="A108" s="12"/>
      <c r="B108" s="12"/>
      <c r="C108" s="12"/>
      <c r="D108" s="12"/>
      <c r="E108" s="12"/>
      <c r="F108" s="12"/>
      <c r="G108" s="12"/>
      <c r="H108" s="12"/>
      <c r="I108" s="12"/>
      <c r="J108" s="12"/>
      <c r="K108" s="12"/>
      <c r="L108" s="12"/>
      <c r="M108" s="12"/>
      <c r="N108" s="12"/>
      <c r="O108" s="12"/>
      <c r="P108" s="12"/>
      <c r="Q108" s="12"/>
      <c r="R108" s="12"/>
      <c r="S108" s="12"/>
      <c r="T108" s="12"/>
      <c r="U108" s="12"/>
      <c r="V108" s="12"/>
      <c r="W108" s="12"/>
      <c r="X108" s="12"/>
      <c r="Y108" s="12"/>
      <c r="Z108" s="12"/>
      <c r="AA108" s="12"/>
      <c r="AB108" s="12"/>
      <c r="AC108" s="12"/>
    </row>
    <row r="109" ht="15.75" customHeight="1">
      <c r="A109" s="12"/>
      <c r="B109" s="12"/>
      <c r="C109" s="12"/>
      <c r="D109" s="12"/>
      <c r="E109" s="12"/>
      <c r="F109" s="12"/>
      <c r="G109" s="12"/>
      <c r="H109" s="12"/>
      <c r="I109" s="12"/>
      <c r="J109" s="12"/>
      <c r="K109" s="12"/>
      <c r="L109" s="12"/>
      <c r="M109" s="12"/>
      <c r="N109" s="12"/>
      <c r="O109" s="12"/>
      <c r="P109" s="12"/>
      <c r="Q109" s="12"/>
      <c r="R109" s="12"/>
      <c r="S109" s="12"/>
      <c r="T109" s="12"/>
      <c r="U109" s="12"/>
      <c r="V109" s="12"/>
      <c r="W109" s="12"/>
      <c r="X109" s="12"/>
      <c r="Y109" s="12"/>
      <c r="Z109" s="12"/>
      <c r="AA109" s="12"/>
      <c r="AB109" s="12"/>
      <c r="AC109" s="12"/>
    </row>
    <row r="110" ht="15.75" customHeight="1">
      <c r="A110" s="12"/>
      <c r="B110" s="12"/>
      <c r="C110" s="12"/>
      <c r="D110" s="12"/>
      <c r="E110" s="12"/>
      <c r="F110" s="12"/>
      <c r="G110" s="12"/>
      <c r="H110" s="12"/>
      <c r="I110" s="12"/>
      <c r="J110" s="12"/>
      <c r="K110" s="12"/>
      <c r="L110" s="12"/>
      <c r="M110" s="12"/>
      <c r="N110" s="12"/>
      <c r="O110" s="12"/>
      <c r="P110" s="12"/>
      <c r="Q110" s="12"/>
      <c r="R110" s="12"/>
      <c r="S110" s="12"/>
      <c r="T110" s="12"/>
      <c r="U110" s="12"/>
      <c r="V110" s="12"/>
      <c r="W110" s="12"/>
      <c r="X110" s="12"/>
      <c r="Y110" s="12"/>
      <c r="Z110" s="12"/>
      <c r="AA110" s="12"/>
      <c r="AB110" s="12"/>
      <c r="AC110" s="12"/>
    </row>
    <row r="111" ht="15.75" customHeight="1">
      <c r="A111" s="12"/>
      <c r="B111" s="12"/>
      <c r="C111" s="12"/>
      <c r="D111" s="12"/>
      <c r="E111" s="12"/>
      <c r="F111" s="12"/>
      <c r="G111" s="12"/>
      <c r="H111" s="12"/>
      <c r="I111" s="12"/>
      <c r="J111" s="12"/>
      <c r="K111" s="12"/>
      <c r="L111" s="12"/>
      <c r="M111" s="12"/>
      <c r="N111" s="12"/>
      <c r="O111" s="12"/>
      <c r="P111" s="12"/>
      <c r="Q111" s="12"/>
      <c r="R111" s="12"/>
      <c r="S111" s="12"/>
      <c r="T111" s="12"/>
      <c r="U111" s="12"/>
      <c r="V111" s="12"/>
      <c r="W111" s="12"/>
      <c r="X111" s="12"/>
      <c r="Y111" s="12"/>
      <c r="Z111" s="12"/>
      <c r="AA111" s="12"/>
      <c r="AB111" s="12"/>
      <c r="AC111" s="12"/>
    </row>
    <row r="112" ht="15.75" customHeight="1">
      <c r="A112" s="12"/>
      <c r="B112" s="12"/>
      <c r="C112" s="12"/>
      <c r="D112" s="12"/>
      <c r="E112" s="12"/>
      <c r="F112" s="12"/>
      <c r="G112" s="12"/>
      <c r="H112" s="12"/>
      <c r="I112" s="12"/>
      <c r="J112" s="12"/>
      <c r="K112" s="12"/>
      <c r="L112" s="12"/>
      <c r="M112" s="12"/>
      <c r="N112" s="12"/>
      <c r="O112" s="12"/>
      <c r="P112" s="12"/>
      <c r="Q112" s="12"/>
      <c r="R112" s="12"/>
      <c r="S112" s="12"/>
      <c r="T112" s="12"/>
      <c r="U112" s="12"/>
      <c r="V112" s="12"/>
      <c r="W112" s="12"/>
      <c r="X112" s="12"/>
      <c r="Y112" s="12"/>
      <c r="Z112" s="12"/>
      <c r="AA112" s="12"/>
      <c r="AB112" s="12"/>
      <c r="AC112" s="12"/>
    </row>
    <row r="113" ht="15.75" customHeight="1">
      <c r="A113" s="12"/>
      <c r="B113" s="12"/>
      <c r="C113" s="12"/>
      <c r="D113" s="12"/>
      <c r="E113" s="12"/>
      <c r="F113" s="12"/>
      <c r="G113" s="12"/>
      <c r="H113" s="12"/>
      <c r="I113" s="12"/>
      <c r="J113" s="12"/>
      <c r="K113" s="12"/>
      <c r="L113" s="12"/>
      <c r="M113" s="12"/>
      <c r="N113" s="12"/>
      <c r="O113" s="12"/>
      <c r="P113" s="12"/>
      <c r="Q113" s="12"/>
      <c r="R113" s="12"/>
      <c r="S113" s="12"/>
      <c r="T113" s="12"/>
      <c r="U113" s="12"/>
      <c r="V113" s="12"/>
      <c r="W113" s="12"/>
      <c r="X113" s="12"/>
      <c r="Y113" s="12"/>
      <c r="Z113" s="12"/>
      <c r="AA113" s="12"/>
      <c r="AB113" s="12"/>
      <c r="AC113" s="12"/>
    </row>
    <row r="114" ht="15.75" customHeight="1">
      <c r="A114" s="12"/>
      <c r="B114" s="12"/>
      <c r="C114" s="12"/>
      <c r="D114" s="12"/>
      <c r="E114" s="12"/>
      <c r="F114" s="12"/>
      <c r="G114" s="12"/>
      <c r="H114" s="12"/>
      <c r="I114" s="12"/>
      <c r="J114" s="12"/>
      <c r="K114" s="12"/>
      <c r="L114" s="12"/>
      <c r="M114" s="12"/>
      <c r="N114" s="12"/>
      <c r="O114" s="12"/>
      <c r="P114" s="12"/>
      <c r="Q114" s="12"/>
      <c r="R114" s="12"/>
      <c r="S114" s="12"/>
      <c r="T114" s="12"/>
      <c r="U114" s="12"/>
      <c r="V114" s="12"/>
      <c r="W114" s="12"/>
      <c r="X114" s="12"/>
      <c r="Y114" s="12"/>
      <c r="Z114" s="12"/>
      <c r="AA114" s="12"/>
      <c r="AB114" s="12"/>
      <c r="AC114" s="12"/>
    </row>
    <row r="115" ht="15.75" customHeight="1">
      <c r="A115" s="12"/>
      <c r="B115" s="12"/>
      <c r="C115" s="12"/>
      <c r="D115" s="12"/>
      <c r="E115" s="12"/>
      <c r="F115" s="12"/>
      <c r="G115" s="12"/>
      <c r="H115" s="12"/>
      <c r="I115" s="12"/>
      <c r="J115" s="12"/>
      <c r="K115" s="12"/>
      <c r="L115" s="12"/>
      <c r="M115" s="12"/>
      <c r="N115" s="12"/>
      <c r="O115" s="12"/>
      <c r="P115" s="12"/>
      <c r="Q115" s="12"/>
      <c r="R115" s="12"/>
      <c r="S115" s="12"/>
      <c r="T115" s="12"/>
      <c r="U115" s="12"/>
      <c r="V115" s="12"/>
      <c r="W115" s="12"/>
      <c r="X115" s="12"/>
      <c r="Y115" s="12"/>
      <c r="Z115" s="12"/>
      <c r="AA115" s="12"/>
      <c r="AB115" s="12"/>
      <c r="AC115" s="12"/>
    </row>
    <row r="116" ht="15.75" customHeight="1">
      <c r="A116" s="12"/>
      <c r="B116" s="12"/>
      <c r="C116" s="12"/>
      <c r="D116" s="12"/>
      <c r="E116" s="12"/>
      <c r="F116" s="12"/>
      <c r="G116" s="12"/>
      <c r="H116" s="12"/>
      <c r="I116" s="12"/>
      <c r="J116" s="12"/>
      <c r="K116" s="12"/>
      <c r="L116" s="12"/>
      <c r="M116" s="12"/>
      <c r="N116" s="12"/>
      <c r="O116" s="12"/>
      <c r="P116" s="12"/>
      <c r="Q116" s="12"/>
      <c r="R116" s="12"/>
      <c r="S116" s="12"/>
      <c r="T116" s="12"/>
      <c r="U116" s="12"/>
      <c r="V116" s="12"/>
      <c r="W116" s="12"/>
      <c r="X116" s="12"/>
      <c r="Y116" s="12"/>
      <c r="Z116" s="12"/>
      <c r="AA116" s="12"/>
      <c r="AB116" s="12"/>
      <c r="AC116" s="12"/>
    </row>
    <row r="117" ht="15.75" customHeight="1">
      <c r="A117" s="12"/>
      <c r="B117" s="12"/>
      <c r="C117" s="12"/>
      <c r="D117" s="12"/>
      <c r="E117" s="12"/>
      <c r="F117" s="12"/>
      <c r="G117" s="12"/>
      <c r="H117" s="12"/>
      <c r="I117" s="12"/>
      <c r="J117" s="12"/>
      <c r="K117" s="12"/>
      <c r="L117" s="12"/>
      <c r="M117" s="12"/>
      <c r="N117" s="12"/>
      <c r="O117" s="12"/>
      <c r="P117" s="12"/>
      <c r="Q117" s="12"/>
      <c r="R117" s="12"/>
      <c r="S117" s="12"/>
      <c r="T117" s="12"/>
      <c r="U117" s="12"/>
      <c r="V117" s="12"/>
      <c r="W117" s="12"/>
      <c r="X117" s="12"/>
      <c r="Y117" s="12"/>
      <c r="Z117" s="12"/>
      <c r="AA117" s="12"/>
      <c r="AB117" s="12"/>
      <c r="AC117" s="12"/>
    </row>
    <row r="118" ht="15.75" customHeight="1">
      <c r="A118" s="12"/>
      <c r="B118" s="12"/>
      <c r="C118" s="12"/>
      <c r="D118" s="12"/>
      <c r="E118" s="12"/>
      <c r="F118" s="12"/>
      <c r="G118" s="12"/>
      <c r="H118" s="12"/>
      <c r="I118" s="12"/>
      <c r="J118" s="12"/>
      <c r="K118" s="12"/>
      <c r="L118" s="12"/>
      <c r="M118" s="12"/>
      <c r="N118" s="12"/>
      <c r="O118" s="12"/>
      <c r="P118" s="12"/>
      <c r="Q118" s="12"/>
      <c r="R118" s="12"/>
      <c r="S118" s="12"/>
      <c r="T118" s="12"/>
      <c r="U118" s="12"/>
      <c r="V118" s="12"/>
      <c r="W118" s="12"/>
      <c r="X118" s="12"/>
      <c r="Y118" s="12"/>
      <c r="Z118" s="12"/>
      <c r="AA118" s="12"/>
      <c r="AB118" s="12"/>
      <c r="AC118" s="12"/>
    </row>
    <row r="119" ht="15.75" customHeight="1">
      <c r="A119" s="12"/>
      <c r="B119" s="12"/>
      <c r="C119" s="12"/>
      <c r="D119" s="12"/>
      <c r="E119" s="12"/>
      <c r="F119" s="12"/>
      <c r="G119" s="12"/>
      <c r="H119" s="12"/>
      <c r="I119" s="12"/>
      <c r="J119" s="12"/>
      <c r="K119" s="12"/>
      <c r="L119" s="12"/>
      <c r="M119" s="12"/>
      <c r="N119" s="12"/>
      <c r="O119" s="12"/>
      <c r="P119" s="12"/>
      <c r="Q119" s="12"/>
      <c r="R119" s="12"/>
      <c r="S119" s="12"/>
      <c r="T119" s="12"/>
      <c r="U119" s="12"/>
      <c r="V119" s="12"/>
      <c r="W119" s="12"/>
      <c r="X119" s="12"/>
      <c r="Y119" s="12"/>
      <c r="Z119" s="12"/>
      <c r="AA119" s="12"/>
      <c r="AB119" s="12"/>
      <c r="AC119" s="12"/>
    </row>
    <row r="120" ht="15.75" customHeight="1">
      <c r="A120" s="12"/>
      <c r="B120" s="12"/>
      <c r="C120" s="12"/>
      <c r="D120" s="12"/>
      <c r="E120" s="12"/>
      <c r="F120" s="12"/>
      <c r="G120" s="12"/>
      <c r="H120" s="12"/>
      <c r="I120" s="12"/>
      <c r="J120" s="12"/>
      <c r="K120" s="12"/>
      <c r="L120" s="12"/>
      <c r="M120" s="12"/>
      <c r="N120" s="12"/>
      <c r="O120" s="12"/>
      <c r="P120" s="12"/>
      <c r="Q120" s="12"/>
      <c r="R120" s="12"/>
      <c r="S120" s="12"/>
      <c r="T120" s="12"/>
      <c r="U120" s="12"/>
      <c r="V120" s="12"/>
      <c r="W120" s="12"/>
      <c r="X120" s="12"/>
      <c r="Y120" s="12"/>
      <c r="Z120" s="12"/>
      <c r="AA120" s="12"/>
      <c r="AB120" s="12"/>
      <c r="AC120" s="12"/>
    </row>
    <row r="121" ht="15.75" customHeight="1">
      <c r="A121" s="12"/>
      <c r="B121" s="12"/>
      <c r="C121" s="12"/>
      <c r="D121" s="12"/>
      <c r="E121" s="12"/>
      <c r="F121" s="12"/>
      <c r="G121" s="12"/>
      <c r="H121" s="12"/>
      <c r="I121" s="12"/>
      <c r="J121" s="12"/>
      <c r="K121" s="12"/>
      <c r="L121" s="12"/>
      <c r="M121" s="12"/>
      <c r="N121" s="12"/>
      <c r="O121" s="12"/>
      <c r="P121" s="12"/>
      <c r="Q121" s="12"/>
      <c r="R121" s="12"/>
      <c r="S121" s="12"/>
      <c r="T121" s="12"/>
      <c r="U121" s="12"/>
      <c r="V121" s="12"/>
      <c r="W121" s="12"/>
      <c r="X121" s="12"/>
      <c r="Y121" s="12"/>
      <c r="Z121" s="12"/>
      <c r="AA121" s="12"/>
      <c r="AB121" s="12"/>
      <c r="AC121" s="12"/>
    </row>
    <row r="122" ht="15.75" customHeight="1">
      <c r="A122" s="12"/>
      <c r="B122" s="12"/>
      <c r="C122" s="12"/>
      <c r="D122" s="12"/>
      <c r="E122" s="12"/>
      <c r="F122" s="12"/>
      <c r="G122" s="12"/>
      <c r="H122" s="12"/>
      <c r="I122" s="12"/>
      <c r="J122" s="12"/>
      <c r="K122" s="12"/>
      <c r="L122" s="12"/>
      <c r="M122" s="12"/>
      <c r="N122" s="12"/>
      <c r="O122" s="12"/>
      <c r="P122" s="12"/>
      <c r="Q122" s="12"/>
      <c r="R122" s="12"/>
      <c r="S122" s="12"/>
      <c r="T122" s="12"/>
      <c r="U122" s="12"/>
      <c r="V122" s="12"/>
      <c r="W122" s="12"/>
      <c r="X122" s="12"/>
      <c r="Y122" s="12"/>
      <c r="Z122" s="12"/>
      <c r="AA122" s="12"/>
      <c r="AB122" s="12"/>
      <c r="AC122" s="12"/>
    </row>
    <row r="123" ht="15.75" customHeight="1">
      <c r="A123" s="12"/>
      <c r="B123" s="12"/>
      <c r="C123" s="12"/>
      <c r="D123" s="12"/>
      <c r="E123" s="12"/>
      <c r="F123" s="12"/>
      <c r="G123" s="12"/>
      <c r="H123" s="12"/>
      <c r="I123" s="12"/>
      <c r="J123" s="12"/>
      <c r="K123" s="12"/>
      <c r="L123" s="12"/>
      <c r="M123" s="12"/>
      <c r="N123" s="12"/>
      <c r="O123" s="12"/>
      <c r="P123" s="12"/>
      <c r="Q123" s="12"/>
      <c r="R123" s="12"/>
      <c r="S123" s="12"/>
      <c r="T123" s="12"/>
      <c r="U123" s="12"/>
      <c r="V123" s="12"/>
      <c r="W123" s="12"/>
      <c r="X123" s="12"/>
      <c r="Y123" s="12"/>
      <c r="Z123" s="12"/>
      <c r="AA123" s="12"/>
      <c r="AB123" s="12"/>
      <c r="AC123" s="12"/>
    </row>
    <row r="124" ht="15.75" customHeight="1">
      <c r="A124" s="12"/>
      <c r="B124" s="12"/>
      <c r="C124" s="12"/>
      <c r="D124" s="12"/>
      <c r="E124" s="12"/>
      <c r="F124" s="12"/>
      <c r="G124" s="12"/>
      <c r="H124" s="12"/>
      <c r="I124" s="12"/>
      <c r="J124" s="12"/>
      <c r="K124" s="12"/>
      <c r="L124" s="12"/>
      <c r="M124" s="12"/>
      <c r="N124" s="12"/>
      <c r="O124" s="12"/>
      <c r="P124" s="12"/>
      <c r="Q124" s="12"/>
      <c r="R124" s="12"/>
      <c r="S124" s="12"/>
      <c r="T124" s="12"/>
      <c r="U124" s="12"/>
      <c r="V124" s="12"/>
      <c r="W124" s="12"/>
      <c r="X124" s="12"/>
      <c r="Y124" s="12"/>
      <c r="Z124" s="12"/>
      <c r="AA124" s="12"/>
      <c r="AB124" s="12"/>
      <c r="AC124" s="12"/>
    </row>
    <row r="125" ht="15.75" customHeight="1">
      <c r="A125" s="12"/>
      <c r="B125" s="12"/>
      <c r="C125" s="12"/>
      <c r="D125" s="12"/>
      <c r="E125" s="12"/>
      <c r="F125" s="12"/>
      <c r="G125" s="12"/>
      <c r="H125" s="12"/>
      <c r="I125" s="12"/>
      <c r="J125" s="12"/>
      <c r="K125" s="12"/>
      <c r="L125" s="12"/>
      <c r="M125" s="12"/>
      <c r="N125" s="12"/>
      <c r="O125" s="12"/>
      <c r="P125" s="12"/>
      <c r="Q125" s="12"/>
      <c r="R125" s="12"/>
      <c r="S125" s="12"/>
      <c r="T125" s="12"/>
      <c r="U125" s="12"/>
      <c r="V125" s="12"/>
      <c r="W125" s="12"/>
      <c r="X125" s="12"/>
      <c r="Y125" s="12"/>
      <c r="Z125" s="12"/>
      <c r="AA125" s="12"/>
      <c r="AB125" s="12"/>
      <c r="AC125" s="12"/>
    </row>
    <row r="126" ht="15.75" customHeight="1">
      <c r="A126" s="12"/>
      <c r="B126" s="12"/>
      <c r="C126" s="12"/>
      <c r="D126" s="12"/>
      <c r="E126" s="12"/>
      <c r="F126" s="12"/>
      <c r="G126" s="12"/>
      <c r="H126" s="12"/>
      <c r="I126" s="12"/>
      <c r="J126" s="12"/>
      <c r="K126" s="12"/>
      <c r="L126" s="12"/>
      <c r="M126" s="12"/>
      <c r="N126" s="12"/>
      <c r="O126" s="12"/>
      <c r="P126" s="12"/>
      <c r="Q126" s="12"/>
      <c r="R126" s="12"/>
      <c r="S126" s="12"/>
      <c r="T126" s="12"/>
      <c r="U126" s="12"/>
      <c r="V126" s="12"/>
      <c r="W126" s="12"/>
      <c r="X126" s="12"/>
      <c r="Y126" s="12"/>
      <c r="Z126" s="12"/>
      <c r="AA126" s="12"/>
      <c r="AB126" s="12"/>
      <c r="AC126" s="12"/>
    </row>
    <row r="127" ht="15.75" customHeight="1">
      <c r="A127" s="12"/>
      <c r="B127" s="12"/>
      <c r="C127" s="12"/>
      <c r="D127" s="12"/>
      <c r="E127" s="12"/>
      <c r="F127" s="12"/>
      <c r="G127" s="12"/>
      <c r="H127" s="12"/>
      <c r="I127" s="12"/>
      <c r="J127" s="12"/>
      <c r="K127" s="12"/>
      <c r="L127" s="12"/>
      <c r="M127" s="12"/>
      <c r="N127" s="12"/>
      <c r="O127" s="12"/>
      <c r="P127" s="12"/>
      <c r="Q127" s="12"/>
      <c r="R127" s="12"/>
      <c r="S127" s="12"/>
      <c r="T127" s="12"/>
      <c r="U127" s="12"/>
      <c r="V127" s="12"/>
      <c r="W127" s="12"/>
      <c r="X127" s="12"/>
      <c r="Y127" s="12"/>
      <c r="Z127" s="12"/>
      <c r="AA127" s="12"/>
      <c r="AB127" s="12"/>
      <c r="AC127" s="12"/>
    </row>
    <row r="128" ht="15.75" customHeight="1">
      <c r="A128" s="12"/>
      <c r="B128" s="12"/>
      <c r="C128" s="12"/>
      <c r="D128" s="12"/>
      <c r="E128" s="12"/>
      <c r="F128" s="12"/>
      <c r="G128" s="12"/>
      <c r="H128" s="12"/>
      <c r="I128" s="12"/>
      <c r="J128" s="12"/>
      <c r="K128" s="12"/>
      <c r="L128" s="12"/>
      <c r="M128" s="12"/>
      <c r="N128" s="12"/>
      <c r="O128" s="12"/>
      <c r="P128" s="12"/>
      <c r="Q128" s="12"/>
      <c r="R128" s="12"/>
      <c r="S128" s="12"/>
      <c r="T128" s="12"/>
      <c r="U128" s="12"/>
      <c r="V128" s="12"/>
      <c r="W128" s="12"/>
      <c r="X128" s="12"/>
      <c r="Y128" s="12"/>
      <c r="Z128" s="12"/>
      <c r="AA128" s="12"/>
      <c r="AB128" s="12"/>
      <c r="AC128" s="12"/>
    </row>
    <row r="129" ht="15.75" customHeight="1">
      <c r="A129" s="12"/>
      <c r="B129" s="12"/>
      <c r="C129" s="12"/>
      <c r="D129" s="12"/>
      <c r="E129" s="12"/>
      <c r="F129" s="12"/>
      <c r="G129" s="12"/>
      <c r="H129" s="12"/>
      <c r="I129" s="12"/>
      <c r="J129" s="12"/>
      <c r="K129" s="12"/>
      <c r="L129" s="12"/>
      <c r="M129" s="12"/>
      <c r="N129" s="12"/>
      <c r="O129" s="12"/>
      <c r="P129" s="12"/>
      <c r="Q129" s="12"/>
      <c r="R129" s="12"/>
      <c r="S129" s="12"/>
      <c r="T129" s="12"/>
      <c r="U129" s="12"/>
      <c r="V129" s="12"/>
      <c r="W129" s="12"/>
      <c r="X129" s="12"/>
      <c r="Y129" s="12"/>
      <c r="Z129" s="12"/>
      <c r="AA129" s="12"/>
      <c r="AB129" s="12"/>
      <c r="AC129" s="12"/>
    </row>
    <row r="130" ht="15.75" customHeight="1">
      <c r="A130" s="12"/>
      <c r="B130" s="12"/>
      <c r="C130" s="12"/>
      <c r="D130" s="12"/>
      <c r="E130" s="12"/>
      <c r="F130" s="12"/>
      <c r="G130" s="12"/>
      <c r="H130" s="12"/>
      <c r="I130" s="12"/>
      <c r="J130" s="12"/>
      <c r="K130" s="12"/>
      <c r="L130" s="12"/>
      <c r="M130" s="12"/>
      <c r="N130" s="12"/>
      <c r="O130" s="12"/>
      <c r="P130" s="12"/>
      <c r="Q130" s="12"/>
      <c r="R130" s="12"/>
      <c r="S130" s="12"/>
      <c r="T130" s="12"/>
      <c r="U130" s="12"/>
      <c r="V130" s="12"/>
      <c r="W130" s="12"/>
      <c r="X130" s="12"/>
      <c r="Y130" s="12"/>
      <c r="Z130" s="12"/>
      <c r="AA130" s="12"/>
      <c r="AB130" s="12"/>
      <c r="AC130" s="12"/>
    </row>
    <row r="131" ht="15.75" customHeight="1">
      <c r="A131" s="12"/>
      <c r="B131" s="12"/>
      <c r="C131" s="12"/>
      <c r="D131" s="12"/>
      <c r="E131" s="12"/>
      <c r="F131" s="12"/>
      <c r="G131" s="12"/>
      <c r="H131" s="12"/>
      <c r="I131" s="12"/>
      <c r="J131" s="12"/>
      <c r="K131" s="12"/>
      <c r="L131" s="12"/>
      <c r="M131" s="12"/>
      <c r="N131" s="12"/>
      <c r="O131" s="12"/>
      <c r="P131" s="12"/>
      <c r="Q131" s="12"/>
      <c r="R131" s="12"/>
      <c r="S131" s="12"/>
      <c r="T131" s="12"/>
      <c r="U131" s="12"/>
      <c r="V131" s="12"/>
      <c r="W131" s="12"/>
      <c r="X131" s="12"/>
      <c r="Y131" s="12"/>
      <c r="Z131" s="12"/>
      <c r="AA131" s="12"/>
      <c r="AB131" s="12"/>
      <c r="AC131" s="12"/>
    </row>
    <row r="132" ht="15.75" customHeight="1">
      <c r="A132" s="12"/>
      <c r="B132" s="12"/>
      <c r="C132" s="12"/>
      <c r="D132" s="12"/>
      <c r="E132" s="12"/>
      <c r="F132" s="12"/>
      <c r="G132" s="12"/>
      <c r="H132" s="12"/>
      <c r="I132" s="12"/>
      <c r="J132" s="12"/>
      <c r="K132" s="12"/>
      <c r="L132" s="12"/>
      <c r="M132" s="12"/>
      <c r="N132" s="12"/>
      <c r="O132" s="12"/>
      <c r="P132" s="12"/>
      <c r="Q132" s="12"/>
      <c r="R132" s="12"/>
      <c r="S132" s="12"/>
      <c r="T132" s="12"/>
      <c r="U132" s="12"/>
      <c r="V132" s="12"/>
      <c r="W132" s="12"/>
      <c r="X132" s="12"/>
      <c r="Y132" s="12"/>
      <c r="Z132" s="12"/>
      <c r="AA132" s="12"/>
      <c r="AB132" s="12"/>
      <c r="AC132" s="12"/>
    </row>
    <row r="133" ht="15.75" customHeight="1">
      <c r="A133" s="12"/>
      <c r="B133" s="12"/>
      <c r="C133" s="12"/>
      <c r="D133" s="12"/>
      <c r="E133" s="12"/>
      <c r="F133" s="12"/>
      <c r="G133" s="12"/>
      <c r="H133" s="12"/>
      <c r="I133" s="12"/>
      <c r="J133" s="12"/>
      <c r="K133" s="12"/>
      <c r="L133" s="12"/>
      <c r="M133" s="12"/>
      <c r="N133" s="12"/>
      <c r="O133" s="12"/>
      <c r="P133" s="12"/>
      <c r="Q133" s="12"/>
      <c r="R133" s="12"/>
      <c r="S133" s="12"/>
      <c r="T133" s="12"/>
      <c r="U133" s="12"/>
      <c r="V133" s="12"/>
      <c r="W133" s="12"/>
      <c r="X133" s="12"/>
      <c r="Y133" s="12"/>
      <c r="Z133" s="12"/>
      <c r="AA133" s="12"/>
      <c r="AB133" s="12"/>
      <c r="AC133" s="12"/>
    </row>
    <row r="134" ht="15.75" customHeight="1">
      <c r="A134" s="12"/>
      <c r="B134" s="12"/>
      <c r="C134" s="12"/>
      <c r="D134" s="12"/>
      <c r="E134" s="12"/>
      <c r="F134" s="12"/>
      <c r="G134" s="12"/>
      <c r="H134" s="12"/>
      <c r="I134" s="12"/>
      <c r="J134" s="12"/>
      <c r="K134" s="12"/>
      <c r="L134" s="12"/>
      <c r="M134" s="12"/>
      <c r="N134" s="12"/>
      <c r="O134" s="12"/>
      <c r="P134" s="12"/>
      <c r="Q134" s="12"/>
      <c r="R134" s="12"/>
      <c r="S134" s="12"/>
      <c r="T134" s="12"/>
      <c r="U134" s="12"/>
      <c r="V134" s="12"/>
      <c r="W134" s="12"/>
      <c r="X134" s="12"/>
      <c r="Y134" s="12"/>
      <c r="Z134" s="12"/>
      <c r="AA134" s="12"/>
      <c r="AB134" s="12"/>
      <c r="AC134" s="12"/>
    </row>
    <row r="135" ht="15.75" customHeight="1">
      <c r="A135" s="12"/>
      <c r="B135" s="12"/>
      <c r="C135" s="12"/>
      <c r="D135" s="12"/>
      <c r="E135" s="12"/>
      <c r="F135" s="12"/>
      <c r="G135" s="12"/>
      <c r="H135" s="12"/>
      <c r="I135" s="12"/>
      <c r="J135" s="12"/>
      <c r="K135" s="12"/>
      <c r="L135" s="12"/>
      <c r="M135" s="12"/>
      <c r="N135" s="12"/>
      <c r="O135" s="12"/>
      <c r="P135" s="12"/>
      <c r="Q135" s="12"/>
      <c r="R135" s="12"/>
      <c r="S135" s="12"/>
      <c r="T135" s="12"/>
      <c r="U135" s="12"/>
      <c r="V135" s="12"/>
      <c r="W135" s="12"/>
      <c r="X135" s="12"/>
      <c r="Y135" s="12"/>
      <c r="Z135" s="12"/>
      <c r="AA135" s="12"/>
      <c r="AB135" s="12"/>
      <c r="AC135" s="12"/>
    </row>
    <row r="136" ht="15.75" customHeight="1">
      <c r="A136" s="12"/>
      <c r="B136" s="12"/>
      <c r="C136" s="12"/>
      <c r="D136" s="12"/>
      <c r="E136" s="12"/>
      <c r="F136" s="12"/>
      <c r="G136" s="12"/>
      <c r="H136" s="12"/>
      <c r="I136" s="12"/>
      <c r="J136" s="12"/>
      <c r="K136" s="12"/>
      <c r="L136" s="12"/>
      <c r="M136" s="12"/>
      <c r="N136" s="12"/>
      <c r="O136" s="12"/>
      <c r="P136" s="12"/>
      <c r="Q136" s="12"/>
      <c r="R136" s="12"/>
      <c r="S136" s="12"/>
      <c r="T136" s="12"/>
      <c r="U136" s="12"/>
      <c r="V136" s="12"/>
      <c r="W136" s="12"/>
      <c r="X136" s="12"/>
      <c r="Y136" s="12"/>
      <c r="Z136" s="12"/>
      <c r="AA136" s="12"/>
      <c r="AB136" s="12"/>
      <c r="AC136" s="12"/>
    </row>
    <row r="137" ht="15.75" customHeight="1">
      <c r="A137" s="12"/>
      <c r="B137" s="12"/>
      <c r="C137" s="12"/>
      <c r="D137" s="12"/>
      <c r="E137" s="12"/>
      <c r="F137" s="12"/>
      <c r="G137" s="12"/>
      <c r="H137" s="12"/>
      <c r="I137" s="12"/>
      <c r="J137" s="12"/>
      <c r="K137" s="12"/>
      <c r="L137" s="12"/>
      <c r="M137" s="12"/>
      <c r="N137" s="12"/>
      <c r="O137" s="12"/>
      <c r="P137" s="12"/>
      <c r="Q137" s="12"/>
      <c r="R137" s="12"/>
      <c r="S137" s="12"/>
      <c r="T137" s="12"/>
      <c r="U137" s="12"/>
      <c r="V137" s="12"/>
      <c r="W137" s="12"/>
      <c r="X137" s="12"/>
      <c r="Y137" s="12"/>
      <c r="Z137" s="12"/>
      <c r="AA137" s="12"/>
      <c r="AB137" s="12"/>
      <c r="AC137" s="12"/>
    </row>
    <row r="138" ht="15.75" customHeight="1">
      <c r="A138" s="12"/>
      <c r="B138" s="12"/>
      <c r="C138" s="12"/>
      <c r="D138" s="12"/>
      <c r="E138" s="12"/>
      <c r="F138" s="12"/>
      <c r="G138" s="12"/>
      <c r="H138" s="12"/>
      <c r="I138" s="12"/>
      <c r="J138" s="12"/>
      <c r="K138" s="12"/>
      <c r="L138" s="12"/>
      <c r="M138" s="12"/>
      <c r="N138" s="12"/>
      <c r="O138" s="12"/>
      <c r="P138" s="12"/>
      <c r="Q138" s="12"/>
      <c r="R138" s="12"/>
      <c r="S138" s="12"/>
      <c r="T138" s="12"/>
      <c r="U138" s="12"/>
      <c r="V138" s="12"/>
      <c r="W138" s="12"/>
      <c r="X138" s="12"/>
      <c r="Y138" s="12"/>
      <c r="Z138" s="12"/>
      <c r="AA138" s="12"/>
      <c r="AB138" s="12"/>
      <c r="AC138" s="12"/>
    </row>
    <row r="139" ht="15.75" customHeight="1">
      <c r="A139" s="12"/>
      <c r="B139" s="12"/>
      <c r="C139" s="12"/>
      <c r="D139" s="12"/>
      <c r="E139" s="12"/>
      <c r="F139" s="12"/>
      <c r="G139" s="12"/>
      <c r="H139" s="12"/>
      <c r="I139" s="12"/>
      <c r="J139" s="12"/>
      <c r="K139" s="12"/>
      <c r="L139" s="12"/>
      <c r="M139" s="12"/>
      <c r="N139" s="12"/>
      <c r="O139" s="12"/>
      <c r="P139" s="12"/>
      <c r="Q139" s="12"/>
      <c r="R139" s="12"/>
      <c r="S139" s="12"/>
      <c r="T139" s="12"/>
      <c r="U139" s="12"/>
      <c r="V139" s="12"/>
      <c r="W139" s="12"/>
      <c r="X139" s="12"/>
      <c r="Y139" s="12"/>
      <c r="Z139" s="12"/>
      <c r="AA139" s="12"/>
      <c r="AB139" s="12"/>
      <c r="AC139" s="12"/>
    </row>
    <row r="140" ht="15.75" customHeight="1">
      <c r="A140" s="12"/>
      <c r="B140" s="12"/>
      <c r="C140" s="12"/>
      <c r="D140" s="12"/>
      <c r="E140" s="12"/>
      <c r="F140" s="12"/>
      <c r="G140" s="12"/>
      <c r="H140" s="12"/>
      <c r="I140" s="12"/>
      <c r="J140" s="12"/>
      <c r="K140" s="12"/>
      <c r="L140" s="12"/>
      <c r="M140" s="12"/>
      <c r="N140" s="12"/>
      <c r="O140" s="12"/>
      <c r="P140" s="12"/>
      <c r="Q140" s="12"/>
      <c r="R140" s="12"/>
      <c r="S140" s="12"/>
      <c r="T140" s="12"/>
      <c r="U140" s="12"/>
      <c r="V140" s="12"/>
      <c r="W140" s="12"/>
      <c r="X140" s="12"/>
      <c r="Y140" s="12"/>
      <c r="Z140" s="12"/>
      <c r="AA140" s="12"/>
      <c r="AB140" s="12"/>
      <c r="AC140" s="12"/>
    </row>
    <row r="141" ht="15.75" customHeight="1">
      <c r="A141" s="12"/>
      <c r="B141" s="12"/>
      <c r="C141" s="12"/>
      <c r="D141" s="12"/>
      <c r="E141" s="12"/>
      <c r="F141" s="12"/>
      <c r="G141" s="12"/>
      <c r="H141" s="12"/>
      <c r="I141" s="12"/>
      <c r="J141" s="12"/>
      <c r="K141" s="12"/>
      <c r="L141" s="12"/>
      <c r="M141" s="12"/>
      <c r="N141" s="12"/>
      <c r="O141" s="12"/>
      <c r="P141" s="12"/>
      <c r="Q141" s="12"/>
      <c r="R141" s="12"/>
      <c r="S141" s="12"/>
      <c r="T141" s="12"/>
      <c r="U141" s="12"/>
      <c r="V141" s="12"/>
      <c r="W141" s="12"/>
      <c r="X141" s="12"/>
      <c r="Y141" s="12"/>
      <c r="Z141" s="12"/>
      <c r="AA141" s="12"/>
      <c r="AB141" s="12"/>
      <c r="AC141" s="12"/>
    </row>
    <row r="142" ht="15.75" customHeight="1">
      <c r="A142" s="12"/>
      <c r="B142" s="12"/>
      <c r="C142" s="12"/>
      <c r="D142" s="12"/>
      <c r="E142" s="12"/>
      <c r="F142" s="12"/>
      <c r="G142" s="12"/>
      <c r="H142" s="12"/>
      <c r="I142" s="12"/>
      <c r="J142" s="12"/>
      <c r="K142" s="12"/>
      <c r="L142" s="12"/>
      <c r="M142" s="12"/>
      <c r="N142" s="12"/>
      <c r="O142" s="12"/>
      <c r="P142" s="12"/>
      <c r="Q142" s="12"/>
      <c r="R142" s="12"/>
      <c r="S142" s="12"/>
      <c r="T142" s="12"/>
      <c r="U142" s="12"/>
      <c r="V142" s="12"/>
      <c r="W142" s="12"/>
      <c r="X142" s="12"/>
      <c r="Y142" s="12"/>
      <c r="Z142" s="12"/>
      <c r="AA142" s="12"/>
      <c r="AB142" s="12"/>
      <c r="AC142" s="12"/>
    </row>
    <row r="143" ht="15.75" customHeight="1">
      <c r="A143" s="12"/>
      <c r="B143" s="12"/>
      <c r="C143" s="12"/>
      <c r="D143" s="12"/>
      <c r="E143" s="12"/>
      <c r="F143" s="12"/>
      <c r="G143" s="12"/>
      <c r="H143" s="12"/>
      <c r="I143" s="12"/>
      <c r="J143" s="12"/>
      <c r="K143" s="12"/>
      <c r="L143" s="12"/>
      <c r="M143" s="12"/>
      <c r="N143" s="12"/>
      <c r="O143" s="12"/>
      <c r="P143" s="12"/>
      <c r="Q143" s="12"/>
      <c r="R143" s="12"/>
      <c r="S143" s="12"/>
      <c r="T143" s="12"/>
      <c r="U143" s="12"/>
      <c r="V143" s="12"/>
      <c r="W143" s="12"/>
      <c r="X143" s="12"/>
      <c r="Y143" s="12"/>
      <c r="Z143" s="12"/>
      <c r="AA143" s="12"/>
      <c r="AB143" s="12"/>
      <c r="AC143" s="12"/>
    </row>
    <row r="144" ht="15.75" customHeight="1">
      <c r="A144" s="12"/>
      <c r="B144" s="12"/>
      <c r="C144" s="12"/>
      <c r="D144" s="12"/>
      <c r="E144" s="12"/>
      <c r="F144" s="12"/>
      <c r="G144" s="12"/>
      <c r="H144" s="12"/>
      <c r="I144" s="12"/>
      <c r="J144" s="12"/>
      <c r="K144" s="12"/>
      <c r="L144" s="12"/>
      <c r="M144" s="12"/>
      <c r="N144" s="12"/>
      <c r="O144" s="12"/>
      <c r="P144" s="12"/>
      <c r="Q144" s="12"/>
      <c r="R144" s="12"/>
      <c r="S144" s="12"/>
      <c r="T144" s="12"/>
      <c r="U144" s="12"/>
      <c r="V144" s="12"/>
      <c r="W144" s="12"/>
      <c r="X144" s="12"/>
      <c r="Y144" s="12"/>
      <c r="Z144" s="12"/>
      <c r="AA144" s="12"/>
      <c r="AB144" s="12"/>
      <c r="AC144" s="12"/>
    </row>
    <row r="145" ht="15.75" customHeight="1">
      <c r="A145" s="12"/>
      <c r="B145" s="12"/>
      <c r="C145" s="12"/>
      <c r="D145" s="12"/>
      <c r="E145" s="12"/>
      <c r="F145" s="12"/>
      <c r="G145" s="12"/>
      <c r="H145" s="12"/>
      <c r="I145" s="12"/>
      <c r="J145" s="12"/>
      <c r="K145" s="12"/>
      <c r="L145" s="12"/>
      <c r="M145" s="12"/>
      <c r="N145" s="12"/>
      <c r="O145" s="12"/>
      <c r="P145" s="12"/>
      <c r="Q145" s="12"/>
      <c r="R145" s="12"/>
      <c r="S145" s="12"/>
      <c r="T145" s="12"/>
      <c r="U145" s="12"/>
      <c r="V145" s="12"/>
      <c r="W145" s="12"/>
      <c r="X145" s="12"/>
      <c r="Y145" s="12"/>
      <c r="Z145" s="12"/>
      <c r="AA145" s="12"/>
      <c r="AB145" s="12"/>
      <c r="AC145" s="12"/>
    </row>
    <row r="146" ht="15.75" customHeight="1">
      <c r="A146" s="12"/>
      <c r="B146" s="12"/>
      <c r="C146" s="12"/>
      <c r="D146" s="12"/>
      <c r="E146" s="12"/>
      <c r="F146" s="12"/>
      <c r="G146" s="12"/>
      <c r="H146" s="12"/>
      <c r="I146" s="12"/>
      <c r="J146" s="12"/>
      <c r="K146" s="12"/>
      <c r="L146" s="12"/>
      <c r="M146" s="12"/>
      <c r="N146" s="12"/>
      <c r="O146" s="12"/>
      <c r="P146" s="12"/>
      <c r="Q146" s="12"/>
      <c r="R146" s="12"/>
      <c r="S146" s="12"/>
      <c r="T146" s="12"/>
      <c r="U146" s="12"/>
      <c r="V146" s="12"/>
      <c r="W146" s="12"/>
      <c r="X146" s="12"/>
      <c r="Y146" s="12"/>
      <c r="Z146" s="12"/>
      <c r="AA146" s="12"/>
      <c r="AB146" s="12"/>
      <c r="AC146" s="12"/>
    </row>
    <row r="147" ht="15.75" customHeight="1">
      <c r="A147" s="12"/>
      <c r="B147" s="12"/>
      <c r="C147" s="12"/>
      <c r="D147" s="12"/>
      <c r="E147" s="12"/>
      <c r="F147" s="12"/>
      <c r="G147" s="12"/>
      <c r="H147" s="12"/>
      <c r="I147" s="12"/>
      <c r="J147" s="12"/>
      <c r="K147" s="12"/>
      <c r="L147" s="12"/>
      <c r="M147" s="12"/>
      <c r="N147" s="12"/>
      <c r="O147" s="12"/>
      <c r="P147" s="12"/>
      <c r="Q147" s="12"/>
      <c r="R147" s="12"/>
      <c r="S147" s="12"/>
      <c r="T147" s="12"/>
      <c r="U147" s="12"/>
      <c r="V147" s="12"/>
      <c r="W147" s="12"/>
      <c r="X147" s="12"/>
      <c r="Y147" s="12"/>
      <c r="Z147" s="12"/>
      <c r="AA147" s="12"/>
      <c r="AB147" s="12"/>
      <c r="AC147" s="12"/>
    </row>
    <row r="148" ht="15.75" customHeight="1">
      <c r="A148" s="12"/>
      <c r="B148" s="12"/>
      <c r="C148" s="12"/>
      <c r="D148" s="12"/>
      <c r="E148" s="12"/>
      <c r="F148" s="12"/>
      <c r="G148" s="12"/>
      <c r="H148" s="12"/>
      <c r="I148" s="12"/>
      <c r="J148" s="12"/>
      <c r="K148" s="12"/>
      <c r="L148" s="12"/>
      <c r="M148" s="12"/>
      <c r="N148" s="12"/>
      <c r="O148" s="12"/>
      <c r="P148" s="12"/>
      <c r="Q148" s="12"/>
      <c r="R148" s="12"/>
      <c r="S148" s="12"/>
      <c r="T148" s="12"/>
      <c r="U148" s="12"/>
      <c r="V148" s="12"/>
      <c r="W148" s="12"/>
      <c r="X148" s="12"/>
      <c r="Y148" s="12"/>
      <c r="Z148" s="12"/>
      <c r="AA148" s="12"/>
      <c r="AB148" s="12"/>
      <c r="AC148" s="12"/>
    </row>
    <row r="149" ht="15.75" customHeight="1">
      <c r="A149" s="12"/>
      <c r="B149" s="12"/>
      <c r="C149" s="12"/>
      <c r="D149" s="12"/>
      <c r="E149" s="12"/>
      <c r="F149" s="12"/>
      <c r="G149" s="12"/>
      <c r="H149" s="12"/>
      <c r="I149" s="12"/>
      <c r="J149" s="12"/>
      <c r="K149" s="12"/>
      <c r="L149" s="12"/>
      <c r="M149" s="12"/>
      <c r="N149" s="12"/>
      <c r="O149" s="12"/>
      <c r="P149" s="12"/>
      <c r="Q149" s="12"/>
      <c r="R149" s="12"/>
      <c r="S149" s="12"/>
      <c r="T149" s="12"/>
      <c r="U149" s="12"/>
      <c r="V149" s="12"/>
      <c r="W149" s="12"/>
      <c r="X149" s="12"/>
      <c r="Y149" s="12"/>
      <c r="Z149" s="12"/>
      <c r="AA149" s="12"/>
      <c r="AB149" s="12"/>
      <c r="AC149" s="12"/>
    </row>
    <row r="150" ht="15.75" customHeight="1">
      <c r="A150" s="12"/>
      <c r="B150" s="12"/>
      <c r="C150" s="12"/>
      <c r="D150" s="12"/>
      <c r="E150" s="12"/>
      <c r="F150" s="12"/>
      <c r="G150" s="12"/>
      <c r="H150" s="12"/>
      <c r="I150" s="12"/>
      <c r="J150" s="12"/>
      <c r="K150" s="12"/>
      <c r="L150" s="12"/>
      <c r="M150" s="12"/>
      <c r="N150" s="12"/>
      <c r="O150" s="12"/>
      <c r="P150" s="12"/>
      <c r="Q150" s="12"/>
      <c r="R150" s="12"/>
      <c r="S150" s="12"/>
      <c r="T150" s="12"/>
      <c r="U150" s="12"/>
      <c r="V150" s="12"/>
      <c r="W150" s="12"/>
      <c r="X150" s="12"/>
      <c r="Y150" s="12"/>
      <c r="Z150" s="12"/>
      <c r="AA150" s="12"/>
      <c r="AB150" s="12"/>
      <c r="AC150" s="12"/>
    </row>
    <row r="151" ht="15.75" customHeight="1">
      <c r="A151" s="12"/>
      <c r="B151" s="12"/>
      <c r="C151" s="12"/>
      <c r="D151" s="12"/>
      <c r="E151" s="12"/>
      <c r="F151" s="12"/>
      <c r="G151" s="12"/>
      <c r="H151" s="12"/>
      <c r="I151" s="12"/>
      <c r="J151" s="12"/>
      <c r="K151" s="12"/>
      <c r="L151" s="12"/>
      <c r="M151" s="12"/>
      <c r="N151" s="12"/>
      <c r="O151" s="12"/>
      <c r="P151" s="12"/>
      <c r="Q151" s="12"/>
      <c r="R151" s="12"/>
      <c r="S151" s="12"/>
      <c r="T151" s="12"/>
      <c r="U151" s="12"/>
      <c r="V151" s="12"/>
      <c r="W151" s="12"/>
      <c r="X151" s="12"/>
      <c r="Y151" s="12"/>
      <c r="Z151" s="12"/>
      <c r="AA151" s="12"/>
      <c r="AB151" s="12"/>
      <c r="AC151" s="12"/>
    </row>
    <row r="152" ht="15.75" customHeight="1">
      <c r="A152" s="12"/>
      <c r="B152" s="12"/>
      <c r="C152" s="12"/>
      <c r="D152" s="12"/>
      <c r="E152" s="12"/>
      <c r="F152" s="12"/>
      <c r="G152" s="12"/>
      <c r="H152" s="12"/>
      <c r="I152" s="12"/>
      <c r="J152" s="12"/>
      <c r="K152" s="12"/>
      <c r="L152" s="12"/>
      <c r="M152" s="12"/>
      <c r="N152" s="12"/>
      <c r="O152" s="12"/>
      <c r="P152" s="12"/>
      <c r="Q152" s="12"/>
      <c r="R152" s="12"/>
      <c r="S152" s="12"/>
      <c r="T152" s="12"/>
      <c r="U152" s="12"/>
      <c r="V152" s="12"/>
      <c r="W152" s="12"/>
      <c r="X152" s="12"/>
      <c r="Y152" s="12"/>
      <c r="Z152" s="12"/>
      <c r="AA152" s="12"/>
      <c r="AB152" s="12"/>
      <c r="AC152" s="12"/>
    </row>
    <row r="153" ht="15.75" customHeight="1">
      <c r="A153" s="12"/>
      <c r="B153" s="12"/>
      <c r="C153" s="12"/>
      <c r="D153" s="12"/>
      <c r="E153" s="12"/>
      <c r="F153" s="12"/>
      <c r="G153" s="12"/>
      <c r="H153" s="12"/>
      <c r="I153" s="12"/>
      <c r="J153" s="12"/>
      <c r="K153" s="12"/>
      <c r="L153" s="12"/>
      <c r="M153" s="12"/>
      <c r="N153" s="12"/>
      <c r="O153" s="12"/>
      <c r="P153" s="12"/>
      <c r="Q153" s="12"/>
      <c r="R153" s="12"/>
      <c r="S153" s="12"/>
      <c r="T153" s="12"/>
      <c r="U153" s="12"/>
      <c r="V153" s="12"/>
      <c r="W153" s="12"/>
      <c r="X153" s="12"/>
      <c r="Y153" s="12"/>
      <c r="Z153" s="12"/>
      <c r="AA153" s="12"/>
      <c r="AB153" s="12"/>
      <c r="AC153" s="12"/>
    </row>
    <row r="154" ht="15.75" customHeight="1">
      <c r="A154" s="12"/>
      <c r="B154" s="12"/>
      <c r="C154" s="12"/>
      <c r="D154" s="12"/>
      <c r="E154" s="12"/>
      <c r="F154" s="12"/>
      <c r="G154" s="12"/>
      <c r="H154" s="12"/>
      <c r="I154" s="12"/>
      <c r="J154" s="12"/>
      <c r="K154" s="12"/>
      <c r="L154" s="12"/>
      <c r="M154" s="12"/>
      <c r="N154" s="12"/>
      <c r="O154" s="12"/>
      <c r="P154" s="12"/>
      <c r="Q154" s="12"/>
      <c r="R154" s="12"/>
      <c r="S154" s="12"/>
      <c r="T154" s="12"/>
      <c r="U154" s="12"/>
      <c r="V154" s="12"/>
      <c r="W154" s="12"/>
      <c r="X154" s="12"/>
      <c r="Y154" s="12"/>
      <c r="Z154" s="12"/>
      <c r="AA154" s="12"/>
      <c r="AB154" s="12"/>
      <c r="AC154" s="12"/>
    </row>
    <row r="155" ht="15.75" customHeight="1">
      <c r="A155" s="12"/>
      <c r="B155" s="12"/>
      <c r="C155" s="12"/>
      <c r="D155" s="12"/>
      <c r="E155" s="12"/>
      <c r="F155" s="12"/>
      <c r="G155" s="12"/>
      <c r="H155" s="12"/>
      <c r="I155" s="12"/>
      <c r="J155" s="12"/>
      <c r="K155" s="12"/>
      <c r="L155" s="12"/>
      <c r="M155" s="12"/>
      <c r="N155" s="12"/>
      <c r="O155" s="12"/>
      <c r="P155" s="12"/>
      <c r="Q155" s="12"/>
      <c r="R155" s="12"/>
      <c r="S155" s="12"/>
      <c r="T155" s="12"/>
      <c r="U155" s="12"/>
      <c r="V155" s="12"/>
      <c r="W155" s="12"/>
      <c r="X155" s="12"/>
      <c r="Y155" s="12"/>
      <c r="Z155" s="12"/>
      <c r="AA155" s="12"/>
      <c r="AB155" s="12"/>
      <c r="AC155" s="12"/>
    </row>
    <row r="156" ht="15.75" customHeight="1">
      <c r="A156" s="12"/>
      <c r="B156" s="12"/>
      <c r="C156" s="12"/>
      <c r="D156" s="12"/>
      <c r="E156" s="12"/>
      <c r="F156" s="12"/>
      <c r="G156" s="12"/>
      <c r="H156" s="12"/>
      <c r="I156" s="12"/>
      <c r="J156" s="12"/>
      <c r="K156" s="12"/>
      <c r="L156" s="12"/>
      <c r="M156" s="12"/>
      <c r="N156" s="12"/>
      <c r="O156" s="12"/>
      <c r="P156" s="12"/>
      <c r="Q156" s="12"/>
      <c r="R156" s="12"/>
      <c r="S156" s="12"/>
      <c r="T156" s="12"/>
      <c r="U156" s="12"/>
      <c r="V156" s="12"/>
      <c r="W156" s="12"/>
      <c r="X156" s="12"/>
      <c r="Y156" s="12"/>
      <c r="Z156" s="12"/>
      <c r="AA156" s="12"/>
      <c r="AB156" s="12"/>
      <c r="AC156" s="12"/>
    </row>
    <row r="157" ht="15.75" customHeight="1">
      <c r="A157" s="12"/>
      <c r="B157" s="12"/>
      <c r="C157" s="12"/>
      <c r="D157" s="12"/>
      <c r="E157" s="12"/>
      <c r="F157" s="12"/>
      <c r="G157" s="12"/>
      <c r="H157" s="12"/>
      <c r="I157" s="12"/>
      <c r="J157" s="12"/>
      <c r="K157" s="12"/>
      <c r="L157" s="12"/>
      <c r="M157" s="12"/>
      <c r="N157" s="12"/>
      <c r="O157" s="12"/>
      <c r="P157" s="12"/>
      <c r="Q157" s="12"/>
      <c r="R157" s="12"/>
      <c r="S157" s="12"/>
      <c r="T157" s="12"/>
      <c r="U157" s="12"/>
      <c r="V157" s="12"/>
      <c r="W157" s="12"/>
      <c r="X157" s="12"/>
      <c r="Y157" s="12"/>
      <c r="Z157" s="12"/>
      <c r="AA157" s="12"/>
      <c r="AB157" s="12"/>
      <c r="AC157" s="12"/>
    </row>
    <row r="158" ht="15.75" customHeight="1">
      <c r="A158" s="12"/>
      <c r="B158" s="12"/>
      <c r="C158" s="12"/>
      <c r="D158" s="12"/>
      <c r="E158" s="12"/>
      <c r="F158" s="12"/>
      <c r="G158" s="12"/>
      <c r="H158" s="12"/>
      <c r="I158" s="12"/>
      <c r="J158" s="12"/>
      <c r="K158" s="12"/>
      <c r="L158" s="12"/>
      <c r="M158" s="12"/>
      <c r="N158" s="12"/>
      <c r="O158" s="12"/>
      <c r="P158" s="12"/>
      <c r="Q158" s="12"/>
      <c r="R158" s="12"/>
      <c r="S158" s="12"/>
      <c r="T158" s="12"/>
      <c r="U158" s="12"/>
      <c r="V158" s="12"/>
      <c r="W158" s="12"/>
      <c r="X158" s="12"/>
      <c r="Y158" s="12"/>
      <c r="Z158" s="12"/>
      <c r="AA158" s="12"/>
      <c r="AB158" s="12"/>
      <c r="AC158" s="12"/>
    </row>
    <row r="159" ht="15.75" customHeight="1">
      <c r="A159" s="12"/>
      <c r="B159" s="12"/>
      <c r="C159" s="12"/>
      <c r="D159" s="12"/>
      <c r="E159" s="12"/>
      <c r="F159" s="12"/>
      <c r="G159" s="12"/>
      <c r="H159" s="12"/>
      <c r="I159" s="12"/>
      <c r="J159" s="12"/>
      <c r="K159" s="12"/>
      <c r="L159" s="12"/>
      <c r="M159" s="12"/>
      <c r="N159" s="12"/>
      <c r="O159" s="12"/>
      <c r="P159" s="12"/>
      <c r="Q159" s="12"/>
      <c r="R159" s="12"/>
      <c r="S159" s="12"/>
      <c r="T159" s="12"/>
      <c r="U159" s="12"/>
      <c r="V159" s="12"/>
      <c r="W159" s="12"/>
      <c r="X159" s="12"/>
      <c r="Y159" s="12"/>
      <c r="Z159" s="12"/>
      <c r="AA159" s="12"/>
      <c r="AB159" s="12"/>
      <c r="AC159" s="12"/>
    </row>
    <row r="160" ht="15.75" customHeight="1">
      <c r="A160" s="12"/>
      <c r="B160" s="12"/>
      <c r="C160" s="12"/>
      <c r="D160" s="12"/>
      <c r="E160" s="12"/>
      <c r="F160" s="12"/>
      <c r="G160" s="12"/>
      <c r="H160" s="12"/>
      <c r="I160" s="12"/>
      <c r="J160" s="12"/>
      <c r="K160" s="12"/>
      <c r="L160" s="12"/>
      <c r="M160" s="12"/>
      <c r="N160" s="12"/>
      <c r="O160" s="12"/>
      <c r="P160" s="12"/>
      <c r="Q160" s="12"/>
      <c r="R160" s="12"/>
      <c r="S160" s="12"/>
      <c r="T160" s="12"/>
      <c r="U160" s="12"/>
      <c r="V160" s="12"/>
      <c r="W160" s="12"/>
      <c r="X160" s="12"/>
      <c r="Y160" s="12"/>
      <c r="Z160" s="12"/>
      <c r="AA160" s="12"/>
      <c r="AB160" s="12"/>
      <c r="AC160" s="12"/>
    </row>
    <row r="161" ht="15.75" customHeight="1">
      <c r="A161" s="12"/>
      <c r="B161" s="12"/>
      <c r="C161" s="12"/>
      <c r="D161" s="12"/>
      <c r="E161" s="12"/>
      <c r="F161" s="12"/>
      <c r="G161" s="12"/>
      <c r="H161" s="12"/>
      <c r="I161" s="12"/>
      <c r="J161" s="12"/>
      <c r="K161" s="12"/>
      <c r="L161" s="12"/>
      <c r="M161" s="12"/>
      <c r="N161" s="12"/>
      <c r="O161" s="12"/>
      <c r="P161" s="12"/>
      <c r="Q161" s="12"/>
      <c r="R161" s="12"/>
      <c r="S161" s="12"/>
      <c r="T161" s="12"/>
      <c r="U161" s="12"/>
      <c r="V161" s="12"/>
      <c r="W161" s="12"/>
      <c r="X161" s="12"/>
      <c r="Y161" s="12"/>
      <c r="Z161" s="12"/>
      <c r="AA161" s="12"/>
      <c r="AB161" s="12"/>
      <c r="AC161" s="12"/>
    </row>
    <row r="162" ht="15.75" customHeight="1">
      <c r="A162" s="12"/>
      <c r="B162" s="12"/>
      <c r="C162" s="12"/>
      <c r="D162" s="12"/>
      <c r="E162" s="12"/>
      <c r="F162" s="12"/>
      <c r="G162" s="12"/>
      <c r="H162" s="12"/>
      <c r="I162" s="12"/>
      <c r="J162" s="12"/>
      <c r="K162" s="12"/>
      <c r="L162" s="12"/>
      <c r="M162" s="12"/>
      <c r="N162" s="12"/>
      <c r="O162" s="12"/>
      <c r="P162" s="12"/>
      <c r="Q162" s="12"/>
      <c r="R162" s="12"/>
      <c r="S162" s="12"/>
      <c r="T162" s="12"/>
      <c r="U162" s="12"/>
      <c r="V162" s="12"/>
      <c r="W162" s="12"/>
      <c r="X162" s="12"/>
      <c r="Y162" s="12"/>
      <c r="Z162" s="12"/>
      <c r="AA162" s="12"/>
      <c r="AB162" s="12"/>
      <c r="AC162" s="12"/>
    </row>
    <row r="163" ht="15.75" customHeight="1">
      <c r="A163" s="12"/>
      <c r="B163" s="12"/>
      <c r="C163" s="12"/>
      <c r="D163" s="12"/>
      <c r="E163" s="12"/>
      <c r="F163" s="12"/>
      <c r="G163" s="12"/>
      <c r="H163" s="12"/>
      <c r="I163" s="12"/>
      <c r="J163" s="12"/>
      <c r="K163" s="12"/>
      <c r="L163" s="12"/>
      <c r="M163" s="12"/>
      <c r="N163" s="12"/>
      <c r="O163" s="12"/>
      <c r="P163" s="12"/>
      <c r="Q163" s="12"/>
      <c r="R163" s="12"/>
      <c r="S163" s="12"/>
      <c r="T163" s="12"/>
      <c r="U163" s="12"/>
      <c r="V163" s="12"/>
      <c r="W163" s="12"/>
      <c r="X163" s="12"/>
      <c r="Y163" s="12"/>
      <c r="Z163" s="12"/>
      <c r="AA163" s="12"/>
      <c r="AB163" s="12"/>
      <c r="AC163" s="12"/>
    </row>
    <row r="164" ht="15.75" customHeight="1">
      <c r="A164" s="12"/>
      <c r="B164" s="12"/>
      <c r="C164" s="12"/>
      <c r="D164" s="12"/>
      <c r="E164" s="12"/>
      <c r="F164" s="12"/>
      <c r="G164" s="12"/>
      <c r="H164" s="12"/>
      <c r="I164" s="12"/>
      <c r="J164" s="12"/>
      <c r="K164" s="12"/>
      <c r="L164" s="12"/>
      <c r="M164" s="12"/>
      <c r="N164" s="12"/>
      <c r="O164" s="12"/>
      <c r="P164" s="12"/>
      <c r="Q164" s="12"/>
      <c r="R164" s="12"/>
      <c r="S164" s="12"/>
      <c r="T164" s="12"/>
      <c r="U164" s="12"/>
      <c r="V164" s="12"/>
      <c r="W164" s="12"/>
      <c r="X164" s="12"/>
      <c r="Y164" s="12"/>
      <c r="Z164" s="12"/>
      <c r="AA164" s="12"/>
      <c r="AB164" s="12"/>
      <c r="AC164" s="12"/>
    </row>
    <row r="165" ht="15.75" customHeight="1">
      <c r="A165" s="12"/>
      <c r="B165" s="12"/>
      <c r="C165" s="12"/>
      <c r="D165" s="12"/>
      <c r="E165" s="12"/>
      <c r="F165" s="12"/>
      <c r="G165" s="12"/>
      <c r="H165" s="12"/>
      <c r="I165" s="12"/>
      <c r="J165" s="12"/>
      <c r="K165" s="12"/>
      <c r="L165" s="12"/>
      <c r="M165" s="12"/>
      <c r="N165" s="12"/>
      <c r="O165" s="12"/>
      <c r="P165" s="12"/>
      <c r="Q165" s="12"/>
      <c r="R165" s="12"/>
      <c r="S165" s="12"/>
      <c r="T165" s="12"/>
      <c r="U165" s="12"/>
      <c r="V165" s="12"/>
      <c r="W165" s="12"/>
      <c r="X165" s="12"/>
      <c r="Y165" s="12"/>
      <c r="Z165" s="12"/>
      <c r="AA165" s="12"/>
      <c r="AB165" s="12"/>
      <c r="AC165" s="12"/>
    </row>
    <row r="166" ht="15.75" customHeight="1">
      <c r="A166" s="12"/>
      <c r="B166" s="12"/>
      <c r="C166" s="12"/>
      <c r="D166" s="12"/>
      <c r="E166" s="12"/>
      <c r="F166" s="12"/>
      <c r="G166" s="12"/>
      <c r="H166" s="12"/>
      <c r="I166" s="12"/>
      <c r="J166" s="12"/>
      <c r="K166" s="12"/>
      <c r="L166" s="12"/>
      <c r="M166" s="12"/>
      <c r="N166" s="12"/>
      <c r="O166" s="12"/>
      <c r="P166" s="12"/>
      <c r="Q166" s="12"/>
      <c r="R166" s="12"/>
      <c r="S166" s="12"/>
      <c r="T166" s="12"/>
      <c r="U166" s="12"/>
      <c r="V166" s="12"/>
      <c r="W166" s="12"/>
      <c r="X166" s="12"/>
      <c r="Y166" s="12"/>
      <c r="Z166" s="12"/>
      <c r="AA166" s="12"/>
      <c r="AB166" s="12"/>
      <c r="AC166" s="12"/>
    </row>
    <row r="167" ht="15.75" customHeight="1">
      <c r="A167" s="12"/>
      <c r="B167" s="12"/>
      <c r="C167" s="12"/>
      <c r="D167" s="12"/>
      <c r="E167" s="12"/>
      <c r="F167" s="12"/>
      <c r="G167" s="12"/>
      <c r="H167" s="12"/>
      <c r="I167" s="12"/>
      <c r="J167" s="12"/>
      <c r="K167" s="12"/>
      <c r="L167" s="12"/>
      <c r="M167" s="12"/>
      <c r="N167" s="12"/>
      <c r="O167" s="12"/>
      <c r="P167" s="12"/>
      <c r="Q167" s="12"/>
      <c r="R167" s="12"/>
      <c r="S167" s="12"/>
      <c r="T167" s="12"/>
      <c r="U167" s="12"/>
      <c r="V167" s="12"/>
      <c r="W167" s="12"/>
      <c r="X167" s="12"/>
      <c r="Y167" s="12"/>
      <c r="Z167" s="12"/>
      <c r="AA167" s="12"/>
      <c r="AB167" s="12"/>
      <c r="AC167" s="12"/>
    </row>
    <row r="168" ht="15.75" customHeight="1">
      <c r="A168" s="12"/>
      <c r="B168" s="12"/>
      <c r="C168" s="12"/>
      <c r="D168" s="12"/>
      <c r="E168" s="12"/>
      <c r="F168" s="12"/>
      <c r="G168" s="12"/>
      <c r="H168" s="12"/>
      <c r="I168" s="12"/>
      <c r="J168" s="12"/>
      <c r="K168" s="12"/>
      <c r="L168" s="12"/>
      <c r="M168" s="12"/>
      <c r="N168" s="12"/>
      <c r="O168" s="12"/>
      <c r="P168" s="12"/>
      <c r="Q168" s="12"/>
      <c r="R168" s="12"/>
      <c r="S168" s="12"/>
      <c r="T168" s="12"/>
      <c r="U168" s="12"/>
      <c r="V168" s="12"/>
      <c r="W168" s="12"/>
      <c r="X168" s="12"/>
      <c r="Y168" s="12"/>
      <c r="Z168" s="12"/>
      <c r="AA168" s="12"/>
      <c r="AB168" s="12"/>
      <c r="AC168" s="12"/>
    </row>
    <row r="169" ht="15.75" customHeight="1">
      <c r="A169" s="12"/>
      <c r="B169" s="12"/>
      <c r="C169" s="12"/>
      <c r="D169" s="12"/>
      <c r="E169" s="12"/>
      <c r="F169" s="12"/>
      <c r="G169" s="12"/>
      <c r="H169" s="12"/>
      <c r="I169" s="12"/>
      <c r="J169" s="12"/>
      <c r="K169" s="12"/>
      <c r="L169" s="12"/>
      <c r="M169" s="12"/>
      <c r="N169" s="12"/>
      <c r="O169" s="12"/>
      <c r="P169" s="12"/>
      <c r="Q169" s="12"/>
      <c r="R169" s="12"/>
      <c r="S169" s="12"/>
      <c r="T169" s="12"/>
      <c r="U169" s="12"/>
      <c r="V169" s="12"/>
      <c r="W169" s="12"/>
      <c r="X169" s="12"/>
      <c r="Y169" s="12"/>
      <c r="Z169" s="12"/>
      <c r="AA169" s="12"/>
      <c r="AB169" s="12"/>
      <c r="AC169" s="12"/>
    </row>
    <row r="170" ht="15.75" customHeight="1">
      <c r="A170" s="12"/>
      <c r="B170" s="12"/>
      <c r="C170" s="12"/>
      <c r="D170" s="12"/>
      <c r="E170" s="12"/>
      <c r="F170" s="12"/>
      <c r="G170" s="12"/>
      <c r="H170" s="12"/>
      <c r="I170" s="12"/>
      <c r="J170" s="12"/>
      <c r="K170" s="12"/>
      <c r="L170" s="12"/>
      <c r="M170" s="12"/>
      <c r="N170" s="12"/>
      <c r="O170" s="12"/>
      <c r="P170" s="12"/>
      <c r="Q170" s="12"/>
      <c r="R170" s="12"/>
      <c r="S170" s="12"/>
      <c r="T170" s="12"/>
      <c r="U170" s="12"/>
      <c r="V170" s="12"/>
      <c r="W170" s="12"/>
      <c r="X170" s="12"/>
      <c r="Y170" s="12"/>
      <c r="Z170" s="12"/>
      <c r="AA170" s="12"/>
      <c r="AB170" s="12"/>
      <c r="AC170" s="12"/>
    </row>
    <row r="171" ht="15.75" customHeight="1">
      <c r="A171" s="12"/>
      <c r="B171" s="12"/>
      <c r="C171" s="12"/>
      <c r="D171" s="12"/>
      <c r="E171" s="12"/>
      <c r="F171" s="12"/>
      <c r="G171" s="12"/>
      <c r="H171" s="12"/>
      <c r="I171" s="12"/>
      <c r="J171" s="12"/>
      <c r="K171" s="12"/>
      <c r="L171" s="12"/>
      <c r="M171" s="12"/>
      <c r="N171" s="12"/>
      <c r="O171" s="12"/>
      <c r="P171" s="12"/>
      <c r="Q171" s="12"/>
      <c r="R171" s="12"/>
      <c r="S171" s="12"/>
      <c r="T171" s="12"/>
      <c r="U171" s="12"/>
      <c r="V171" s="12"/>
      <c r="W171" s="12"/>
      <c r="X171" s="12"/>
      <c r="Y171" s="12"/>
      <c r="Z171" s="12"/>
      <c r="AA171" s="12"/>
      <c r="AB171" s="12"/>
      <c r="AC171" s="12"/>
    </row>
    <row r="172" ht="15.75" customHeight="1">
      <c r="A172" s="12"/>
      <c r="B172" s="12"/>
      <c r="C172" s="12"/>
      <c r="D172" s="12"/>
      <c r="E172" s="12"/>
      <c r="F172" s="12"/>
      <c r="G172" s="12"/>
      <c r="H172" s="12"/>
      <c r="I172" s="12"/>
      <c r="J172" s="12"/>
      <c r="K172" s="12"/>
      <c r="L172" s="12"/>
      <c r="M172" s="12"/>
      <c r="N172" s="12"/>
      <c r="O172" s="12"/>
      <c r="P172" s="12"/>
      <c r="Q172" s="12"/>
      <c r="R172" s="12"/>
      <c r="S172" s="12"/>
      <c r="T172" s="12"/>
      <c r="U172" s="12"/>
      <c r="V172" s="12"/>
      <c r="W172" s="12"/>
      <c r="X172" s="12"/>
      <c r="Y172" s="12"/>
      <c r="Z172" s="12"/>
      <c r="AA172" s="12"/>
      <c r="AB172" s="12"/>
      <c r="AC172" s="12"/>
    </row>
    <row r="173" ht="15.75" customHeight="1">
      <c r="A173" s="12"/>
      <c r="B173" s="12"/>
      <c r="C173" s="12"/>
      <c r="D173" s="12"/>
      <c r="E173" s="12"/>
      <c r="F173" s="12"/>
      <c r="G173" s="12"/>
      <c r="H173" s="12"/>
      <c r="I173" s="12"/>
      <c r="J173" s="12"/>
      <c r="K173" s="12"/>
      <c r="L173" s="12"/>
      <c r="M173" s="12"/>
      <c r="N173" s="12"/>
      <c r="O173" s="12"/>
      <c r="P173" s="12"/>
      <c r="Q173" s="12"/>
      <c r="R173" s="12"/>
      <c r="S173" s="12"/>
      <c r="T173" s="12"/>
      <c r="U173" s="12"/>
      <c r="V173" s="12"/>
      <c r="W173" s="12"/>
      <c r="X173" s="12"/>
      <c r="Y173" s="12"/>
      <c r="Z173" s="12"/>
      <c r="AA173" s="12"/>
      <c r="AB173" s="12"/>
      <c r="AC173" s="12"/>
    </row>
    <row r="174" ht="15.75" customHeight="1">
      <c r="A174" s="12"/>
      <c r="B174" s="12"/>
      <c r="C174" s="12"/>
      <c r="D174" s="12"/>
      <c r="E174" s="12"/>
      <c r="F174" s="12"/>
      <c r="G174" s="12"/>
      <c r="H174" s="12"/>
      <c r="I174" s="12"/>
      <c r="J174" s="12"/>
      <c r="K174" s="12"/>
      <c r="L174" s="12"/>
      <c r="M174" s="12"/>
      <c r="N174" s="12"/>
      <c r="O174" s="12"/>
      <c r="P174" s="12"/>
      <c r="Q174" s="12"/>
      <c r="R174" s="12"/>
      <c r="S174" s="12"/>
      <c r="T174" s="12"/>
      <c r="U174" s="12"/>
      <c r="V174" s="12"/>
      <c r="W174" s="12"/>
      <c r="X174" s="12"/>
      <c r="Y174" s="12"/>
      <c r="Z174" s="12"/>
      <c r="AA174" s="12"/>
      <c r="AB174" s="12"/>
      <c r="AC174" s="12"/>
    </row>
    <row r="175" ht="15.75" customHeight="1">
      <c r="A175" s="12"/>
      <c r="B175" s="12"/>
      <c r="C175" s="12"/>
      <c r="D175" s="12"/>
      <c r="E175" s="12"/>
      <c r="F175" s="12"/>
      <c r="G175" s="12"/>
      <c r="H175" s="12"/>
      <c r="I175" s="12"/>
      <c r="J175" s="12"/>
      <c r="K175" s="12"/>
      <c r="L175" s="12"/>
      <c r="M175" s="12"/>
      <c r="N175" s="12"/>
      <c r="O175" s="12"/>
      <c r="P175" s="12"/>
      <c r="Q175" s="12"/>
      <c r="R175" s="12"/>
      <c r="S175" s="12"/>
      <c r="T175" s="12"/>
      <c r="U175" s="12"/>
      <c r="V175" s="12"/>
      <c r="W175" s="12"/>
      <c r="X175" s="12"/>
      <c r="Y175" s="12"/>
      <c r="Z175" s="12"/>
      <c r="AA175" s="12"/>
      <c r="AB175" s="12"/>
      <c r="AC175" s="12"/>
    </row>
    <row r="176" ht="15.75" customHeight="1">
      <c r="A176" s="12"/>
      <c r="B176" s="12"/>
      <c r="C176" s="12"/>
      <c r="D176" s="12"/>
      <c r="E176" s="12"/>
      <c r="F176" s="12"/>
      <c r="G176" s="12"/>
      <c r="H176" s="12"/>
      <c r="I176" s="12"/>
      <c r="J176" s="12"/>
      <c r="K176" s="12"/>
      <c r="L176" s="12"/>
      <c r="M176" s="12"/>
      <c r="N176" s="12"/>
      <c r="O176" s="12"/>
      <c r="P176" s="12"/>
      <c r="Q176" s="12"/>
      <c r="R176" s="12"/>
      <c r="S176" s="12"/>
      <c r="T176" s="12"/>
      <c r="U176" s="12"/>
      <c r="V176" s="12"/>
      <c r="W176" s="12"/>
      <c r="X176" s="12"/>
      <c r="Y176" s="12"/>
      <c r="Z176" s="12"/>
      <c r="AA176" s="12"/>
      <c r="AB176" s="12"/>
      <c r="AC176" s="12"/>
    </row>
    <row r="177" ht="15.75" customHeight="1">
      <c r="A177" s="12"/>
      <c r="B177" s="12"/>
      <c r="C177" s="12"/>
      <c r="D177" s="12"/>
      <c r="E177" s="12"/>
      <c r="F177" s="12"/>
      <c r="G177" s="12"/>
      <c r="H177" s="12"/>
      <c r="I177" s="12"/>
      <c r="J177" s="12"/>
      <c r="K177" s="12"/>
      <c r="L177" s="12"/>
      <c r="M177" s="12"/>
      <c r="N177" s="12"/>
      <c r="O177" s="12"/>
      <c r="P177" s="12"/>
      <c r="Q177" s="12"/>
      <c r="R177" s="12"/>
      <c r="S177" s="12"/>
      <c r="T177" s="12"/>
      <c r="U177" s="12"/>
      <c r="V177" s="12"/>
      <c r="W177" s="12"/>
      <c r="X177" s="12"/>
      <c r="Y177" s="12"/>
      <c r="Z177" s="12"/>
      <c r="AA177" s="12"/>
      <c r="AB177" s="12"/>
      <c r="AC177" s="12"/>
    </row>
    <row r="178" ht="15.75" customHeight="1">
      <c r="A178" s="12"/>
      <c r="B178" s="12"/>
      <c r="C178" s="12"/>
      <c r="D178" s="12"/>
      <c r="E178" s="12"/>
      <c r="F178" s="12"/>
      <c r="G178" s="12"/>
      <c r="H178" s="12"/>
      <c r="I178" s="12"/>
      <c r="J178" s="12"/>
      <c r="K178" s="12"/>
      <c r="L178" s="12"/>
      <c r="M178" s="12"/>
      <c r="N178" s="12"/>
      <c r="O178" s="12"/>
      <c r="P178" s="12"/>
      <c r="Q178" s="12"/>
      <c r="R178" s="12"/>
      <c r="S178" s="12"/>
      <c r="T178" s="12"/>
      <c r="U178" s="12"/>
      <c r="V178" s="12"/>
      <c r="W178" s="12"/>
      <c r="X178" s="12"/>
      <c r="Y178" s="12"/>
      <c r="Z178" s="12"/>
      <c r="AA178" s="12"/>
      <c r="AB178" s="12"/>
      <c r="AC178" s="12"/>
    </row>
    <row r="179" ht="15.75" customHeight="1">
      <c r="A179" s="12"/>
      <c r="B179" s="12"/>
      <c r="C179" s="12"/>
      <c r="D179" s="12"/>
      <c r="E179" s="12"/>
      <c r="F179" s="12"/>
      <c r="G179" s="12"/>
      <c r="H179" s="12"/>
      <c r="I179" s="12"/>
      <c r="J179" s="12"/>
      <c r="K179" s="12"/>
      <c r="L179" s="12"/>
      <c r="M179" s="12"/>
      <c r="N179" s="12"/>
      <c r="O179" s="12"/>
      <c r="P179" s="12"/>
      <c r="Q179" s="12"/>
      <c r="R179" s="12"/>
      <c r="S179" s="12"/>
      <c r="T179" s="12"/>
      <c r="U179" s="12"/>
      <c r="V179" s="12"/>
      <c r="W179" s="12"/>
      <c r="X179" s="12"/>
      <c r="Y179" s="12"/>
      <c r="Z179" s="12"/>
      <c r="AA179" s="12"/>
      <c r="AB179" s="12"/>
      <c r="AC179" s="12"/>
    </row>
    <row r="180" ht="15.75" customHeight="1">
      <c r="A180" s="12"/>
      <c r="B180" s="12"/>
      <c r="C180" s="12"/>
      <c r="D180" s="12"/>
      <c r="E180" s="12"/>
      <c r="F180" s="12"/>
      <c r="G180" s="12"/>
      <c r="H180" s="12"/>
      <c r="I180" s="12"/>
      <c r="J180" s="12"/>
      <c r="K180" s="12"/>
      <c r="L180" s="12"/>
      <c r="M180" s="12"/>
      <c r="N180" s="12"/>
      <c r="O180" s="12"/>
      <c r="P180" s="12"/>
      <c r="Q180" s="12"/>
      <c r="R180" s="12"/>
      <c r="S180" s="12"/>
      <c r="T180" s="12"/>
      <c r="U180" s="12"/>
      <c r="V180" s="12"/>
      <c r="W180" s="12"/>
      <c r="X180" s="12"/>
      <c r="Y180" s="12"/>
      <c r="Z180" s="12"/>
      <c r="AA180" s="12"/>
      <c r="AB180" s="12"/>
      <c r="AC180" s="12"/>
    </row>
    <row r="181" ht="15.75" customHeight="1">
      <c r="A181" s="12"/>
      <c r="B181" s="12"/>
      <c r="C181" s="12"/>
      <c r="D181" s="12"/>
      <c r="E181" s="12"/>
      <c r="F181" s="12"/>
      <c r="G181" s="12"/>
      <c r="H181" s="12"/>
      <c r="I181" s="12"/>
      <c r="J181" s="12"/>
      <c r="K181" s="12"/>
      <c r="L181" s="12"/>
      <c r="M181" s="12"/>
      <c r="N181" s="12"/>
      <c r="O181" s="12"/>
      <c r="P181" s="12"/>
      <c r="Q181" s="12"/>
      <c r="R181" s="12"/>
      <c r="S181" s="12"/>
      <c r="T181" s="12"/>
      <c r="U181" s="12"/>
      <c r="V181" s="12"/>
      <c r="W181" s="12"/>
      <c r="X181" s="12"/>
      <c r="Y181" s="12"/>
      <c r="Z181" s="12"/>
      <c r="AA181" s="12"/>
      <c r="AB181" s="12"/>
      <c r="AC181" s="12"/>
    </row>
    <row r="182" ht="15.75" customHeight="1">
      <c r="A182" s="12"/>
      <c r="B182" s="12"/>
      <c r="C182" s="12"/>
      <c r="D182" s="12"/>
      <c r="E182" s="12"/>
      <c r="F182" s="12"/>
      <c r="G182" s="12"/>
      <c r="H182" s="12"/>
      <c r="I182" s="12"/>
      <c r="J182" s="12"/>
      <c r="K182" s="12"/>
      <c r="L182" s="12"/>
      <c r="M182" s="12"/>
      <c r="N182" s="12"/>
      <c r="O182" s="12"/>
      <c r="P182" s="12"/>
      <c r="Q182" s="12"/>
      <c r="R182" s="12"/>
      <c r="S182" s="12"/>
      <c r="T182" s="12"/>
      <c r="U182" s="12"/>
      <c r="V182" s="12"/>
      <c r="W182" s="12"/>
      <c r="X182" s="12"/>
      <c r="Y182" s="12"/>
      <c r="Z182" s="12"/>
      <c r="AA182" s="12"/>
      <c r="AB182" s="12"/>
      <c r="AC182" s="12"/>
    </row>
    <row r="183" ht="15.75" customHeight="1">
      <c r="A183" s="12"/>
      <c r="B183" s="12"/>
      <c r="C183" s="12"/>
      <c r="D183" s="12"/>
      <c r="E183" s="12"/>
      <c r="F183" s="12"/>
      <c r="G183" s="12"/>
      <c r="H183" s="12"/>
      <c r="I183" s="12"/>
      <c r="J183" s="12"/>
      <c r="K183" s="12"/>
      <c r="L183" s="12"/>
      <c r="M183" s="12"/>
      <c r="N183" s="12"/>
      <c r="O183" s="12"/>
      <c r="P183" s="12"/>
      <c r="Q183" s="12"/>
      <c r="R183" s="12"/>
      <c r="S183" s="12"/>
      <c r="T183" s="12"/>
      <c r="U183" s="12"/>
      <c r="V183" s="12"/>
      <c r="W183" s="12"/>
      <c r="X183" s="12"/>
      <c r="Y183" s="12"/>
      <c r="Z183" s="12"/>
      <c r="AA183" s="12"/>
      <c r="AB183" s="12"/>
      <c r="AC183" s="12"/>
    </row>
    <row r="184" ht="15.75" customHeight="1">
      <c r="A184" s="12"/>
      <c r="B184" s="12"/>
      <c r="C184" s="12"/>
      <c r="D184" s="12"/>
      <c r="E184" s="12"/>
      <c r="F184" s="12"/>
      <c r="G184" s="12"/>
      <c r="H184" s="12"/>
      <c r="I184" s="12"/>
      <c r="J184" s="12"/>
      <c r="K184" s="12"/>
      <c r="L184" s="12"/>
      <c r="M184" s="12"/>
      <c r="N184" s="12"/>
      <c r="O184" s="12"/>
      <c r="P184" s="12"/>
      <c r="Q184" s="12"/>
      <c r="R184" s="12"/>
      <c r="S184" s="12"/>
      <c r="T184" s="12"/>
      <c r="U184" s="12"/>
      <c r="V184" s="12"/>
      <c r="W184" s="12"/>
      <c r="X184" s="12"/>
      <c r="Y184" s="12"/>
      <c r="Z184" s="12"/>
      <c r="AA184" s="12"/>
      <c r="AB184" s="12"/>
      <c r="AC184" s="12"/>
    </row>
    <row r="185" ht="15.75" customHeight="1">
      <c r="A185" s="12"/>
      <c r="B185" s="12"/>
      <c r="C185" s="12"/>
      <c r="D185" s="12"/>
      <c r="E185" s="12"/>
      <c r="F185" s="12"/>
      <c r="G185" s="12"/>
      <c r="H185" s="12"/>
      <c r="I185" s="12"/>
      <c r="J185" s="12"/>
      <c r="K185" s="12"/>
      <c r="L185" s="12"/>
      <c r="M185" s="12"/>
      <c r="N185" s="12"/>
      <c r="O185" s="12"/>
      <c r="P185" s="12"/>
      <c r="Q185" s="12"/>
      <c r="R185" s="12"/>
      <c r="S185" s="12"/>
      <c r="T185" s="12"/>
      <c r="U185" s="12"/>
      <c r="V185" s="12"/>
      <c r="W185" s="12"/>
      <c r="X185" s="12"/>
      <c r="Y185" s="12"/>
      <c r="Z185" s="12"/>
      <c r="AA185" s="12"/>
      <c r="AB185" s="12"/>
      <c r="AC185" s="12"/>
    </row>
    <row r="186" ht="15.75" customHeight="1">
      <c r="A186" s="12"/>
      <c r="B186" s="12"/>
      <c r="C186" s="12"/>
      <c r="D186" s="12"/>
      <c r="E186" s="12"/>
      <c r="F186" s="12"/>
      <c r="G186" s="12"/>
      <c r="H186" s="12"/>
      <c r="I186" s="12"/>
      <c r="J186" s="12"/>
      <c r="K186" s="12"/>
      <c r="L186" s="12"/>
      <c r="M186" s="12"/>
      <c r="N186" s="12"/>
      <c r="O186" s="12"/>
      <c r="P186" s="12"/>
      <c r="Q186" s="12"/>
      <c r="R186" s="12"/>
      <c r="S186" s="12"/>
      <c r="T186" s="12"/>
      <c r="U186" s="12"/>
      <c r="V186" s="12"/>
      <c r="W186" s="12"/>
      <c r="X186" s="12"/>
      <c r="Y186" s="12"/>
      <c r="Z186" s="12"/>
      <c r="AA186" s="12"/>
      <c r="AB186" s="12"/>
      <c r="AC186" s="12"/>
    </row>
    <row r="187" ht="15.75" customHeight="1">
      <c r="A187" s="12"/>
      <c r="B187" s="12"/>
      <c r="C187" s="12"/>
      <c r="D187" s="12"/>
      <c r="E187" s="12"/>
      <c r="F187" s="12"/>
      <c r="G187" s="12"/>
      <c r="H187" s="12"/>
      <c r="I187" s="12"/>
      <c r="J187" s="12"/>
      <c r="K187" s="12"/>
      <c r="L187" s="12"/>
      <c r="M187" s="12"/>
      <c r="N187" s="12"/>
      <c r="O187" s="12"/>
      <c r="P187" s="12"/>
      <c r="Q187" s="12"/>
      <c r="R187" s="12"/>
      <c r="S187" s="12"/>
      <c r="T187" s="12"/>
      <c r="U187" s="12"/>
      <c r="V187" s="12"/>
      <c r="W187" s="12"/>
      <c r="X187" s="12"/>
      <c r="Y187" s="12"/>
      <c r="Z187" s="12"/>
      <c r="AA187" s="12"/>
      <c r="AB187" s="12"/>
      <c r="AC187" s="12"/>
    </row>
    <row r="188" ht="15.75" customHeight="1">
      <c r="A188" s="12"/>
      <c r="B188" s="12"/>
      <c r="C188" s="12"/>
      <c r="D188" s="12"/>
      <c r="E188" s="12"/>
      <c r="F188" s="12"/>
      <c r="G188" s="12"/>
      <c r="H188" s="12"/>
      <c r="I188" s="12"/>
      <c r="J188" s="12"/>
      <c r="K188" s="12"/>
      <c r="L188" s="12"/>
      <c r="M188" s="12"/>
      <c r="N188" s="12"/>
      <c r="O188" s="12"/>
      <c r="P188" s="12"/>
      <c r="Q188" s="12"/>
      <c r="R188" s="12"/>
      <c r="S188" s="12"/>
      <c r="T188" s="12"/>
      <c r="U188" s="12"/>
      <c r="V188" s="12"/>
      <c r="W188" s="12"/>
      <c r="X188" s="12"/>
      <c r="Y188" s="12"/>
      <c r="Z188" s="12"/>
      <c r="AA188" s="12"/>
      <c r="AB188" s="12"/>
      <c r="AC188" s="12"/>
    </row>
    <row r="189" ht="15.75" customHeight="1">
      <c r="A189" s="12"/>
      <c r="B189" s="12"/>
      <c r="C189" s="12"/>
      <c r="D189" s="12"/>
      <c r="E189" s="12"/>
      <c r="F189" s="12"/>
      <c r="G189" s="12"/>
      <c r="H189" s="12"/>
      <c r="I189" s="12"/>
      <c r="J189" s="12"/>
      <c r="K189" s="12"/>
      <c r="L189" s="12"/>
      <c r="M189" s="12"/>
      <c r="N189" s="12"/>
      <c r="O189" s="12"/>
      <c r="P189" s="12"/>
      <c r="Q189" s="12"/>
      <c r="R189" s="12"/>
      <c r="S189" s="12"/>
      <c r="T189" s="12"/>
      <c r="U189" s="12"/>
      <c r="V189" s="12"/>
      <c r="W189" s="12"/>
      <c r="X189" s="12"/>
      <c r="Y189" s="12"/>
      <c r="Z189" s="12"/>
      <c r="AA189" s="12"/>
      <c r="AB189" s="12"/>
      <c r="AC189" s="12"/>
    </row>
    <row r="190" ht="15.75" customHeight="1">
      <c r="A190" s="12"/>
      <c r="B190" s="12"/>
      <c r="C190" s="12"/>
      <c r="D190" s="12"/>
      <c r="E190" s="12"/>
      <c r="F190" s="12"/>
      <c r="G190" s="12"/>
      <c r="H190" s="12"/>
      <c r="I190" s="12"/>
      <c r="J190" s="12"/>
      <c r="K190" s="12"/>
      <c r="L190" s="12"/>
      <c r="M190" s="12"/>
      <c r="N190" s="12"/>
      <c r="O190" s="12"/>
      <c r="P190" s="12"/>
      <c r="Q190" s="12"/>
      <c r="R190" s="12"/>
      <c r="S190" s="12"/>
      <c r="T190" s="12"/>
      <c r="U190" s="12"/>
      <c r="V190" s="12"/>
      <c r="W190" s="12"/>
      <c r="X190" s="12"/>
      <c r="Y190" s="12"/>
      <c r="Z190" s="12"/>
      <c r="AA190" s="12"/>
      <c r="AB190" s="12"/>
      <c r="AC190" s="12"/>
    </row>
    <row r="191" ht="15.75" customHeight="1">
      <c r="A191" s="12"/>
      <c r="B191" s="12"/>
      <c r="C191" s="12"/>
      <c r="D191" s="12"/>
      <c r="E191" s="12"/>
      <c r="F191" s="12"/>
      <c r="G191" s="12"/>
      <c r="H191" s="12"/>
      <c r="I191" s="12"/>
      <c r="J191" s="12"/>
      <c r="K191" s="12"/>
      <c r="L191" s="12"/>
      <c r="M191" s="12"/>
      <c r="N191" s="12"/>
      <c r="O191" s="12"/>
      <c r="P191" s="12"/>
      <c r="Q191" s="12"/>
      <c r="R191" s="12"/>
      <c r="S191" s="12"/>
      <c r="T191" s="12"/>
      <c r="U191" s="12"/>
      <c r="V191" s="12"/>
      <c r="W191" s="12"/>
      <c r="X191" s="12"/>
      <c r="Y191" s="12"/>
      <c r="Z191" s="12"/>
      <c r="AA191" s="12"/>
      <c r="AB191" s="12"/>
      <c r="AC191" s="12"/>
    </row>
    <row r="192" ht="15.75" customHeight="1">
      <c r="A192" s="12"/>
      <c r="B192" s="12"/>
      <c r="C192" s="12"/>
      <c r="D192" s="12"/>
      <c r="E192" s="12"/>
      <c r="F192" s="12"/>
      <c r="G192" s="12"/>
      <c r="H192" s="12"/>
      <c r="I192" s="12"/>
      <c r="J192" s="12"/>
      <c r="K192" s="12"/>
      <c r="L192" s="12"/>
      <c r="M192" s="12"/>
      <c r="N192" s="12"/>
      <c r="O192" s="12"/>
      <c r="P192" s="12"/>
      <c r="Q192" s="12"/>
      <c r="R192" s="12"/>
      <c r="S192" s="12"/>
      <c r="T192" s="12"/>
      <c r="U192" s="12"/>
      <c r="V192" s="12"/>
      <c r="W192" s="12"/>
      <c r="X192" s="12"/>
      <c r="Y192" s="12"/>
      <c r="Z192" s="12"/>
      <c r="AA192" s="12"/>
      <c r="AB192" s="12"/>
      <c r="AC192" s="12"/>
    </row>
    <row r="193" ht="15.75" customHeight="1">
      <c r="A193" s="12"/>
      <c r="B193" s="12"/>
      <c r="C193" s="12"/>
      <c r="D193" s="12"/>
      <c r="E193" s="12"/>
      <c r="F193" s="12"/>
      <c r="G193" s="12"/>
      <c r="H193" s="12"/>
      <c r="I193" s="12"/>
      <c r="J193" s="12"/>
      <c r="K193" s="12"/>
      <c r="L193" s="12"/>
      <c r="M193" s="12"/>
      <c r="N193" s="12"/>
      <c r="O193" s="12"/>
      <c r="P193" s="12"/>
      <c r="Q193" s="12"/>
      <c r="R193" s="12"/>
      <c r="S193" s="12"/>
      <c r="T193" s="12"/>
      <c r="U193" s="12"/>
      <c r="V193" s="12"/>
      <c r="W193" s="12"/>
      <c r="X193" s="12"/>
      <c r="Y193" s="12"/>
      <c r="Z193" s="12"/>
      <c r="AA193" s="12"/>
      <c r="AB193" s="12"/>
      <c r="AC193" s="12"/>
    </row>
    <row r="194" ht="15.75" customHeight="1">
      <c r="A194" s="12"/>
      <c r="B194" s="12"/>
      <c r="C194" s="12"/>
      <c r="D194" s="12"/>
      <c r="E194" s="12"/>
      <c r="F194" s="12"/>
      <c r="G194" s="12"/>
      <c r="H194" s="12"/>
      <c r="I194" s="12"/>
      <c r="J194" s="12"/>
      <c r="K194" s="12"/>
      <c r="L194" s="12"/>
      <c r="M194" s="12"/>
      <c r="N194" s="12"/>
      <c r="O194" s="12"/>
      <c r="P194" s="12"/>
      <c r="Q194" s="12"/>
      <c r="R194" s="12"/>
      <c r="S194" s="12"/>
      <c r="T194" s="12"/>
      <c r="U194" s="12"/>
      <c r="V194" s="12"/>
      <c r="W194" s="12"/>
      <c r="X194" s="12"/>
      <c r="Y194" s="12"/>
      <c r="Z194" s="12"/>
      <c r="AA194" s="12"/>
      <c r="AB194" s="12"/>
      <c r="AC194" s="12"/>
    </row>
    <row r="195" ht="15.75" customHeight="1">
      <c r="A195" s="12"/>
      <c r="B195" s="12"/>
      <c r="C195" s="12"/>
      <c r="D195" s="12"/>
      <c r="E195" s="12"/>
      <c r="F195" s="12"/>
      <c r="G195" s="12"/>
      <c r="H195" s="12"/>
      <c r="I195" s="12"/>
      <c r="J195" s="12"/>
      <c r="K195" s="12"/>
      <c r="L195" s="12"/>
      <c r="M195" s="12"/>
      <c r="N195" s="12"/>
      <c r="O195" s="12"/>
      <c r="P195" s="12"/>
      <c r="Q195" s="12"/>
      <c r="R195" s="12"/>
      <c r="S195" s="12"/>
      <c r="T195" s="12"/>
      <c r="U195" s="12"/>
      <c r="V195" s="12"/>
      <c r="W195" s="12"/>
      <c r="X195" s="12"/>
      <c r="Y195" s="12"/>
      <c r="Z195" s="12"/>
      <c r="AA195" s="12"/>
      <c r="AB195" s="12"/>
      <c r="AC195" s="12"/>
    </row>
    <row r="196" ht="15.75" customHeight="1">
      <c r="A196" s="12"/>
      <c r="B196" s="12"/>
      <c r="C196" s="12"/>
      <c r="D196" s="12"/>
      <c r="E196" s="12"/>
      <c r="F196" s="12"/>
      <c r="G196" s="12"/>
      <c r="H196" s="12"/>
      <c r="I196" s="12"/>
      <c r="J196" s="12"/>
      <c r="K196" s="12"/>
      <c r="L196" s="12"/>
      <c r="M196" s="12"/>
      <c r="N196" s="12"/>
      <c r="O196" s="12"/>
      <c r="P196" s="12"/>
      <c r="Q196" s="12"/>
      <c r="R196" s="12"/>
      <c r="S196" s="12"/>
      <c r="T196" s="12"/>
      <c r="U196" s="12"/>
      <c r="V196" s="12"/>
      <c r="W196" s="12"/>
      <c r="X196" s="12"/>
      <c r="Y196" s="12"/>
      <c r="Z196" s="12"/>
      <c r="AA196" s="12"/>
      <c r="AB196" s="12"/>
      <c r="AC196" s="12"/>
    </row>
    <row r="197" ht="15.75" customHeight="1">
      <c r="A197" s="12"/>
      <c r="B197" s="12"/>
      <c r="C197" s="12"/>
      <c r="D197" s="12"/>
      <c r="E197" s="12"/>
      <c r="F197" s="12"/>
      <c r="G197" s="12"/>
      <c r="H197" s="12"/>
      <c r="I197" s="12"/>
      <c r="J197" s="12"/>
      <c r="K197" s="12"/>
      <c r="L197" s="12"/>
      <c r="M197" s="12"/>
      <c r="N197" s="12"/>
      <c r="O197" s="12"/>
      <c r="P197" s="12"/>
      <c r="Q197" s="12"/>
      <c r="R197" s="12"/>
      <c r="S197" s="12"/>
      <c r="T197" s="12"/>
      <c r="U197" s="12"/>
      <c r="V197" s="12"/>
      <c r="W197" s="12"/>
      <c r="X197" s="12"/>
      <c r="Y197" s="12"/>
      <c r="Z197" s="12"/>
      <c r="AA197" s="12"/>
      <c r="AB197" s="12"/>
      <c r="AC197" s="12"/>
    </row>
    <row r="198" ht="15.75" customHeight="1">
      <c r="A198" s="12"/>
      <c r="B198" s="12"/>
      <c r="C198" s="12"/>
      <c r="D198" s="12"/>
      <c r="E198" s="12"/>
      <c r="F198" s="12"/>
      <c r="G198" s="12"/>
      <c r="H198" s="12"/>
      <c r="I198" s="12"/>
      <c r="J198" s="12"/>
      <c r="K198" s="12"/>
      <c r="L198" s="12"/>
      <c r="M198" s="12"/>
      <c r="N198" s="12"/>
      <c r="O198" s="12"/>
      <c r="P198" s="12"/>
      <c r="Q198" s="12"/>
      <c r="R198" s="12"/>
      <c r="S198" s="12"/>
      <c r="T198" s="12"/>
      <c r="U198" s="12"/>
      <c r="V198" s="12"/>
      <c r="W198" s="12"/>
      <c r="X198" s="12"/>
      <c r="Y198" s="12"/>
      <c r="Z198" s="12"/>
      <c r="AA198" s="12"/>
      <c r="AB198" s="12"/>
      <c r="AC198" s="12"/>
    </row>
    <row r="199" ht="15.75" customHeight="1">
      <c r="A199" s="12"/>
      <c r="B199" s="12"/>
      <c r="C199" s="12"/>
      <c r="D199" s="12"/>
      <c r="E199" s="12"/>
      <c r="F199" s="12"/>
      <c r="G199" s="12"/>
      <c r="H199" s="12"/>
      <c r="I199" s="12"/>
      <c r="J199" s="12"/>
      <c r="K199" s="12"/>
      <c r="L199" s="12"/>
      <c r="M199" s="12"/>
      <c r="N199" s="12"/>
      <c r="O199" s="12"/>
      <c r="P199" s="12"/>
      <c r="Q199" s="12"/>
      <c r="R199" s="12"/>
      <c r="S199" s="12"/>
      <c r="T199" s="12"/>
      <c r="U199" s="12"/>
      <c r="V199" s="12"/>
      <c r="W199" s="12"/>
      <c r="X199" s="12"/>
      <c r="Y199" s="12"/>
      <c r="Z199" s="12"/>
      <c r="AA199" s="12"/>
      <c r="AB199" s="12"/>
      <c r="AC199" s="12"/>
    </row>
    <row r="200" ht="15.75" customHeight="1">
      <c r="A200" s="12"/>
      <c r="B200" s="12"/>
      <c r="C200" s="12"/>
      <c r="D200" s="12"/>
      <c r="E200" s="12"/>
      <c r="F200" s="12"/>
      <c r="G200" s="12"/>
      <c r="H200" s="12"/>
      <c r="I200" s="12"/>
      <c r="J200" s="12"/>
      <c r="K200" s="12"/>
      <c r="L200" s="12"/>
      <c r="M200" s="12"/>
      <c r="N200" s="12"/>
      <c r="O200" s="12"/>
      <c r="P200" s="12"/>
      <c r="Q200" s="12"/>
      <c r="R200" s="12"/>
      <c r="S200" s="12"/>
      <c r="T200" s="12"/>
      <c r="U200" s="12"/>
      <c r="V200" s="12"/>
      <c r="W200" s="12"/>
      <c r="X200" s="12"/>
      <c r="Y200" s="12"/>
      <c r="Z200" s="12"/>
      <c r="AA200" s="12"/>
      <c r="AB200" s="12"/>
      <c r="AC200" s="12"/>
    </row>
    <row r="201" ht="15.75" customHeight="1">
      <c r="A201" s="12"/>
      <c r="B201" s="12"/>
      <c r="C201" s="12"/>
      <c r="D201" s="12"/>
      <c r="E201" s="12"/>
      <c r="F201" s="12"/>
      <c r="G201" s="12"/>
      <c r="H201" s="12"/>
      <c r="I201" s="12"/>
      <c r="J201" s="12"/>
      <c r="K201" s="12"/>
      <c r="L201" s="12"/>
      <c r="M201" s="12"/>
      <c r="N201" s="12"/>
      <c r="O201" s="12"/>
      <c r="P201" s="12"/>
      <c r="Q201" s="12"/>
      <c r="R201" s="12"/>
      <c r="S201" s="12"/>
      <c r="T201" s="12"/>
      <c r="U201" s="12"/>
      <c r="V201" s="12"/>
      <c r="W201" s="12"/>
      <c r="X201" s="12"/>
      <c r="Y201" s="12"/>
      <c r="Z201" s="12"/>
      <c r="AA201" s="12"/>
      <c r="AB201" s="12"/>
      <c r="AC201" s="12"/>
    </row>
    <row r="202" ht="15.75" customHeight="1">
      <c r="A202" s="12"/>
      <c r="B202" s="12"/>
      <c r="C202" s="12"/>
      <c r="D202" s="12"/>
      <c r="E202" s="12"/>
      <c r="F202" s="12"/>
      <c r="G202" s="12"/>
      <c r="H202" s="12"/>
      <c r="I202" s="12"/>
      <c r="J202" s="12"/>
      <c r="K202" s="12"/>
      <c r="L202" s="12"/>
      <c r="M202" s="12"/>
      <c r="N202" s="12"/>
      <c r="O202" s="12"/>
      <c r="P202" s="12"/>
      <c r="Q202" s="12"/>
      <c r="R202" s="12"/>
      <c r="S202" s="12"/>
      <c r="T202" s="12"/>
      <c r="U202" s="12"/>
      <c r="V202" s="12"/>
      <c r="W202" s="12"/>
      <c r="X202" s="12"/>
      <c r="Y202" s="12"/>
      <c r="Z202" s="12"/>
      <c r="AA202" s="12"/>
      <c r="AB202" s="12"/>
      <c r="AC202" s="12"/>
    </row>
    <row r="203" ht="15.75" customHeight="1">
      <c r="A203" s="12"/>
      <c r="B203" s="12"/>
      <c r="C203" s="12"/>
      <c r="D203" s="12"/>
      <c r="E203" s="12"/>
      <c r="F203" s="12"/>
      <c r="G203" s="12"/>
      <c r="H203" s="12"/>
      <c r="I203" s="12"/>
      <c r="J203" s="12"/>
      <c r="K203" s="12"/>
      <c r="L203" s="12"/>
      <c r="M203" s="12"/>
      <c r="N203" s="12"/>
      <c r="O203" s="12"/>
      <c r="P203" s="12"/>
      <c r="Q203" s="12"/>
      <c r="R203" s="12"/>
      <c r="S203" s="12"/>
      <c r="T203" s="12"/>
      <c r="U203" s="12"/>
      <c r="V203" s="12"/>
      <c r="W203" s="12"/>
      <c r="X203" s="12"/>
      <c r="Y203" s="12"/>
      <c r="Z203" s="12"/>
      <c r="AA203" s="12"/>
      <c r="AB203" s="12"/>
      <c r="AC203" s="12"/>
    </row>
    <row r="204" ht="15.75" customHeight="1">
      <c r="A204" s="12"/>
      <c r="B204" s="12"/>
      <c r="C204" s="12"/>
      <c r="D204" s="12"/>
      <c r="E204" s="12"/>
      <c r="F204" s="12"/>
      <c r="G204" s="12"/>
      <c r="H204" s="12"/>
      <c r="I204" s="12"/>
      <c r="J204" s="12"/>
      <c r="K204" s="12"/>
      <c r="L204" s="12"/>
      <c r="M204" s="12"/>
      <c r="N204" s="12"/>
      <c r="O204" s="12"/>
      <c r="P204" s="12"/>
      <c r="Q204" s="12"/>
      <c r="R204" s="12"/>
      <c r="S204" s="12"/>
      <c r="T204" s="12"/>
      <c r="U204" s="12"/>
      <c r="V204" s="12"/>
      <c r="W204" s="12"/>
      <c r="X204" s="12"/>
      <c r="Y204" s="12"/>
      <c r="Z204" s="12"/>
      <c r="AA204" s="12"/>
      <c r="AB204" s="12"/>
      <c r="AC204" s="12"/>
    </row>
    <row r="205" ht="15.75" customHeight="1">
      <c r="A205" s="12"/>
      <c r="B205" s="12"/>
      <c r="C205" s="12"/>
      <c r="D205" s="12"/>
      <c r="E205" s="12"/>
      <c r="F205" s="12"/>
      <c r="G205" s="12"/>
      <c r="H205" s="12"/>
      <c r="I205" s="12"/>
      <c r="J205" s="12"/>
      <c r="K205" s="12"/>
      <c r="L205" s="12"/>
      <c r="M205" s="12"/>
      <c r="N205" s="12"/>
      <c r="O205" s="12"/>
      <c r="P205" s="12"/>
      <c r="Q205" s="12"/>
      <c r="R205" s="12"/>
      <c r="S205" s="12"/>
      <c r="T205" s="12"/>
      <c r="U205" s="12"/>
      <c r="V205" s="12"/>
      <c r="W205" s="12"/>
      <c r="X205" s="12"/>
      <c r="Y205" s="12"/>
      <c r="Z205" s="12"/>
      <c r="AA205" s="12"/>
      <c r="AB205" s="12"/>
      <c r="AC205" s="12"/>
    </row>
    <row r="206" ht="15.75" customHeight="1">
      <c r="A206" s="12"/>
      <c r="B206" s="12"/>
      <c r="C206" s="12"/>
      <c r="D206" s="12"/>
      <c r="E206" s="12"/>
      <c r="F206" s="12"/>
      <c r="G206" s="12"/>
      <c r="H206" s="12"/>
      <c r="I206" s="12"/>
      <c r="J206" s="12"/>
      <c r="K206" s="12"/>
      <c r="L206" s="12"/>
      <c r="M206" s="12"/>
      <c r="N206" s="12"/>
      <c r="O206" s="12"/>
      <c r="P206" s="12"/>
      <c r="Q206" s="12"/>
      <c r="R206" s="12"/>
      <c r="S206" s="12"/>
      <c r="T206" s="12"/>
      <c r="U206" s="12"/>
      <c r="V206" s="12"/>
      <c r="W206" s="12"/>
      <c r="X206" s="12"/>
      <c r="Y206" s="12"/>
      <c r="Z206" s="12"/>
      <c r="AA206" s="12"/>
      <c r="AB206" s="12"/>
      <c r="AC206" s="12"/>
    </row>
    <row r="207" ht="15.75" customHeight="1">
      <c r="A207" s="12"/>
      <c r="B207" s="12"/>
      <c r="C207" s="12"/>
      <c r="D207" s="12"/>
      <c r="E207" s="12"/>
      <c r="F207" s="12"/>
      <c r="G207" s="12"/>
      <c r="H207" s="12"/>
      <c r="I207" s="12"/>
      <c r="J207" s="12"/>
      <c r="K207" s="12"/>
      <c r="L207" s="12"/>
      <c r="M207" s="12"/>
      <c r="N207" s="12"/>
      <c r="O207" s="12"/>
      <c r="P207" s="12"/>
      <c r="Q207" s="12"/>
      <c r="R207" s="12"/>
      <c r="S207" s="12"/>
      <c r="T207" s="12"/>
      <c r="U207" s="12"/>
      <c r="V207" s="12"/>
      <c r="W207" s="12"/>
      <c r="X207" s="12"/>
      <c r="Y207" s="12"/>
      <c r="Z207" s="12"/>
      <c r="AA207" s="12"/>
      <c r="AB207" s="12"/>
      <c r="AC207" s="12"/>
    </row>
    <row r="208" ht="15.75" customHeight="1">
      <c r="A208" s="12"/>
      <c r="B208" s="12"/>
      <c r="C208" s="12"/>
      <c r="D208" s="12"/>
      <c r="E208" s="12"/>
      <c r="F208" s="12"/>
      <c r="G208" s="12"/>
      <c r="H208" s="12"/>
      <c r="I208" s="12"/>
      <c r="J208" s="12"/>
      <c r="K208" s="12"/>
      <c r="L208" s="12"/>
      <c r="M208" s="12"/>
      <c r="N208" s="12"/>
      <c r="O208" s="12"/>
      <c r="P208" s="12"/>
      <c r="Q208" s="12"/>
      <c r="R208" s="12"/>
      <c r="S208" s="12"/>
      <c r="T208" s="12"/>
      <c r="U208" s="12"/>
      <c r="V208" s="12"/>
      <c r="W208" s="12"/>
      <c r="X208" s="12"/>
      <c r="Y208" s="12"/>
      <c r="Z208" s="12"/>
      <c r="AA208" s="12"/>
      <c r="AB208" s="12"/>
      <c r="AC208" s="12"/>
    </row>
    <row r="209" ht="15.75" customHeight="1">
      <c r="A209" s="12"/>
      <c r="B209" s="12"/>
      <c r="C209" s="12"/>
      <c r="D209" s="12"/>
      <c r="E209" s="12"/>
      <c r="F209" s="12"/>
      <c r="G209" s="12"/>
      <c r="H209" s="12"/>
      <c r="I209" s="12"/>
      <c r="J209" s="12"/>
      <c r="K209" s="12"/>
      <c r="L209" s="12"/>
      <c r="M209" s="12"/>
      <c r="N209" s="12"/>
      <c r="O209" s="12"/>
      <c r="P209" s="12"/>
      <c r="Q209" s="12"/>
      <c r="R209" s="12"/>
      <c r="S209" s="12"/>
      <c r="T209" s="12"/>
      <c r="U209" s="12"/>
      <c r="V209" s="12"/>
      <c r="W209" s="12"/>
      <c r="X209" s="12"/>
      <c r="Y209" s="12"/>
      <c r="Z209" s="12"/>
      <c r="AA209" s="12"/>
      <c r="AB209" s="12"/>
      <c r="AC209" s="12"/>
    </row>
    <row r="210" ht="15.75" customHeight="1">
      <c r="A210" s="12"/>
      <c r="B210" s="12"/>
      <c r="C210" s="12"/>
      <c r="D210" s="12"/>
      <c r="E210" s="12"/>
      <c r="F210" s="12"/>
      <c r="G210" s="12"/>
      <c r="H210" s="12"/>
      <c r="I210" s="12"/>
      <c r="J210" s="12"/>
      <c r="K210" s="12"/>
      <c r="L210" s="12"/>
      <c r="M210" s="12"/>
      <c r="N210" s="12"/>
      <c r="O210" s="12"/>
      <c r="P210" s="12"/>
      <c r="Q210" s="12"/>
      <c r="R210" s="12"/>
      <c r="S210" s="12"/>
      <c r="T210" s="12"/>
      <c r="U210" s="12"/>
      <c r="V210" s="12"/>
      <c r="W210" s="12"/>
      <c r="X210" s="12"/>
      <c r="Y210" s="12"/>
      <c r="Z210" s="12"/>
      <c r="AA210" s="12"/>
      <c r="AB210" s="12"/>
      <c r="AC210" s="12"/>
    </row>
    <row r="211" ht="15.75" customHeight="1">
      <c r="A211" s="12"/>
      <c r="B211" s="12"/>
      <c r="C211" s="12"/>
      <c r="D211" s="12"/>
      <c r="E211" s="12"/>
      <c r="F211" s="12"/>
      <c r="G211" s="12"/>
      <c r="H211" s="12"/>
      <c r="I211" s="12"/>
      <c r="J211" s="12"/>
      <c r="K211" s="12"/>
      <c r="L211" s="12"/>
      <c r="M211" s="12"/>
      <c r="N211" s="12"/>
      <c r="O211" s="12"/>
      <c r="P211" s="12"/>
      <c r="Q211" s="12"/>
      <c r="R211" s="12"/>
      <c r="S211" s="12"/>
      <c r="T211" s="12"/>
      <c r="U211" s="12"/>
      <c r="V211" s="12"/>
      <c r="W211" s="12"/>
      <c r="X211" s="12"/>
      <c r="Y211" s="12"/>
      <c r="Z211" s="12"/>
      <c r="AA211" s="12"/>
      <c r="AB211" s="12"/>
      <c r="AC211" s="12"/>
    </row>
    <row r="212" ht="15.75" customHeight="1">
      <c r="A212" s="12"/>
      <c r="B212" s="12"/>
      <c r="C212" s="12"/>
      <c r="D212" s="12"/>
      <c r="E212" s="12"/>
      <c r="F212" s="12"/>
      <c r="G212" s="12"/>
      <c r="H212" s="12"/>
      <c r="I212" s="12"/>
      <c r="J212" s="12"/>
      <c r="K212" s="12"/>
      <c r="L212" s="12"/>
      <c r="M212" s="12"/>
      <c r="N212" s="12"/>
      <c r="O212" s="12"/>
      <c r="P212" s="12"/>
      <c r="Q212" s="12"/>
      <c r="R212" s="12"/>
      <c r="S212" s="12"/>
      <c r="T212" s="12"/>
      <c r="U212" s="12"/>
      <c r="V212" s="12"/>
      <c r="W212" s="12"/>
      <c r="X212" s="12"/>
      <c r="Y212" s="12"/>
      <c r="Z212" s="12"/>
      <c r="AA212" s="12"/>
      <c r="AB212" s="12"/>
      <c r="AC212" s="12"/>
    </row>
    <row r="213" ht="15.75" customHeight="1">
      <c r="A213" s="12"/>
      <c r="B213" s="12"/>
      <c r="C213" s="12"/>
      <c r="D213" s="12"/>
      <c r="E213" s="12"/>
      <c r="F213" s="12"/>
      <c r="G213" s="12"/>
      <c r="H213" s="12"/>
      <c r="I213" s="12"/>
      <c r="J213" s="12"/>
      <c r="K213" s="12"/>
      <c r="L213" s="12"/>
      <c r="M213" s="12"/>
      <c r="N213" s="12"/>
      <c r="O213" s="12"/>
      <c r="P213" s="12"/>
      <c r="Q213" s="12"/>
      <c r="R213" s="12"/>
      <c r="S213" s="12"/>
      <c r="T213" s="12"/>
      <c r="U213" s="12"/>
      <c r="V213" s="12"/>
      <c r="W213" s="12"/>
      <c r="X213" s="12"/>
      <c r="Y213" s="12"/>
      <c r="Z213" s="12"/>
      <c r="AA213" s="12"/>
      <c r="AB213" s="12"/>
      <c r="AC213" s="12"/>
    </row>
    <row r="214" ht="15.75" customHeight="1">
      <c r="A214" s="12"/>
      <c r="B214" s="12"/>
      <c r="C214" s="12"/>
      <c r="D214" s="12"/>
      <c r="E214" s="12"/>
      <c r="F214" s="12"/>
      <c r="G214" s="12"/>
      <c r="H214" s="12"/>
      <c r="I214" s="12"/>
      <c r="J214" s="12"/>
      <c r="K214" s="12"/>
      <c r="L214" s="12"/>
      <c r="M214" s="12"/>
      <c r="N214" s="12"/>
      <c r="O214" s="12"/>
      <c r="P214" s="12"/>
      <c r="Q214" s="12"/>
      <c r="R214" s="12"/>
      <c r="S214" s="12"/>
      <c r="T214" s="12"/>
      <c r="U214" s="12"/>
      <c r="V214" s="12"/>
      <c r="W214" s="12"/>
      <c r="X214" s="12"/>
      <c r="Y214" s="12"/>
      <c r="Z214" s="12"/>
      <c r="AA214" s="12"/>
      <c r="AB214" s="12"/>
      <c r="AC214" s="12"/>
    </row>
    <row r="215" ht="15.75" customHeight="1">
      <c r="A215" s="12"/>
      <c r="B215" s="12"/>
      <c r="C215" s="12"/>
      <c r="D215" s="12"/>
      <c r="E215" s="12"/>
      <c r="F215" s="12"/>
      <c r="G215" s="12"/>
      <c r="H215" s="12"/>
      <c r="I215" s="12"/>
      <c r="J215" s="12"/>
      <c r="K215" s="12"/>
      <c r="L215" s="12"/>
      <c r="M215" s="12"/>
      <c r="N215" s="12"/>
      <c r="O215" s="12"/>
      <c r="P215" s="12"/>
      <c r="Q215" s="12"/>
      <c r="R215" s="12"/>
      <c r="S215" s="12"/>
      <c r="T215" s="12"/>
      <c r="U215" s="12"/>
      <c r="V215" s="12"/>
      <c r="W215" s="12"/>
      <c r="X215" s="12"/>
      <c r="Y215" s="12"/>
      <c r="Z215" s="12"/>
      <c r="AA215" s="12"/>
      <c r="AB215" s="12"/>
      <c r="AC215" s="12"/>
    </row>
    <row r="216" ht="15.75" customHeight="1">
      <c r="A216" s="12"/>
      <c r="B216" s="12"/>
      <c r="C216" s="12"/>
      <c r="D216" s="12"/>
      <c r="E216" s="12"/>
      <c r="F216" s="12"/>
      <c r="G216" s="12"/>
      <c r="H216" s="12"/>
      <c r="I216" s="12"/>
      <c r="J216" s="12"/>
      <c r="K216" s="12"/>
      <c r="L216" s="12"/>
      <c r="M216" s="12"/>
      <c r="N216" s="12"/>
      <c r="O216" s="12"/>
      <c r="P216" s="12"/>
      <c r="Q216" s="12"/>
      <c r="R216" s="12"/>
      <c r="S216" s="12"/>
      <c r="T216" s="12"/>
      <c r="U216" s="12"/>
      <c r="V216" s="12"/>
      <c r="W216" s="12"/>
      <c r="X216" s="12"/>
      <c r="Y216" s="12"/>
      <c r="Z216" s="12"/>
      <c r="AA216" s="12"/>
      <c r="AB216" s="12"/>
      <c r="AC216" s="12"/>
    </row>
    <row r="217" ht="15.75" customHeight="1">
      <c r="A217" s="12"/>
      <c r="B217" s="12"/>
      <c r="C217" s="12"/>
      <c r="D217" s="12"/>
      <c r="E217" s="12"/>
      <c r="F217" s="12"/>
      <c r="G217" s="12"/>
      <c r="H217" s="12"/>
      <c r="I217" s="12"/>
      <c r="J217" s="12"/>
      <c r="K217" s="12"/>
      <c r="L217" s="12"/>
      <c r="M217" s="12"/>
      <c r="N217" s="12"/>
      <c r="O217" s="12"/>
      <c r="P217" s="12"/>
      <c r="Q217" s="12"/>
      <c r="R217" s="12"/>
      <c r="S217" s="12"/>
      <c r="T217" s="12"/>
      <c r="U217" s="12"/>
      <c r="V217" s="12"/>
      <c r="W217" s="12"/>
      <c r="X217" s="12"/>
      <c r="Y217" s="12"/>
      <c r="Z217" s="12"/>
      <c r="AA217" s="12"/>
      <c r="AB217" s="12"/>
      <c r="AC217" s="12"/>
    </row>
    <row r="218" ht="15.75" customHeight="1">
      <c r="A218" s="12"/>
      <c r="B218" s="12"/>
      <c r="C218" s="12"/>
      <c r="D218" s="12"/>
      <c r="E218" s="12"/>
      <c r="F218" s="12"/>
      <c r="G218" s="12"/>
      <c r="H218" s="12"/>
      <c r="I218" s="12"/>
      <c r="J218" s="12"/>
      <c r="K218" s="12"/>
      <c r="L218" s="12"/>
      <c r="M218" s="12"/>
      <c r="N218" s="12"/>
      <c r="O218" s="12"/>
      <c r="P218" s="12"/>
      <c r="Q218" s="12"/>
      <c r="R218" s="12"/>
      <c r="S218" s="12"/>
      <c r="T218" s="12"/>
      <c r="U218" s="12"/>
      <c r="V218" s="12"/>
      <c r="W218" s="12"/>
      <c r="X218" s="12"/>
      <c r="Y218" s="12"/>
      <c r="Z218" s="12"/>
      <c r="AA218" s="12"/>
      <c r="AB218" s="12"/>
      <c r="AC218" s="12"/>
    </row>
    <row r="219" ht="15.75" customHeight="1">
      <c r="A219" s="12"/>
      <c r="B219" s="12"/>
      <c r="C219" s="12"/>
      <c r="D219" s="12"/>
      <c r="E219" s="12"/>
      <c r="F219" s="12"/>
      <c r="G219" s="12"/>
      <c r="H219" s="12"/>
      <c r="I219" s="12"/>
      <c r="J219" s="12"/>
      <c r="K219" s="12"/>
      <c r="L219" s="12"/>
      <c r="M219" s="12"/>
      <c r="N219" s="12"/>
      <c r="O219" s="12"/>
      <c r="P219" s="12"/>
      <c r="Q219" s="12"/>
      <c r="R219" s="12"/>
      <c r="S219" s="12"/>
      <c r="T219" s="12"/>
      <c r="U219" s="12"/>
      <c r="V219" s="12"/>
      <c r="W219" s="12"/>
      <c r="X219" s="12"/>
      <c r="Y219" s="12"/>
      <c r="Z219" s="12"/>
      <c r="AA219" s="12"/>
      <c r="AB219" s="12"/>
      <c r="AC219" s="12"/>
    </row>
    <row r="220" ht="15.75" customHeight="1">
      <c r="A220" s="12"/>
      <c r="B220" s="12"/>
      <c r="C220" s="12"/>
      <c r="D220" s="12"/>
      <c r="E220" s="12"/>
      <c r="F220" s="12"/>
      <c r="G220" s="12"/>
      <c r="H220" s="12"/>
      <c r="I220" s="12"/>
      <c r="J220" s="12"/>
      <c r="K220" s="12"/>
      <c r="L220" s="12"/>
      <c r="M220" s="12"/>
      <c r="N220" s="12"/>
      <c r="O220" s="12"/>
      <c r="P220" s="12"/>
      <c r="Q220" s="12"/>
      <c r="R220" s="12"/>
      <c r="S220" s="12"/>
      <c r="T220" s="12"/>
      <c r="U220" s="12"/>
      <c r="V220" s="12"/>
      <c r="W220" s="12"/>
      <c r="X220" s="12"/>
      <c r="Y220" s="12"/>
      <c r="Z220" s="12"/>
      <c r="AA220" s="12"/>
      <c r="AB220" s="12"/>
      <c r="AC220" s="12"/>
    </row>
    <row r="221" ht="15.75" customHeight="1">
      <c r="A221" s="12"/>
      <c r="B221" s="12"/>
      <c r="C221" s="12"/>
      <c r="D221" s="12"/>
      <c r="E221" s="12"/>
      <c r="F221" s="12"/>
      <c r="G221" s="12"/>
      <c r="H221" s="12"/>
      <c r="I221" s="12"/>
      <c r="J221" s="12"/>
      <c r="K221" s="12"/>
      <c r="L221" s="12"/>
      <c r="M221" s="12"/>
      <c r="N221" s="12"/>
      <c r="O221" s="12"/>
      <c r="P221" s="12"/>
      <c r="Q221" s="12"/>
      <c r="R221" s="12"/>
      <c r="S221" s="12"/>
      <c r="T221" s="12"/>
      <c r="U221" s="12"/>
      <c r="V221" s="12"/>
      <c r="W221" s="12"/>
      <c r="X221" s="12"/>
      <c r="Y221" s="12"/>
      <c r="Z221" s="12"/>
      <c r="AA221" s="12"/>
      <c r="AB221" s="12"/>
      <c r="AC221" s="12"/>
    </row>
    <row r="222" ht="15.75" customHeight="1">
      <c r="A222" s="12"/>
      <c r="B222" s="12"/>
      <c r="C222" s="12"/>
      <c r="D222" s="12"/>
      <c r="E222" s="12"/>
      <c r="F222" s="12"/>
      <c r="G222" s="12"/>
      <c r="H222" s="12"/>
      <c r="I222" s="12"/>
      <c r="J222" s="12"/>
      <c r="K222" s="12"/>
      <c r="L222" s="12"/>
      <c r="M222" s="12"/>
      <c r="N222" s="12"/>
      <c r="O222" s="12"/>
      <c r="P222" s="12"/>
      <c r="Q222" s="12"/>
      <c r="R222" s="12"/>
      <c r="S222" s="12"/>
      <c r="T222" s="12"/>
      <c r="U222" s="12"/>
      <c r="V222" s="12"/>
      <c r="W222" s="12"/>
      <c r="X222" s="12"/>
      <c r="Y222" s="12"/>
      <c r="Z222" s="12"/>
      <c r="AA222" s="12"/>
      <c r="AB222" s="12"/>
      <c r="AC222" s="12"/>
    </row>
    <row r="223" ht="15.75" customHeight="1">
      <c r="A223" s="12"/>
      <c r="B223" s="12"/>
      <c r="C223" s="12"/>
      <c r="D223" s="12"/>
      <c r="E223" s="12"/>
      <c r="F223" s="12"/>
      <c r="G223" s="12"/>
      <c r="H223" s="12"/>
      <c r="I223" s="12"/>
      <c r="J223" s="12"/>
      <c r="K223" s="12"/>
      <c r="L223" s="12"/>
      <c r="M223" s="12"/>
      <c r="N223" s="12"/>
      <c r="O223" s="12"/>
      <c r="P223" s="12"/>
      <c r="Q223" s="12"/>
      <c r="R223" s="12"/>
      <c r="S223" s="12"/>
      <c r="T223" s="12"/>
      <c r="U223" s="12"/>
      <c r="V223" s="12"/>
      <c r="W223" s="12"/>
      <c r="X223" s="12"/>
      <c r="Y223" s="12"/>
      <c r="Z223" s="12"/>
      <c r="AA223" s="12"/>
      <c r="AB223" s="12"/>
      <c r="AC223" s="12"/>
    </row>
    <row r="224" ht="15.75" customHeight="1">
      <c r="A224" s="12"/>
      <c r="B224" s="12"/>
      <c r="C224" s="12"/>
      <c r="D224" s="12"/>
      <c r="E224" s="12"/>
      <c r="F224" s="12"/>
      <c r="G224" s="12"/>
      <c r="H224" s="12"/>
      <c r="I224" s="12"/>
      <c r="J224" s="12"/>
      <c r="K224" s="12"/>
      <c r="L224" s="12"/>
      <c r="M224" s="12"/>
      <c r="N224" s="12"/>
      <c r="O224" s="12"/>
      <c r="P224" s="12"/>
      <c r="Q224" s="12"/>
      <c r="R224" s="12"/>
      <c r="S224" s="12"/>
      <c r="T224" s="12"/>
      <c r="U224" s="12"/>
      <c r="V224" s="12"/>
      <c r="W224" s="12"/>
      <c r="X224" s="12"/>
      <c r="Y224" s="12"/>
      <c r="Z224" s="12"/>
      <c r="AA224" s="12"/>
      <c r="AB224" s="12"/>
      <c r="AC224" s="12"/>
    </row>
    <row r="225" ht="15.75" customHeight="1">
      <c r="A225" s="12"/>
      <c r="B225" s="12"/>
      <c r="C225" s="12"/>
      <c r="D225" s="12"/>
      <c r="E225" s="12"/>
      <c r="F225" s="12"/>
      <c r="G225" s="12"/>
      <c r="H225" s="12"/>
      <c r="I225" s="12"/>
      <c r="J225" s="12"/>
      <c r="K225" s="12"/>
      <c r="L225" s="12"/>
      <c r="M225" s="12"/>
      <c r="N225" s="12"/>
      <c r="O225" s="12"/>
      <c r="P225" s="12"/>
      <c r="Q225" s="12"/>
      <c r="R225" s="12"/>
      <c r="S225" s="12"/>
      <c r="T225" s="12"/>
      <c r="U225" s="12"/>
      <c r="V225" s="12"/>
      <c r="W225" s="12"/>
      <c r="X225" s="12"/>
      <c r="Y225" s="12"/>
      <c r="Z225" s="12"/>
      <c r="AA225" s="12"/>
      <c r="AB225" s="12"/>
      <c r="AC225" s="12"/>
    </row>
    <row r="226" ht="15.75" customHeight="1">
      <c r="A226" s="12"/>
      <c r="B226" s="12"/>
      <c r="C226" s="12"/>
      <c r="D226" s="12"/>
      <c r="E226" s="12"/>
      <c r="F226" s="12"/>
      <c r="G226" s="12"/>
      <c r="H226" s="12"/>
      <c r="I226" s="12"/>
      <c r="J226" s="12"/>
      <c r="K226" s="12"/>
      <c r="L226" s="12"/>
      <c r="M226" s="12"/>
      <c r="N226" s="12"/>
      <c r="O226" s="12"/>
      <c r="P226" s="12"/>
      <c r="Q226" s="12"/>
      <c r="R226" s="12"/>
      <c r="S226" s="12"/>
      <c r="T226" s="12"/>
      <c r="U226" s="12"/>
      <c r="V226" s="12"/>
      <c r="W226" s="12"/>
      <c r="X226" s="12"/>
      <c r="Y226" s="12"/>
      <c r="Z226" s="12"/>
      <c r="AA226" s="12"/>
      <c r="AB226" s="12"/>
      <c r="AC226" s="12"/>
    </row>
    <row r="227" ht="15.75" customHeight="1">
      <c r="A227" s="12"/>
      <c r="B227" s="12"/>
      <c r="C227" s="12"/>
      <c r="D227" s="12"/>
      <c r="E227" s="12"/>
      <c r="F227" s="12"/>
      <c r="G227" s="12"/>
      <c r="H227" s="12"/>
      <c r="I227" s="12"/>
      <c r="J227" s="12"/>
      <c r="K227" s="12"/>
      <c r="L227" s="12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  <c r="AA227" s="12"/>
      <c r="AB227" s="12"/>
      <c r="AC227" s="12"/>
    </row>
    <row r="228" ht="15.75" customHeight="1">
      <c r="A228" s="12"/>
      <c r="B228" s="12"/>
      <c r="C228" s="12"/>
      <c r="D228" s="12"/>
      <c r="E228" s="12"/>
      <c r="F228" s="12"/>
      <c r="G228" s="12"/>
      <c r="H228" s="12"/>
      <c r="I228" s="12"/>
      <c r="J228" s="12"/>
      <c r="K228" s="12"/>
      <c r="L228" s="12"/>
      <c r="M228" s="12"/>
      <c r="N228" s="12"/>
      <c r="O228" s="12"/>
      <c r="P228" s="12"/>
      <c r="Q228" s="12"/>
      <c r="R228" s="12"/>
      <c r="S228" s="12"/>
      <c r="T228" s="12"/>
      <c r="U228" s="12"/>
      <c r="V228" s="12"/>
      <c r="W228" s="12"/>
      <c r="X228" s="12"/>
      <c r="Y228" s="12"/>
      <c r="Z228" s="12"/>
      <c r="AA228" s="12"/>
      <c r="AB228" s="12"/>
      <c r="AC228" s="12"/>
    </row>
    <row r="229" ht="15.75" customHeight="1">
      <c r="A229" s="12"/>
      <c r="B229" s="12"/>
      <c r="C229" s="12"/>
      <c r="D229" s="12"/>
      <c r="E229" s="12"/>
      <c r="F229" s="12"/>
      <c r="G229" s="12"/>
      <c r="H229" s="12"/>
      <c r="I229" s="12"/>
      <c r="J229" s="12"/>
      <c r="K229" s="12"/>
      <c r="L229" s="12"/>
      <c r="M229" s="12"/>
      <c r="N229" s="12"/>
      <c r="O229" s="12"/>
      <c r="P229" s="12"/>
      <c r="Q229" s="12"/>
      <c r="R229" s="12"/>
      <c r="S229" s="12"/>
      <c r="T229" s="12"/>
      <c r="U229" s="12"/>
      <c r="V229" s="12"/>
      <c r="W229" s="12"/>
      <c r="X229" s="12"/>
      <c r="Y229" s="12"/>
      <c r="Z229" s="12"/>
      <c r="AA229" s="12"/>
      <c r="AB229" s="12"/>
      <c r="AC229" s="12"/>
    </row>
    <row r="230" ht="15.75" customHeight="1">
      <c r="A230" s="12"/>
      <c r="B230" s="12"/>
      <c r="C230" s="12"/>
      <c r="D230" s="12"/>
      <c r="E230" s="12"/>
      <c r="F230" s="12"/>
      <c r="G230" s="12"/>
      <c r="H230" s="12"/>
      <c r="I230" s="12"/>
      <c r="J230" s="12"/>
      <c r="K230" s="12"/>
      <c r="L230" s="12"/>
      <c r="M230" s="12"/>
      <c r="N230" s="12"/>
      <c r="O230" s="12"/>
      <c r="P230" s="12"/>
      <c r="Q230" s="12"/>
      <c r="R230" s="12"/>
      <c r="S230" s="12"/>
      <c r="T230" s="12"/>
      <c r="U230" s="12"/>
      <c r="V230" s="12"/>
      <c r="W230" s="12"/>
      <c r="X230" s="12"/>
      <c r="Y230" s="12"/>
      <c r="Z230" s="12"/>
      <c r="AA230" s="12"/>
      <c r="AB230" s="12"/>
      <c r="AC230" s="12"/>
    </row>
    <row r="231" ht="15.75" customHeight="1">
      <c r="A231" s="12"/>
      <c r="B231" s="12"/>
      <c r="C231" s="12"/>
      <c r="D231" s="12"/>
      <c r="E231" s="12"/>
      <c r="F231" s="12"/>
      <c r="G231" s="12"/>
      <c r="H231" s="12"/>
      <c r="I231" s="12"/>
      <c r="J231" s="12"/>
      <c r="K231" s="12"/>
      <c r="L231" s="12"/>
      <c r="M231" s="12"/>
      <c r="N231" s="12"/>
      <c r="O231" s="12"/>
      <c r="P231" s="12"/>
      <c r="Q231" s="12"/>
      <c r="R231" s="12"/>
      <c r="S231" s="12"/>
      <c r="T231" s="12"/>
      <c r="U231" s="12"/>
      <c r="V231" s="12"/>
      <c r="W231" s="12"/>
      <c r="X231" s="12"/>
      <c r="Y231" s="12"/>
      <c r="Z231" s="12"/>
      <c r="AA231" s="12"/>
      <c r="AB231" s="12"/>
      <c r="AC231" s="12"/>
    </row>
    <row r="232" ht="15.75" customHeight="1">
      <c r="A232" s="12"/>
      <c r="B232" s="12"/>
      <c r="C232" s="12"/>
      <c r="D232" s="12"/>
      <c r="E232" s="12"/>
      <c r="F232" s="12"/>
      <c r="G232" s="12"/>
      <c r="H232" s="12"/>
      <c r="I232" s="12"/>
      <c r="J232" s="12"/>
      <c r="K232" s="12"/>
      <c r="L232" s="12"/>
      <c r="M232" s="12"/>
      <c r="N232" s="12"/>
      <c r="O232" s="12"/>
      <c r="P232" s="12"/>
      <c r="Q232" s="12"/>
      <c r="R232" s="12"/>
      <c r="S232" s="12"/>
      <c r="T232" s="12"/>
      <c r="U232" s="12"/>
      <c r="V232" s="12"/>
      <c r="W232" s="12"/>
      <c r="X232" s="12"/>
      <c r="Y232" s="12"/>
      <c r="Z232" s="12"/>
      <c r="AA232" s="12"/>
      <c r="AB232" s="12"/>
      <c r="AC232" s="12"/>
    </row>
    <row r="233" ht="15.75" customHeight="1">
      <c r="A233" s="12"/>
      <c r="B233" s="12"/>
      <c r="C233" s="12"/>
      <c r="D233" s="12"/>
      <c r="E233" s="12"/>
      <c r="F233" s="12"/>
      <c r="G233" s="12"/>
      <c r="H233" s="12"/>
      <c r="I233" s="12"/>
      <c r="J233" s="12"/>
      <c r="K233" s="12"/>
      <c r="L233" s="12"/>
      <c r="M233" s="12"/>
      <c r="N233" s="12"/>
      <c r="O233" s="12"/>
      <c r="P233" s="12"/>
      <c r="Q233" s="12"/>
      <c r="R233" s="12"/>
      <c r="S233" s="12"/>
      <c r="T233" s="12"/>
      <c r="U233" s="12"/>
      <c r="V233" s="12"/>
      <c r="W233" s="12"/>
      <c r="X233" s="12"/>
      <c r="Y233" s="12"/>
      <c r="Z233" s="12"/>
      <c r="AA233" s="12"/>
      <c r="AB233" s="12"/>
      <c r="AC233" s="12"/>
    </row>
    <row r="234" ht="15.75" customHeight="1">
      <c r="A234" s="12"/>
      <c r="B234" s="12"/>
      <c r="C234" s="12"/>
      <c r="D234" s="12"/>
      <c r="E234" s="12"/>
      <c r="F234" s="12"/>
      <c r="G234" s="12"/>
      <c r="H234" s="12"/>
      <c r="I234" s="12"/>
      <c r="J234" s="12"/>
      <c r="K234" s="12"/>
      <c r="L234" s="12"/>
      <c r="M234" s="12"/>
      <c r="N234" s="12"/>
      <c r="O234" s="12"/>
      <c r="P234" s="12"/>
      <c r="Q234" s="12"/>
      <c r="R234" s="12"/>
      <c r="S234" s="12"/>
      <c r="T234" s="12"/>
      <c r="U234" s="12"/>
      <c r="V234" s="12"/>
      <c r="W234" s="12"/>
      <c r="X234" s="12"/>
      <c r="Y234" s="12"/>
      <c r="Z234" s="12"/>
      <c r="AA234" s="12"/>
      <c r="AB234" s="12"/>
      <c r="AC234" s="12"/>
    </row>
    <row r="235" ht="15.75" customHeight="1">
      <c r="A235" s="12"/>
      <c r="B235" s="12"/>
      <c r="C235" s="12"/>
      <c r="D235" s="12"/>
      <c r="E235" s="12"/>
      <c r="F235" s="12"/>
      <c r="G235" s="12"/>
      <c r="H235" s="12"/>
      <c r="I235" s="12"/>
      <c r="J235" s="12"/>
      <c r="K235" s="12"/>
      <c r="L235" s="12"/>
      <c r="M235" s="12"/>
      <c r="N235" s="12"/>
      <c r="O235" s="12"/>
      <c r="P235" s="12"/>
      <c r="Q235" s="12"/>
      <c r="R235" s="12"/>
      <c r="S235" s="12"/>
      <c r="T235" s="12"/>
      <c r="U235" s="12"/>
      <c r="V235" s="12"/>
      <c r="W235" s="12"/>
      <c r="X235" s="12"/>
      <c r="Y235" s="12"/>
      <c r="Z235" s="12"/>
      <c r="AA235" s="12"/>
      <c r="AB235" s="12"/>
      <c r="AC235" s="12"/>
    </row>
    <row r="236" ht="15.75" customHeight="1">
      <c r="A236" s="12"/>
      <c r="B236" s="12"/>
      <c r="C236" s="12"/>
      <c r="D236" s="12"/>
      <c r="E236" s="12"/>
      <c r="F236" s="12"/>
      <c r="G236" s="12"/>
      <c r="H236" s="12"/>
      <c r="I236" s="12"/>
      <c r="J236" s="12"/>
      <c r="K236" s="12"/>
      <c r="L236" s="12"/>
      <c r="M236" s="12"/>
      <c r="N236" s="12"/>
      <c r="O236" s="12"/>
      <c r="P236" s="12"/>
      <c r="Q236" s="12"/>
      <c r="R236" s="12"/>
      <c r="S236" s="12"/>
      <c r="T236" s="12"/>
      <c r="U236" s="12"/>
      <c r="V236" s="12"/>
      <c r="W236" s="12"/>
      <c r="X236" s="12"/>
      <c r="Y236" s="12"/>
      <c r="Z236" s="12"/>
      <c r="AA236" s="12"/>
      <c r="AB236" s="12"/>
      <c r="AC236" s="12"/>
    </row>
    <row r="237" ht="15.75" customHeight="1">
      <c r="A237" s="12"/>
      <c r="B237" s="12"/>
      <c r="C237" s="12"/>
      <c r="D237" s="12"/>
      <c r="E237" s="12"/>
      <c r="F237" s="12"/>
      <c r="G237" s="12"/>
      <c r="H237" s="12"/>
      <c r="I237" s="12"/>
      <c r="J237" s="12"/>
      <c r="K237" s="12"/>
      <c r="L237" s="12"/>
      <c r="M237" s="12"/>
      <c r="N237" s="12"/>
      <c r="O237" s="12"/>
      <c r="P237" s="12"/>
      <c r="Q237" s="12"/>
      <c r="R237" s="12"/>
      <c r="S237" s="12"/>
      <c r="T237" s="12"/>
      <c r="U237" s="12"/>
      <c r="V237" s="12"/>
      <c r="W237" s="12"/>
      <c r="X237" s="12"/>
      <c r="Y237" s="12"/>
      <c r="Z237" s="12"/>
      <c r="AA237" s="12"/>
      <c r="AB237" s="12"/>
      <c r="AC237" s="12"/>
    </row>
    <row r="238" ht="15.75" customHeight="1">
      <c r="A238" s="12"/>
      <c r="B238" s="12"/>
      <c r="C238" s="12"/>
      <c r="D238" s="12"/>
      <c r="E238" s="12"/>
      <c r="F238" s="12"/>
      <c r="G238" s="12"/>
      <c r="H238" s="12"/>
      <c r="I238" s="12"/>
      <c r="J238" s="12"/>
      <c r="K238" s="12"/>
      <c r="L238" s="12"/>
      <c r="M238" s="12"/>
      <c r="N238" s="12"/>
      <c r="O238" s="12"/>
      <c r="P238" s="12"/>
      <c r="Q238" s="12"/>
      <c r="R238" s="12"/>
      <c r="S238" s="12"/>
      <c r="T238" s="12"/>
      <c r="U238" s="12"/>
      <c r="V238" s="12"/>
      <c r="W238" s="12"/>
      <c r="X238" s="12"/>
      <c r="Y238" s="12"/>
      <c r="Z238" s="12"/>
      <c r="AA238" s="12"/>
      <c r="AB238" s="12"/>
      <c r="AC238" s="12"/>
    </row>
    <row r="239" ht="15.75" customHeight="1">
      <c r="A239" s="12"/>
      <c r="B239" s="12"/>
      <c r="C239" s="12"/>
      <c r="D239" s="12"/>
      <c r="E239" s="12"/>
      <c r="F239" s="12"/>
      <c r="G239" s="12"/>
      <c r="H239" s="12"/>
      <c r="I239" s="12"/>
      <c r="J239" s="12"/>
      <c r="K239" s="12"/>
      <c r="L239" s="12"/>
      <c r="M239" s="12"/>
      <c r="N239" s="12"/>
      <c r="O239" s="12"/>
      <c r="P239" s="12"/>
      <c r="Q239" s="12"/>
      <c r="R239" s="12"/>
      <c r="S239" s="12"/>
      <c r="T239" s="12"/>
      <c r="U239" s="12"/>
      <c r="V239" s="12"/>
      <c r="W239" s="12"/>
      <c r="X239" s="12"/>
      <c r="Y239" s="12"/>
      <c r="Z239" s="12"/>
      <c r="AA239" s="12"/>
      <c r="AB239" s="12"/>
      <c r="AC239" s="12"/>
    </row>
    <row r="240" ht="15.75" customHeight="1">
      <c r="A240" s="12"/>
      <c r="B240" s="12"/>
      <c r="C240" s="12"/>
      <c r="D240" s="12"/>
      <c r="E240" s="12"/>
      <c r="F240" s="12"/>
      <c r="G240" s="12"/>
      <c r="H240" s="12"/>
      <c r="I240" s="12"/>
      <c r="J240" s="12"/>
      <c r="K240" s="12"/>
      <c r="L240" s="12"/>
      <c r="M240" s="12"/>
      <c r="N240" s="12"/>
      <c r="O240" s="12"/>
      <c r="P240" s="12"/>
      <c r="Q240" s="12"/>
      <c r="R240" s="12"/>
      <c r="S240" s="12"/>
      <c r="T240" s="12"/>
      <c r="U240" s="12"/>
      <c r="V240" s="12"/>
      <c r="W240" s="12"/>
      <c r="X240" s="12"/>
      <c r="Y240" s="12"/>
      <c r="Z240" s="12"/>
      <c r="AA240" s="12"/>
      <c r="AB240" s="12"/>
      <c r="AC240" s="12"/>
    </row>
    <row r="241" ht="15.75" customHeight="1">
      <c r="A241" s="12"/>
      <c r="B241" s="12"/>
      <c r="C241" s="12"/>
      <c r="D241" s="12"/>
      <c r="E241" s="12"/>
      <c r="F241" s="12"/>
      <c r="G241" s="12"/>
      <c r="H241" s="12"/>
      <c r="I241" s="12"/>
      <c r="J241" s="12"/>
      <c r="K241" s="12"/>
      <c r="L241" s="12"/>
      <c r="M241" s="12"/>
      <c r="N241" s="12"/>
      <c r="O241" s="12"/>
      <c r="P241" s="12"/>
      <c r="Q241" s="12"/>
      <c r="R241" s="12"/>
      <c r="S241" s="12"/>
      <c r="T241" s="12"/>
      <c r="U241" s="12"/>
      <c r="V241" s="12"/>
      <c r="W241" s="12"/>
      <c r="X241" s="12"/>
      <c r="Y241" s="12"/>
      <c r="Z241" s="12"/>
      <c r="AA241" s="12"/>
      <c r="AB241" s="12"/>
      <c r="AC241" s="12"/>
    </row>
    <row r="242" ht="15.75" customHeight="1">
      <c r="A242" s="12"/>
      <c r="B242" s="12"/>
      <c r="C242" s="12"/>
      <c r="D242" s="12"/>
      <c r="E242" s="12"/>
      <c r="F242" s="12"/>
      <c r="G242" s="12"/>
      <c r="H242" s="12"/>
      <c r="I242" s="12"/>
      <c r="J242" s="12"/>
      <c r="K242" s="12"/>
      <c r="L242" s="12"/>
      <c r="M242" s="12"/>
      <c r="N242" s="12"/>
      <c r="O242" s="12"/>
      <c r="P242" s="12"/>
      <c r="Q242" s="12"/>
      <c r="R242" s="12"/>
      <c r="S242" s="12"/>
      <c r="T242" s="12"/>
      <c r="U242" s="12"/>
      <c r="V242" s="12"/>
      <c r="W242" s="12"/>
      <c r="X242" s="12"/>
      <c r="Y242" s="12"/>
      <c r="Z242" s="12"/>
      <c r="AA242" s="12"/>
      <c r="AB242" s="12"/>
      <c r="AC242" s="12"/>
    </row>
    <row r="243" ht="15.75" customHeight="1">
      <c r="A243" s="12"/>
      <c r="B243" s="12"/>
      <c r="C243" s="12"/>
      <c r="D243" s="12"/>
      <c r="E243" s="12"/>
      <c r="F243" s="12"/>
      <c r="G243" s="12"/>
      <c r="H243" s="12"/>
      <c r="I243" s="12"/>
      <c r="J243" s="12"/>
      <c r="K243" s="12"/>
      <c r="L243" s="12"/>
      <c r="M243" s="12"/>
      <c r="N243" s="12"/>
      <c r="O243" s="12"/>
      <c r="P243" s="12"/>
      <c r="Q243" s="12"/>
      <c r="R243" s="12"/>
      <c r="S243" s="12"/>
      <c r="T243" s="12"/>
      <c r="U243" s="12"/>
      <c r="V243" s="12"/>
      <c r="W243" s="12"/>
      <c r="X243" s="12"/>
      <c r="Y243" s="12"/>
      <c r="Z243" s="12"/>
      <c r="AA243" s="12"/>
      <c r="AB243" s="12"/>
      <c r="AC243" s="12"/>
    </row>
    <row r="244" ht="15.75" customHeight="1">
      <c r="A244" s="12"/>
      <c r="B244" s="12"/>
      <c r="C244" s="12"/>
      <c r="D244" s="12"/>
      <c r="E244" s="12"/>
      <c r="F244" s="12"/>
      <c r="G244" s="12"/>
      <c r="H244" s="12"/>
      <c r="I244" s="12"/>
      <c r="J244" s="12"/>
      <c r="K244" s="12"/>
      <c r="L244" s="12"/>
      <c r="M244" s="12"/>
      <c r="N244" s="12"/>
      <c r="O244" s="12"/>
      <c r="P244" s="12"/>
      <c r="Q244" s="12"/>
      <c r="R244" s="12"/>
      <c r="S244" s="12"/>
      <c r="T244" s="12"/>
      <c r="U244" s="12"/>
      <c r="V244" s="12"/>
      <c r="W244" s="12"/>
      <c r="X244" s="12"/>
      <c r="Y244" s="12"/>
      <c r="Z244" s="12"/>
      <c r="AA244" s="12"/>
      <c r="AB244" s="12"/>
      <c r="AC244" s="12"/>
    </row>
    <row r="245" ht="15.75" customHeight="1">
      <c r="A245" s="12"/>
      <c r="B245" s="12"/>
      <c r="C245" s="12"/>
      <c r="D245" s="12"/>
      <c r="E245" s="12"/>
      <c r="F245" s="12"/>
      <c r="G245" s="12"/>
      <c r="H245" s="12"/>
      <c r="I245" s="12"/>
      <c r="J245" s="12"/>
      <c r="K245" s="12"/>
      <c r="L245" s="12"/>
      <c r="M245" s="12"/>
      <c r="N245" s="12"/>
      <c r="O245" s="12"/>
      <c r="P245" s="12"/>
      <c r="Q245" s="12"/>
      <c r="R245" s="12"/>
      <c r="S245" s="12"/>
      <c r="T245" s="12"/>
      <c r="U245" s="12"/>
      <c r="V245" s="12"/>
      <c r="W245" s="12"/>
      <c r="X245" s="12"/>
      <c r="Y245" s="12"/>
      <c r="Z245" s="12"/>
      <c r="AA245" s="12"/>
      <c r="AB245" s="12"/>
      <c r="AC245" s="12"/>
    </row>
    <row r="246" ht="15.75" customHeight="1">
      <c r="A246" s="12"/>
      <c r="B246" s="12"/>
      <c r="C246" s="12"/>
      <c r="D246" s="12"/>
      <c r="E246" s="12"/>
      <c r="F246" s="12"/>
      <c r="G246" s="12"/>
      <c r="H246" s="12"/>
      <c r="I246" s="12"/>
      <c r="J246" s="12"/>
      <c r="K246" s="12"/>
      <c r="L246" s="12"/>
      <c r="M246" s="12"/>
      <c r="N246" s="12"/>
      <c r="O246" s="12"/>
      <c r="P246" s="12"/>
      <c r="Q246" s="12"/>
      <c r="R246" s="12"/>
      <c r="S246" s="12"/>
      <c r="T246" s="12"/>
      <c r="U246" s="12"/>
      <c r="V246" s="12"/>
      <c r="W246" s="12"/>
      <c r="X246" s="12"/>
      <c r="Y246" s="12"/>
      <c r="Z246" s="12"/>
      <c r="AA246" s="12"/>
      <c r="AB246" s="12"/>
      <c r="AC246" s="12"/>
    </row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40">
    <mergeCell ref="D2:G2"/>
    <mergeCell ref="K2:N2"/>
    <mergeCell ref="R2:U2"/>
    <mergeCell ref="Y2:AB2"/>
    <mergeCell ref="J3:N3"/>
    <mergeCell ref="Q3:U3"/>
    <mergeCell ref="X3:AB3"/>
    <mergeCell ref="X16:AB16"/>
    <mergeCell ref="Y17:AB17"/>
    <mergeCell ref="X18:AB18"/>
    <mergeCell ref="X31:AB31"/>
    <mergeCell ref="Y32:AB32"/>
    <mergeCell ref="X33:AB33"/>
    <mergeCell ref="X46:AB46"/>
    <mergeCell ref="Y47:AB47"/>
    <mergeCell ref="C3:G3"/>
    <mergeCell ref="C16:G16"/>
    <mergeCell ref="J16:N16"/>
    <mergeCell ref="Q16:U16"/>
    <mergeCell ref="D17:G17"/>
    <mergeCell ref="R17:U17"/>
    <mergeCell ref="C18:G18"/>
    <mergeCell ref="Q18:U18"/>
    <mergeCell ref="K17:N17"/>
    <mergeCell ref="J18:N18"/>
    <mergeCell ref="C31:G31"/>
    <mergeCell ref="J31:N31"/>
    <mergeCell ref="Q31:U31"/>
    <mergeCell ref="K32:N32"/>
    <mergeCell ref="R32:U32"/>
    <mergeCell ref="J46:N46"/>
    <mergeCell ref="K47:N47"/>
    <mergeCell ref="D32:G32"/>
    <mergeCell ref="C33:G33"/>
    <mergeCell ref="J33:N33"/>
    <mergeCell ref="Q33:U33"/>
    <mergeCell ref="C46:G46"/>
    <mergeCell ref="Q46:U46"/>
    <mergeCell ref="D47:G47"/>
    <mergeCell ref="R47:U47"/>
  </mergeCells>
  <conditionalFormatting sqref="B6:B15 B21 B36:B45">
    <cfRule type="colorScale" priority="1">
      <colorScale>
        <cfvo type="min"/>
        <cfvo type="max"/>
        <color rgb="FFFFFFFF"/>
        <color rgb="FF57BB8A"/>
      </colorScale>
    </cfRule>
  </conditionalFormatting>
  <conditionalFormatting sqref="I6:I15 I21 I36:I45">
    <cfRule type="colorScale" priority="2">
      <colorScale>
        <cfvo type="min"/>
        <cfvo type="max"/>
        <color rgb="FFFFFFFF"/>
        <color rgb="FF57BB8A"/>
      </colorScale>
    </cfRule>
  </conditionalFormatting>
  <conditionalFormatting sqref="P6:P15 P21 P36:P45">
    <cfRule type="colorScale" priority="3">
      <colorScale>
        <cfvo type="min"/>
        <cfvo type="max"/>
        <color rgb="FFFFFFFF"/>
        <color rgb="FF57BB8A"/>
      </colorScale>
    </cfRule>
  </conditionalFormatting>
  <conditionalFormatting sqref="W6:W15 W21 W36:W45">
    <cfRule type="colorScale" priority="4">
      <colorScale>
        <cfvo type="min"/>
        <cfvo type="max"/>
        <color rgb="FFFFFFFF"/>
        <color rgb="FF57BB8A"/>
      </colorScale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0"/>
  <cols>
    <col customWidth="1" min="1" max="1" width="25.13"/>
    <col customWidth="1" min="2" max="7" width="12.63"/>
  </cols>
  <sheetData>
    <row r="1" ht="37.5" customHeight="1">
      <c r="A1" s="8"/>
      <c r="B1" s="9" t="s">
        <v>2</v>
      </c>
    </row>
    <row r="2" ht="15.75" customHeight="1">
      <c r="B2" s="10" t="s">
        <v>3</v>
      </c>
      <c r="C2" s="21" t="str">
        <f>'aluno 01'!C2</f>
        <v/>
      </c>
    </row>
    <row r="3" ht="15.75" customHeight="1">
      <c r="B3" s="10" t="s">
        <v>4</v>
      </c>
      <c r="C3" s="21" t="str">
        <f>'aluno 01'!C3</f>
        <v/>
      </c>
    </row>
    <row r="4" ht="15.75" customHeight="1">
      <c r="A4" s="15"/>
      <c r="B4" s="17"/>
      <c r="C4" s="19"/>
      <c r="D4" s="20"/>
      <c r="E4" s="22"/>
      <c r="F4" s="23"/>
      <c r="G4" s="23"/>
    </row>
    <row r="5" ht="15.75" customHeight="1">
      <c r="A5" s="24"/>
      <c r="B5" s="25" t="s">
        <v>6</v>
      </c>
      <c r="C5" s="25" t="s">
        <v>7</v>
      </c>
      <c r="D5" s="25" t="s">
        <v>8</v>
      </c>
      <c r="E5" s="25" t="s">
        <v>9</v>
      </c>
      <c r="F5" s="25" t="s">
        <v>11</v>
      </c>
      <c r="G5" s="5"/>
    </row>
    <row r="6" ht="15.75" customHeight="1">
      <c r="A6" s="26"/>
      <c r="B6" s="27" t="str">
        <f>'aluno 01'!B6</f>
        <v/>
      </c>
      <c r="C6" s="27" t="str">
        <f>'aluno 01'!C6</f>
        <v/>
      </c>
      <c r="D6" s="27" t="str">
        <f>'aluno 01'!D6</f>
        <v/>
      </c>
      <c r="E6" s="27" t="str">
        <f>'aluno 01'!E6</f>
        <v/>
      </c>
      <c r="F6" s="27" t="str">
        <f>'aluno 01'!F6</f>
        <v/>
      </c>
      <c r="G6" s="5"/>
    </row>
    <row r="7" ht="15.75" customHeight="1">
      <c r="A7" s="26"/>
      <c r="B7" s="28"/>
      <c r="C7" s="28"/>
      <c r="D7" s="28"/>
      <c r="E7" s="28"/>
      <c r="F7" s="28"/>
      <c r="G7" s="28"/>
    </row>
    <row r="8" ht="15.75" customHeight="1">
      <c r="A8" s="30" t="s">
        <v>15</v>
      </c>
    </row>
    <row r="9" ht="15.75" customHeight="1">
      <c r="A9" s="34" t="str">
        <f>'aluno 01'!A9</f>
        <v/>
      </c>
    </row>
    <row r="10" ht="15.75" customHeight="1"/>
    <row r="11" ht="15.75" customHeight="1">
      <c r="A11" s="30" t="s">
        <v>18</v>
      </c>
    </row>
    <row r="12" ht="15.75" customHeight="1">
      <c r="A12" s="2"/>
      <c r="B12" s="33" t="s">
        <v>10</v>
      </c>
      <c r="C12" s="33" t="s">
        <v>19</v>
      </c>
      <c r="D12" s="37" t="s">
        <v>13</v>
      </c>
      <c r="E12" s="37" t="s">
        <v>15</v>
      </c>
    </row>
    <row r="13" ht="15.75" customHeight="1">
      <c r="A13" s="39"/>
      <c r="B13" s="40"/>
      <c r="C13" s="40"/>
      <c r="D13" s="40"/>
      <c r="E13" s="34"/>
    </row>
    <row r="14" ht="15.75" customHeight="1">
      <c r="A14" s="42"/>
      <c r="B14" s="43"/>
      <c r="C14" s="43"/>
      <c r="D14" s="40"/>
      <c r="E14" s="34"/>
    </row>
    <row r="15" ht="15.75" customHeight="1">
      <c r="A15" s="39"/>
      <c r="B15" s="40"/>
      <c r="C15" s="40"/>
      <c r="D15" s="40"/>
      <c r="E15" s="34"/>
    </row>
    <row r="16" ht="15.75" customHeight="1">
      <c r="A16" s="45">
        <f>'bloco 02'!C3</f>
        <v>46274</v>
      </c>
    </row>
    <row r="17" ht="15.75" customHeight="1">
      <c r="A17" s="46" t="s">
        <v>20</v>
      </c>
    </row>
    <row r="18" ht="15.75" customHeight="1">
      <c r="A18" s="30" t="s">
        <v>5</v>
      </c>
    </row>
    <row r="19" ht="15.75" customHeight="1">
      <c r="A19" s="33"/>
      <c r="B19" s="33" t="s">
        <v>10</v>
      </c>
      <c r="C19" s="37" t="s">
        <v>12</v>
      </c>
      <c r="D19" s="37" t="s">
        <v>13</v>
      </c>
      <c r="E19" s="37" t="s">
        <v>21</v>
      </c>
      <c r="F19" s="37" t="s">
        <v>15</v>
      </c>
    </row>
    <row r="20" ht="15.75" customHeight="1">
      <c r="A20" s="14" t="str">
        <f>'bloco 02'!$B6</f>
        <v/>
      </c>
      <c r="B20" s="48" t="str">
        <f>'bloco 02'!C6</f>
        <v/>
      </c>
      <c r="C20" s="48" t="str">
        <f>'bloco 02'!D6</f>
        <v/>
      </c>
      <c r="D20" s="48" t="str">
        <f>'bloco 02'!E6</f>
        <v/>
      </c>
      <c r="E20" s="41" t="str">
        <f>IFERROR(('bloco 02'!F6),"")</f>
        <v/>
      </c>
      <c r="F20" s="49" t="str">
        <f>'bloco 02'!G6</f>
        <v/>
      </c>
    </row>
    <row r="21" ht="15.75" customHeight="1">
      <c r="A21" s="14" t="str">
        <f>'bloco 02'!$B7</f>
        <v/>
      </c>
      <c r="B21" s="48" t="str">
        <f>'bloco 02'!C7</f>
        <v/>
      </c>
      <c r="C21" s="48" t="str">
        <f>'bloco 02'!D7</f>
        <v/>
      </c>
      <c r="D21" s="48" t="str">
        <f>'bloco 02'!E7</f>
        <v/>
      </c>
      <c r="E21" s="41" t="str">
        <f>IFERROR(('bloco 02'!F7),"")</f>
        <v/>
      </c>
      <c r="F21" s="49" t="str">
        <f>'bloco 02'!G7</f>
        <v/>
      </c>
    </row>
    <row r="22" ht="15.75" customHeight="1">
      <c r="A22" s="14" t="str">
        <f>'bloco 02'!$B8</f>
        <v/>
      </c>
      <c r="B22" s="48" t="str">
        <f>'bloco 02'!C8</f>
        <v/>
      </c>
      <c r="C22" s="48" t="str">
        <f>'bloco 02'!D8</f>
        <v/>
      </c>
      <c r="D22" s="48" t="str">
        <f>'bloco 02'!E8</f>
        <v/>
      </c>
      <c r="E22" s="41" t="str">
        <f>IFERROR(('bloco 02'!F8),"")</f>
        <v/>
      </c>
      <c r="F22" s="49" t="str">
        <f>'bloco 02'!G8</f>
        <v/>
      </c>
    </row>
    <row r="23" ht="15.75" customHeight="1">
      <c r="A23" s="14" t="str">
        <f>'bloco 02'!$B9</f>
        <v/>
      </c>
      <c r="B23" s="48" t="str">
        <f>'bloco 02'!C9</f>
        <v/>
      </c>
      <c r="C23" s="48" t="str">
        <f>'bloco 02'!D9</f>
        <v/>
      </c>
      <c r="D23" s="48" t="str">
        <f>'bloco 02'!E9</f>
        <v/>
      </c>
      <c r="E23" s="41" t="str">
        <f>IFERROR(('bloco 02'!F9),"")</f>
        <v/>
      </c>
      <c r="F23" s="49" t="str">
        <f>'bloco 02'!G9</f>
        <v/>
      </c>
    </row>
    <row r="24" ht="15.75" customHeight="1">
      <c r="A24" s="14" t="str">
        <f>'bloco 02'!$B10</f>
        <v/>
      </c>
      <c r="B24" s="48" t="str">
        <f>'bloco 02'!C10</f>
        <v/>
      </c>
      <c r="C24" s="48" t="str">
        <f>'bloco 02'!D10</f>
        <v/>
      </c>
      <c r="D24" s="48" t="str">
        <f>'bloco 02'!E10</f>
        <v/>
      </c>
      <c r="E24" s="41" t="str">
        <f>IFERROR(('bloco 02'!F10),"")</f>
        <v/>
      </c>
      <c r="F24" s="49" t="str">
        <f>'bloco 02'!G10</f>
        <v/>
      </c>
    </row>
    <row r="25" ht="15.75" customHeight="1">
      <c r="A25" s="14" t="str">
        <f>'bloco 02'!$B11</f>
        <v/>
      </c>
      <c r="B25" s="48" t="str">
        <f>'bloco 02'!C11</f>
        <v/>
      </c>
      <c r="C25" s="48" t="str">
        <f>'bloco 02'!D11</f>
        <v/>
      </c>
      <c r="D25" s="48" t="str">
        <f>'bloco 02'!E11</f>
        <v/>
      </c>
      <c r="E25" s="41" t="str">
        <f>IFERROR(('bloco 02'!F11),"")</f>
        <v/>
      </c>
      <c r="F25" s="49" t="str">
        <f>'bloco 02'!G11</f>
        <v/>
      </c>
    </row>
    <row r="26" ht="15.75" customHeight="1">
      <c r="A26" s="14" t="str">
        <f>'bloco 02'!$B12</f>
        <v/>
      </c>
      <c r="B26" s="48" t="str">
        <f>'bloco 02'!C12</f>
        <v/>
      </c>
      <c r="C26" s="48" t="str">
        <f>'bloco 02'!D12</f>
        <v/>
      </c>
      <c r="D26" s="48" t="str">
        <f>'bloco 02'!E12</f>
        <v/>
      </c>
      <c r="E26" s="41" t="str">
        <f>IFERROR(('bloco 02'!F12),"")</f>
        <v/>
      </c>
      <c r="F26" s="49" t="str">
        <f>'bloco 02'!G12</f>
        <v/>
      </c>
    </row>
    <row r="27" ht="15.75" customHeight="1">
      <c r="A27" s="14" t="str">
        <f>'bloco 02'!$B13</f>
        <v/>
      </c>
      <c r="B27" s="48" t="str">
        <f>'bloco 02'!C13</f>
        <v/>
      </c>
      <c r="C27" s="48" t="str">
        <f>'bloco 02'!D13</f>
        <v/>
      </c>
      <c r="D27" s="48" t="str">
        <f>'bloco 02'!E13</f>
        <v/>
      </c>
      <c r="E27" s="41" t="str">
        <f>IFERROR(('bloco 02'!F13),"")</f>
        <v/>
      </c>
      <c r="F27" s="49" t="str">
        <f>'bloco 02'!G13</f>
        <v/>
      </c>
    </row>
    <row r="28" ht="15.75" customHeight="1">
      <c r="A28" s="14" t="str">
        <f>'bloco 02'!$B14</f>
        <v/>
      </c>
      <c r="B28" s="48" t="str">
        <f>'bloco 02'!C14</f>
        <v/>
      </c>
      <c r="C28" s="48" t="str">
        <f>'bloco 02'!D14</f>
        <v/>
      </c>
      <c r="D28" s="48" t="str">
        <f>'bloco 02'!E14</f>
        <v/>
      </c>
      <c r="E28" s="41" t="str">
        <f>IFERROR(('bloco 02'!F14),"")</f>
        <v/>
      </c>
      <c r="F28" s="49" t="str">
        <f>'bloco 02'!G14</f>
        <v/>
      </c>
    </row>
    <row r="29" ht="15.75" customHeight="1">
      <c r="A29" s="14" t="str">
        <f>'bloco 02'!$B15</f>
        <v/>
      </c>
      <c r="B29" s="48" t="str">
        <f>'bloco 02'!C15</f>
        <v/>
      </c>
      <c r="C29" s="48" t="str">
        <f>'bloco 02'!D15</f>
        <v/>
      </c>
      <c r="D29" s="48" t="str">
        <f>'bloco 02'!E15</f>
        <v/>
      </c>
      <c r="E29" s="41" t="str">
        <f>IFERROR(('bloco 02'!F15),"")</f>
        <v/>
      </c>
      <c r="F29" s="49" t="str">
        <f>'bloco 02'!G15</f>
        <v/>
      </c>
    </row>
    <row r="30" ht="15.75" customHeight="1">
      <c r="A30" s="30" t="s">
        <v>22</v>
      </c>
    </row>
    <row r="31" ht="15.75" customHeight="1">
      <c r="A31" s="33"/>
      <c r="B31" s="33" t="s">
        <v>10</v>
      </c>
      <c r="C31" s="37" t="s">
        <v>12</v>
      </c>
      <c r="D31" s="37" t="s">
        <v>13</v>
      </c>
      <c r="E31" s="37" t="s">
        <v>21</v>
      </c>
      <c r="F31" s="37" t="s">
        <v>15</v>
      </c>
    </row>
    <row r="32" ht="15.75" customHeight="1">
      <c r="A32" s="14" t="str">
        <f>'bloco 02'!$B21</f>
        <v/>
      </c>
      <c r="B32" s="48" t="str">
        <f>'bloco 02'!C21</f>
        <v/>
      </c>
      <c r="C32" s="48" t="str">
        <f>'bloco 02'!D21</f>
        <v/>
      </c>
      <c r="D32" s="48" t="str">
        <f>'bloco 02'!E21</f>
        <v/>
      </c>
      <c r="E32" s="41" t="str">
        <f>IFERROR(('bloco 02'!F21),"")</f>
        <v/>
      </c>
      <c r="F32" s="49" t="str">
        <f>'bloco 02'!G21</f>
        <v/>
      </c>
    </row>
    <row r="33" ht="15.75" customHeight="1">
      <c r="A33" s="14" t="str">
        <f>'bloco 02'!$B22</f>
        <v/>
      </c>
      <c r="B33" s="48" t="str">
        <f>'bloco 02'!C22</f>
        <v/>
      </c>
      <c r="C33" s="48" t="str">
        <f>'bloco 02'!D22</f>
        <v/>
      </c>
      <c r="D33" s="48" t="str">
        <f>'bloco 02'!E22</f>
        <v/>
      </c>
      <c r="E33" s="41" t="str">
        <f>IFERROR(('bloco 02'!F22),"")</f>
        <v/>
      </c>
      <c r="F33" s="49" t="str">
        <f>'bloco 02'!G22</f>
        <v/>
      </c>
    </row>
    <row r="34" ht="15.75" customHeight="1">
      <c r="A34" s="14" t="str">
        <f>'bloco 02'!$B23</f>
        <v/>
      </c>
      <c r="B34" s="48" t="str">
        <f>'bloco 02'!C23</f>
        <v/>
      </c>
      <c r="C34" s="48" t="str">
        <f>'bloco 02'!D23</f>
        <v/>
      </c>
      <c r="D34" s="48" t="str">
        <f>'bloco 02'!E23</f>
        <v/>
      </c>
      <c r="E34" s="41" t="str">
        <f>IFERROR(('bloco 02'!F23),"")</f>
        <v/>
      </c>
      <c r="F34" s="49" t="str">
        <f>'bloco 02'!G23</f>
        <v/>
      </c>
    </row>
    <row r="35" ht="15.75" customHeight="1">
      <c r="A35" s="14" t="str">
        <f>'bloco 02'!$B24</f>
        <v/>
      </c>
      <c r="B35" s="48" t="str">
        <f>'bloco 02'!C24</f>
        <v/>
      </c>
      <c r="C35" s="48" t="str">
        <f>'bloco 02'!D24</f>
        <v/>
      </c>
      <c r="D35" s="48" t="str">
        <f>'bloco 02'!E24</f>
        <v/>
      </c>
      <c r="E35" s="41" t="str">
        <f>IFERROR(('bloco 02'!F24),"")</f>
        <v/>
      </c>
      <c r="F35" s="49" t="str">
        <f>'bloco 02'!G24</f>
        <v/>
      </c>
    </row>
    <row r="36" ht="15.75" customHeight="1">
      <c r="A36" s="14" t="str">
        <f>'bloco 02'!$B25</f>
        <v/>
      </c>
      <c r="B36" s="48" t="str">
        <f>'bloco 02'!C25</f>
        <v/>
      </c>
      <c r="C36" s="48" t="str">
        <f>'bloco 02'!D25</f>
        <v/>
      </c>
      <c r="D36" s="48" t="str">
        <f>'bloco 02'!E25</f>
        <v/>
      </c>
      <c r="E36" s="41" t="str">
        <f>IFERROR(('bloco 02'!F25),"")</f>
        <v/>
      </c>
      <c r="F36" s="49" t="str">
        <f>'bloco 02'!G25</f>
        <v/>
      </c>
    </row>
    <row r="37" ht="15.75" customHeight="1">
      <c r="A37" s="14" t="str">
        <f>'bloco 02'!$B26</f>
        <v/>
      </c>
      <c r="B37" s="48" t="str">
        <f>'bloco 02'!C26</f>
        <v/>
      </c>
      <c r="C37" s="48" t="str">
        <f>'bloco 02'!D26</f>
        <v/>
      </c>
      <c r="D37" s="48" t="str">
        <f>'bloco 02'!E26</f>
        <v/>
      </c>
      <c r="E37" s="41" t="str">
        <f>IFERROR(('bloco 02'!F26),"")</f>
        <v/>
      </c>
      <c r="F37" s="49" t="str">
        <f>'bloco 02'!G26</f>
        <v/>
      </c>
    </row>
    <row r="38" ht="15.75" customHeight="1">
      <c r="A38" s="14" t="str">
        <f>'bloco 02'!$B27</f>
        <v/>
      </c>
      <c r="B38" s="48" t="str">
        <f>'bloco 02'!C27</f>
        <v/>
      </c>
      <c r="C38" s="48" t="str">
        <f>'bloco 02'!D27</f>
        <v/>
      </c>
      <c r="D38" s="48" t="str">
        <f>'bloco 02'!E27</f>
        <v/>
      </c>
      <c r="E38" s="41" t="str">
        <f>IFERROR(('bloco 02'!F27),"")</f>
        <v/>
      </c>
      <c r="F38" s="49" t="str">
        <f>'bloco 02'!G27</f>
        <v/>
      </c>
    </row>
    <row r="39" ht="15.75" customHeight="1">
      <c r="A39" s="14" t="str">
        <f>'bloco 02'!$B28</f>
        <v/>
      </c>
      <c r="B39" s="48" t="str">
        <f>'bloco 02'!C28</f>
        <v/>
      </c>
      <c r="C39" s="48" t="str">
        <f>'bloco 02'!D28</f>
        <v/>
      </c>
      <c r="D39" s="48" t="str">
        <f>'bloco 02'!E28</f>
        <v/>
      </c>
      <c r="E39" s="41" t="str">
        <f>IFERROR(('bloco 02'!F28),"")</f>
        <v/>
      </c>
      <c r="F39" s="49" t="str">
        <f>'bloco 02'!G28</f>
        <v/>
      </c>
    </row>
    <row r="40" ht="15.75" customHeight="1">
      <c r="A40" s="14" t="str">
        <f>'bloco 02'!$B29</f>
        <v/>
      </c>
      <c r="B40" s="48" t="str">
        <f>'bloco 02'!C29</f>
        <v/>
      </c>
      <c r="C40" s="48" t="str">
        <f>'bloco 02'!D29</f>
        <v/>
      </c>
      <c r="D40" s="48" t="str">
        <f>'bloco 02'!E29</f>
        <v/>
      </c>
      <c r="E40" s="41" t="str">
        <f>IFERROR(('bloco 02'!F29),"")</f>
        <v/>
      </c>
      <c r="F40" s="49" t="str">
        <f>'bloco 02'!G29</f>
        <v/>
      </c>
    </row>
    <row r="41" ht="15.75" customHeight="1">
      <c r="A41" s="14" t="str">
        <f>'bloco 02'!$B30</f>
        <v/>
      </c>
      <c r="B41" s="48" t="str">
        <f>'bloco 02'!C30</f>
        <v/>
      </c>
      <c r="C41" s="48" t="str">
        <f>'bloco 02'!D30</f>
        <v/>
      </c>
      <c r="D41" s="48" t="str">
        <f>'bloco 02'!E30</f>
        <v/>
      </c>
      <c r="E41" s="41" t="str">
        <f>IFERROR(('bloco 02'!F30),"")</f>
        <v/>
      </c>
      <c r="F41" s="49" t="str">
        <f>'bloco 02'!G30</f>
        <v/>
      </c>
    </row>
    <row r="42" ht="15.75" customHeight="1">
      <c r="A42" s="30" t="s">
        <v>26</v>
      </c>
    </row>
    <row r="43" ht="15.75" customHeight="1">
      <c r="A43" s="33"/>
      <c r="B43" s="33" t="s">
        <v>10</v>
      </c>
      <c r="C43" s="37" t="s">
        <v>12</v>
      </c>
      <c r="D43" s="37" t="s">
        <v>13</v>
      </c>
      <c r="E43" s="37" t="s">
        <v>21</v>
      </c>
      <c r="F43" s="37" t="s">
        <v>15</v>
      </c>
    </row>
    <row r="44" ht="15.75" customHeight="1">
      <c r="A44" s="14" t="str">
        <f>'bloco 02'!$B36</f>
        <v/>
      </c>
      <c r="B44" s="48" t="str">
        <f>'bloco 02'!C36</f>
        <v/>
      </c>
      <c r="C44" s="48" t="str">
        <f>'bloco 02'!D36</f>
        <v/>
      </c>
      <c r="D44" s="48" t="str">
        <f>'bloco 02'!E36</f>
        <v/>
      </c>
      <c r="E44" s="41" t="str">
        <f>IFERROR(('bloco 02'!F36),"")</f>
        <v/>
      </c>
      <c r="F44" s="49" t="str">
        <f>'bloco 02'!G36</f>
        <v/>
      </c>
    </row>
    <row r="45" ht="15.75" customHeight="1">
      <c r="A45" s="14" t="str">
        <f>'bloco 02'!$B37</f>
        <v/>
      </c>
      <c r="B45" s="48" t="str">
        <f>'bloco 02'!C37</f>
        <v/>
      </c>
      <c r="C45" s="48" t="str">
        <f>'bloco 02'!D37</f>
        <v/>
      </c>
      <c r="D45" s="48" t="str">
        <f>'bloco 02'!E37</f>
        <v/>
      </c>
      <c r="E45" s="41" t="str">
        <f>IFERROR(('bloco 02'!F37),"")</f>
        <v/>
      </c>
      <c r="F45" s="49" t="str">
        <f>'bloco 02'!G37</f>
        <v/>
      </c>
    </row>
    <row r="46" ht="15.75" customHeight="1">
      <c r="A46" s="14" t="str">
        <f>'bloco 02'!$B38</f>
        <v/>
      </c>
      <c r="B46" s="48" t="str">
        <f>'bloco 02'!C38</f>
        <v/>
      </c>
      <c r="C46" s="48" t="str">
        <f>'bloco 02'!D38</f>
        <v/>
      </c>
      <c r="D46" s="48" t="str">
        <f>'bloco 02'!E38</f>
        <v/>
      </c>
      <c r="E46" s="41" t="str">
        <f>IFERROR(('bloco 02'!F38),"")</f>
        <v/>
      </c>
      <c r="F46" s="49" t="str">
        <f>'bloco 02'!G38</f>
        <v/>
      </c>
    </row>
    <row r="47" ht="15.75" customHeight="1">
      <c r="A47" s="14" t="str">
        <f>'bloco 02'!$B39</f>
        <v/>
      </c>
      <c r="B47" s="48" t="str">
        <f>'bloco 02'!C39</f>
        <v/>
      </c>
      <c r="C47" s="48" t="str">
        <f>'bloco 02'!D39</f>
        <v/>
      </c>
      <c r="D47" s="48" t="str">
        <f>'bloco 02'!E39</f>
        <v/>
      </c>
      <c r="E47" s="41" t="str">
        <f>IFERROR(('bloco 02'!F39),"")</f>
        <v/>
      </c>
      <c r="F47" s="49" t="str">
        <f>'bloco 02'!G39</f>
        <v/>
      </c>
    </row>
    <row r="48" ht="15.75" customHeight="1">
      <c r="A48" s="14" t="str">
        <f>'bloco 02'!$B40</f>
        <v/>
      </c>
      <c r="B48" s="48" t="str">
        <f>'bloco 02'!C40</f>
        <v/>
      </c>
      <c r="C48" s="48" t="str">
        <f>'bloco 02'!D40</f>
        <v/>
      </c>
      <c r="D48" s="48" t="str">
        <f>'bloco 02'!E40</f>
        <v/>
      </c>
      <c r="E48" s="41" t="str">
        <f>IFERROR(('bloco 02'!F40),"")</f>
        <v/>
      </c>
      <c r="F48" s="49" t="str">
        <f>'bloco 02'!G40</f>
        <v/>
      </c>
    </row>
    <row r="49" ht="15.75" customHeight="1">
      <c r="A49" s="14" t="str">
        <f>'bloco 02'!$B41</f>
        <v/>
      </c>
      <c r="B49" s="48" t="str">
        <f>'bloco 02'!C41</f>
        <v/>
      </c>
      <c r="C49" s="48" t="str">
        <f>'bloco 02'!D41</f>
        <v/>
      </c>
      <c r="D49" s="48" t="str">
        <f>'bloco 02'!E41</f>
        <v/>
      </c>
      <c r="E49" s="41" t="str">
        <f>IFERROR(('bloco 02'!F41),"")</f>
        <v/>
      </c>
      <c r="F49" s="49" t="str">
        <f>'bloco 02'!G41</f>
        <v/>
      </c>
    </row>
    <row r="50" ht="15.75" customHeight="1">
      <c r="A50" s="14" t="str">
        <f>'bloco 02'!$B42</f>
        <v/>
      </c>
      <c r="B50" s="48" t="str">
        <f>'bloco 02'!C42</f>
        <v/>
      </c>
      <c r="C50" s="48" t="str">
        <f>'bloco 02'!D42</f>
        <v/>
      </c>
      <c r="D50" s="48" t="str">
        <f>'bloco 02'!E42</f>
        <v/>
      </c>
      <c r="E50" s="41" t="str">
        <f>IFERROR(('bloco 02'!F42),"")</f>
        <v/>
      </c>
      <c r="F50" s="49" t="str">
        <f>'bloco 02'!G42</f>
        <v/>
      </c>
    </row>
    <row r="51" ht="15.75" customHeight="1">
      <c r="A51" s="14" t="str">
        <f>'bloco 02'!$B43</f>
        <v/>
      </c>
      <c r="B51" s="48" t="str">
        <f>'bloco 02'!C43</f>
        <v/>
      </c>
      <c r="C51" s="48" t="str">
        <f>'bloco 02'!D43</f>
        <v/>
      </c>
      <c r="D51" s="48" t="str">
        <f>'bloco 02'!E43</f>
        <v/>
      </c>
      <c r="E51" s="41" t="str">
        <f>IFERROR(('bloco 02'!F43),"")</f>
        <v/>
      </c>
      <c r="F51" s="49" t="str">
        <f>'bloco 02'!G43</f>
        <v/>
      </c>
    </row>
    <row r="52" ht="15.75" customHeight="1">
      <c r="A52" s="14" t="str">
        <f>'bloco 02'!$B44</f>
        <v/>
      </c>
      <c r="B52" s="48" t="str">
        <f>'bloco 02'!C44</f>
        <v/>
      </c>
      <c r="C52" s="48" t="str">
        <f>'bloco 02'!D44</f>
        <v/>
      </c>
      <c r="D52" s="48" t="str">
        <f>'bloco 02'!E44</f>
        <v/>
      </c>
      <c r="E52" s="41" t="str">
        <f>IFERROR(('bloco 02'!F44),"")</f>
        <v/>
      </c>
      <c r="F52" s="49" t="str">
        <f>'bloco 02'!G44</f>
        <v/>
      </c>
    </row>
    <row r="53" ht="15.75" customHeight="1">
      <c r="A53" s="14" t="str">
        <f>'bloco 02'!$B45</f>
        <v/>
      </c>
      <c r="B53" s="48" t="str">
        <f>'bloco 02'!C45</f>
        <v/>
      </c>
      <c r="C53" s="48" t="str">
        <f>'bloco 02'!D45</f>
        <v/>
      </c>
      <c r="D53" s="48" t="str">
        <f>'bloco 02'!E45</f>
        <v/>
      </c>
      <c r="E53" s="41" t="str">
        <f>IFERROR(('bloco 02'!F45),"")</f>
        <v/>
      </c>
      <c r="F53" s="49" t="str">
        <f>'bloco 02'!G45</f>
        <v/>
      </c>
    </row>
    <row r="54" ht="15.75" customHeight="1">
      <c r="A54" s="45">
        <f>'bloco 02'!J3</f>
        <v>46281</v>
      </c>
    </row>
    <row r="55" ht="15.75" customHeight="1">
      <c r="A55" s="46" t="s">
        <v>23</v>
      </c>
    </row>
    <row r="56" ht="15.75" customHeight="1">
      <c r="A56" s="30" t="s">
        <v>5</v>
      </c>
    </row>
    <row r="57" ht="15.75" customHeight="1">
      <c r="A57" s="33"/>
      <c r="B57" s="33" t="s">
        <v>10</v>
      </c>
      <c r="C57" s="37" t="s">
        <v>12</v>
      </c>
      <c r="D57" s="37" t="s">
        <v>13</v>
      </c>
      <c r="E57" s="37" t="s">
        <v>21</v>
      </c>
      <c r="F57" s="37" t="s">
        <v>15</v>
      </c>
    </row>
    <row r="58" ht="15.75" customHeight="1">
      <c r="A58" s="14" t="str">
        <f>'bloco 02'!$I6</f>
        <v/>
      </c>
      <c r="B58" s="48" t="str">
        <f>'bloco 02'!J6</f>
        <v/>
      </c>
      <c r="C58" s="48" t="str">
        <f>'bloco 02'!K6</f>
        <v/>
      </c>
      <c r="D58" s="48" t="str">
        <f>'bloco 02'!L6</f>
        <v/>
      </c>
      <c r="E58" s="41" t="str">
        <f>IFERROR(('bloco 02'!M6),"")</f>
        <v/>
      </c>
      <c r="F58" s="49" t="str">
        <f>'bloco 02'!N6</f>
        <v/>
      </c>
    </row>
    <row r="59" ht="15.75" customHeight="1">
      <c r="A59" s="14" t="str">
        <f>'bloco 02'!$I7</f>
        <v/>
      </c>
      <c r="B59" s="48" t="str">
        <f>'bloco 02'!J7</f>
        <v/>
      </c>
      <c r="C59" s="48" t="str">
        <f>'bloco 02'!K7</f>
        <v/>
      </c>
      <c r="D59" s="48" t="str">
        <f>'bloco 02'!L7</f>
        <v/>
      </c>
      <c r="E59" s="41" t="str">
        <f>IFERROR(('bloco 02'!M7),"")</f>
        <v/>
      </c>
      <c r="F59" s="49" t="str">
        <f>'bloco 02'!N7</f>
        <v/>
      </c>
    </row>
    <row r="60" ht="15.75" customHeight="1">
      <c r="A60" s="14" t="str">
        <f>'bloco 02'!$I8</f>
        <v/>
      </c>
      <c r="B60" s="48" t="str">
        <f>'bloco 02'!J8</f>
        <v/>
      </c>
      <c r="C60" s="48" t="str">
        <f>'bloco 02'!K8</f>
        <v/>
      </c>
      <c r="D60" s="48" t="str">
        <f>'bloco 02'!L8</f>
        <v/>
      </c>
      <c r="E60" s="41" t="str">
        <f>IFERROR(('bloco 02'!M8),"")</f>
        <v/>
      </c>
      <c r="F60" s="49" t="str">
        <f>'bloco 02'!N8</f>
        <v/>
      </c>
    </row>
    <row r="61" ht="15.75" customHeight="1">
      <c r="A61" s="14" t="str">
        <f>'bloco 02'!$I9</f>
        <v/>
      </c>
      <c r="B61" s="48" t="str">
        <f>'bloco 02'!J9</f>
        <v/>
      </c>
      <c r="C61" s="48" t="str">
        <f>'bloco 02'!K9</f>
        <v/>
      </c>
      <c r="D61" s="48" t="str">
        <f>'bloco 02'!L9</f>
        <v/>
      </c>
      <c r="E61" s="41" t="str">
        <f>IFERROR(('bloco 02'!M9),"")</f>
        <v/>
      </c>
      <c r="F61" s="49" t="str">
        <f>'bloco 02'!N9</f>
        <v/>
      </c>
    </row>
    <row r="62" ht="15.75" customHeight="1">
      <c r="A62" s="14" t="str">
        <f>'bloco 02'!$I10</f>
        <v/>
      </c>
      <c r="B62" s="48" t="str">
        <f>'bloco 02'!J10</f>
        <v/>
      </c>
      <c r="C62" s="48" t="str">
        <f>'bloco 02'!K10</f>
        <v/>
      </c>
      <c r="D62" s="48" t="str">
        <f>'bloco 02'!L10</f>
        <v/>
      </c>
      <c r="E62" s="41" t="str">
        <f>IFERROR(('bloco 02'!M10),"")</f>
        <v/>
      </c>
      <c r="F62" s="49" t="str">
        <f>'bloco 02'!N10</f>
        <v/>
      </c>
    </row>
    <row r="63" ht="15.75" customHeight="1">
      <c r="A63" s="14" t="str">
        <f>'bloco 02'!$I11</f>
        <v/>
      </c>
      <c r="B63" s="48" t="str">
        <f>'bloco 02'!J11</f>
        <v/>
      </c>
      <c r="C63" s="48" t="str">
        <f>'bloco 02'!K11</f>
        <v/>
      </c>
      <c r="D63" s="48" t="str">
        <f>'bloco 02'!L11</f>
        <v/>
      </c>
      <c r="E63" s="41" t="str">
        <f>IFERROR(('bloco 02'!M11),"")</f>
        <v/>
      </c>
      <c r="F63" s="49" t="str">
        <f>'bloco 02'!N11</f>
        <v/>
      </c>
    </row>
    <row r="64" ht="15.75" customHeight="1">
      <c r="A64" s="14" t="str">
        <f>'bloco 02'!$I12</f>
        <v/>
      </c>
      <c r="B64" s="48" t="str">
        <f>'bloco 02'!J12</f>
        <v/>
      </c>
      <c r="C64" s="48" t="str">
        <f>'bloco 02'!K12</f>
        <v/>
      </c>
      <c r="D64" s="48" t="str">
        <f>'bloco 02'!L12</f>
        <v/>
      </c>
      <c r="E64" s="41" t="str">
        <f>IFERROR(('bloco 02'!M12),"")</f>
        <v/>
      </c>
      <c r="F64" s="49" t="str">
        <f>'bloco 02'!N12</f>
        <v/>
      </c>
    </row>
    <row r="65" ht="15.75" customHeight="1">
      <c r="A65" s="14" t="str">
        <f>'bloco 02'!$I13</f>
        <v/>
      </c>
      <c r="B65" s="48" t="str">
        <f>'bloco 02'!J13</f>
        <v/>
      </c>
      <c r="C65" s="48" t="str">
        <f>'bloco 02'!K13</f>
        <v/>
      </c>
      <c r="D65" s="48" t="str">
        <f>'bloco 02'!L13</f>
        <v/>
      </c>
      <c r="E65" s="41" t="str">
        <f>IFERROR(('bloco 02'!M13),"")</f>
        <v/>
      </c>
      <c r="F65" s="49" t="str">
        <f>'bloco 02'!N13</f>
        <v/>
      </c>
    </row>
    <row r="66" ht="15.75" customHeight="1">
      <c r="A66" s="14" t="str">
        <f>'bloco 02'!$I14</f>
        <v/>
      </c>
      <c r="B66" s="48" t="str">
        <f>'bloco 02'!J14</f>
        <v/>
      </c>
      <c r="C66" s="48" t="str">
        <f>'bloco 02'!K14</f>
        <v/>
      </c>
      <c r="D66" s="48" t="str">
        <f>'bloco 02'!L14</f>
        <v/>
      </c>
      <c r="E66" s="41" t="str">
        <f>IFERROR(('bloco 02'!M14),"")</f>
        <v/>
      </c>
      <c r="F66" s="49" t="str">
        <f>'bloco 02'!N14</f>
        <v/>
      </c>
    </row>
    <row r="67" ht="15.75" customHeight="1">
      <c r="A67" s="14" t="str">
        <f>'bloco 02'!$I15</f>
        <v/>
      </c>
      <c r="B67" s="48" t="str">
        <f>'bloco 02'!J15</f>
        <v/>
      </c>
      <c r="C67" s="48" t="str">
        <f>'bloco 02'!K15</f>
        <v/>
      </c>
      <c r="D67" s="48" t="str">
        <f>'bloco 02'!L15</f>
        <v/>
      </c>
      <c r="E67" s="41" t="str">
        <f>IFERROR(('bloco 02'!M15),"")</f>
        <v/>
      </c>
      <c r="F67" s="49" t="str">
        <f>'bloco 02'!N15</f>
        <v/>
      </c>
    </row>
    <row r="68" ht="15.75" customHeight="1">
      <c r="A68" s="30" t="s">
        <v>22</v>
      </c>
    </row>
    <row r="69" ht="15.75" customHeight="1">
      <c r="A69" s="33"/>
      <c r="B69" s="33" t="s">
        <v>10</v>
      </c>
      <c r="C69" s="37" t="s">
        <v>12</v>
      </c>
      <c r="D69" s="37" t="s">
        <v>13</v>
      </c>
      <c r="E69" s="37" t="s">
        <v>21</v>
      </c>
      <c r="F69" s="37" t="s">
        <v>15</v>
      </c>
    </row>
    <row r="70" ht="15.75" customHeight="1">
      <c r="A70" s="14" t="str">
        <f>'bloco 02'!$I21</f>
        <v/>
      </c>
      <c r="B70" s="48" t="str">
        <f>'bloco 02'!J21</f>
        <v/>
      </c>
      <c r="C70" s="48" t="str">
        <f>'bloco 02'!K21</f>
        <v/>
      </c>
      <c r="D70" s="48" t="str">
        <f>'bloco 02'!L21</f>
        <v/>
      </c>
      <c r="E70" s="41" t="str">
        <f>IFERROR(('bloco 02'!M21),"")</f>
        <v/>
      </c>
      <c r="F70" s="49" t="str">
        <f>'bloco 02'!N21</f>
        <v/>
      </c>
    </row>
    <row r="71" ht="15.75" customHeight="1">
      <c r="A71" s="14" t="str">
        <f>'bloco 02'!$I22</f>
        <v/>
      </c>
      <c r="B71" s="48" t="str">
        <f>'bloco 02'!J22</f>
        <v/>
      </c>
      <c r="C71" s="48" t="str">
        <f>'bloco 02'!K22</f>
        <v/>
      </c>
      <c r="D71" s="48" t="str">
        <f>'bloco 02'!L22</f>
        <v/>
      </c>
      <c r="E71" s="41" t="str">
        <f>IFERROR(('bloco 02'!M22),"")</f>
        <v/>
      </c>
      <c r="F71" s="49" t="str">
        <f>'bloco 02'!N22</f>
        <v/>
      </c>
    </row>
    <row r="72" ht="15.75" customHeight="1">
      <c r="A72" s="14" t="str">
        <f>'bloco 02'!$I23</f>
        <v/>
      </c>
      <c r="B72" s="48" t="str">
        <f>'bloco 02'!J23</f>
        <v/>
      </c>
      <c r="C72" s="48" t="str">
        <f>'bloco 02'!K23</f>
        <v/>
      </c>
      <c r="D72" s="48" t="str">
        <f>'bloco 02'!L23</f>
        <v/>
      </c>
      <c r="E72" s="41" t="str">
        <f>IFERROR(('bloco 02'!M23),"")</f>
        <v/>
      </c>
      <c r="F72" s="49" t="str">
        <f>'bloco 02'!N23</f>
        <v/>
      </c>
    </row>
    <row r="73" ht="15.75" customHeight="1">
      <c r="A73" s="14" t="str">
        <f>'bloco 02'!$I24</f>
        <v/>
      </c>
      <c r="B73" s="48" t="str">
        <f>'bloco 02'!J24</f>
        <v/>
      </c>
      <c r="C73" s="48" t="str">
        <f>'bloco 02'!K24</f>
        <v/>
      </c>
      <c r="D73" s="48" t="str">
        <f>'bloco 02'!L24</f>
        <v/>
      </c>
      <c r="E73" s="41" t="str">
        <f>IFERROR(('bloco 02'!M24),"")</f>
        <v/>
      </c>
      <c r="F73" s="49" t="str">
        <f>'bloco 02'!N24</f>
        <v/>
      </c>
    </row>
    <row r="74" ht="15.75" customHeight="1">
      <c r="A74" s="14" t="str">
        <f>'bloco 02'!$I25</f>
        <v/>
      </c>
      <c r="B74" s="48" t="str">
        <f>'bloco 02'!J25</f>
        <v/>
      </c>
      <c r="C74" s="48" t="str">
        <f>'bloco 02'!K25</f>
        <v/>
      </c>
      <c r="D74" s="48" t="str">
        <f>'bloco 02'!L25</f>
        <v/>
      </c>
      <c r="E74" s="41" t="str">
        <f>IFERROR(('bloco 02'!M25),"")</f>
        <v/>
      </c>
      <c r="F74" s="49" t="str">
        <f>'bloco 02'!N25</f>
        <v/>
      </c>
    </row>
    <row r="75" ht="15.75" customHeight="1">
      <c r="A75" s="14" t="str">
        <f>'bloco 02'!$I26</f>
        <v/>
      </c>
      <c r="B75" s="48" t="str">
        <f>'bloco 02'!J26</f>
        <v/>
      </c>
      <c r="C75" s="48" t="str">
        <f>'bloco 02'!K26</f>
        <v/>
      </c>
      <c r="D75" s="48" t="str">
        <f>'bloco 02'!L26</f>
        <v/>
      </c>
      <c r="E75" s="41" t="str">
        <f>IFERROR(('bloco 02'!M26),"")</f>
        <v/>
      </c>
      <c r="F75" s="49" t="str">
        <f>'bloco 02'!N26</f>
        <v/>
      </c>
    </row>
    <row r="76" ht="15.75" customHeight="1">
      <c r="A76" s="14" t="str">
        <f>'bloco 02'!$I27</f>
        <v/>
      </c>
      <c r="B76" s="48" t="str">
        <f>'bloco 02'!J27</f>
        <v/>
      </c>
      <c r="C76" s="48" t="str">
        <f>'bloco 02'!K27</f>
        <v/>
      </c>
      <c r="D76" s="48" t="str">
        <f>'bloco 02'!L27</f>
        <v/>
      </c>
      <c r="E76" s="41" t="str">
        <f>IFERROR(('bloco 02'!M27),"")</f>
        <v/>
      </c>
      <c r="F76" s="49" t="str">
        <f>'bloco 02'!N27</f>
        <v/>
      </c>
    </row>
    <row r="77" ht="15.75" customHeight="1">
      <c r="A77" s="14" t="str">
        <f>'bloco 02'!$I28</f>
        <v/>
      </c>
      <c r="B77" s="48" t="str">
        <f>'bloco 02'!J28</f>
        <v/>
      </c>
      <c r="C77" s="48" t="str">
        <f>'bloco 02'!K28</f>
        <v/>
      </c>
      <c r="D77" s="48" t="str">
        <f>'bloco 02'!L28</f>
        <v/>
      </c>
      <c r="E77" s="41" t="str">
        <f>IFERROR(('bloco 02'!M28),"")</f>
        <v/>
      </c>
      <c r="F77" s="49" t="str">
        <f>'bloco 02'!N28</f>
        <v/>
      </c>
    </row>
    <row r="78" ht="15.75" customHeight="1">
      <c r="A78" s="14" t="str">
        <f>'bloco 02'!$I29</f>
        <v/>
      </c>
      <c r="B78" s="48" t="str">
        <f>'bloco 02'!J29</f>
        <v/>
      </c>
      <c r="C78" s="48" t="str">
        <f>'bloco 02'!K29</f>
        <v/>
      </c>
      <c r="D78" s="48" t="str">
        <f>'bloco 02'!L29</f>
        <v/>
      </c>
      <c r="E78" s="41" t="str">
        <f>IFERROR(('bloco 02'!M29),"")</f>
        <v/>
      </c>
      <c r="F78" s="49" t="str">
        <f>'bloco 02'!N29</f>
        <v/>
      </c>
    </row>
    <row r="79" ht="15.75" customHeight="1">
      <c r="A79" s="14" t="str">
        <f>'bloco 02'!$I30</f>
        <v/>
      </c>
      <c r="B79" s="48" t="str">
        <f>'bloco 02'!J30</f>
        <v/>
      </c>
      <c r="C79" s="48" t="str">
        <f>'bloco 02'!K30</f>
        <v/>
      </c>
      <c r="D79" s="48" t="str">
        <f>'bloco 02'!L30</f>
        <v/>
      </c>
      <c r="E79" s="41" t="str">
        <f>IFERROR(('bloco 02'!M30),"")</f>
        <v/>
      </c>
      <c r="F79" s="49" t="str">
        <f>'bloco 02'!N30</f>
        <v/>
      </c>
    </row>
    <row r="80" ht="15.75" customHeight="1">
      <c r="A80" s="30" t="s">
        <v>26</v>
      </c>
    </row>
    <row r="81" ht="15.75" customHeight="1">
      <c r="A81" s="33"/>
      <c r="B81" s="33" t="s">
        <v>10</v>
      </c>
      <c r="C81" s="37" t="s">
        <v>12</v>
      </c>
      <c r="D81" s="37" t="s">
        <v>13</v>
      </c>
      <c r="E81" s="37" t="s">
        <v>21</v>
      </c>
      <c r="F81" s="37" t="s">
        <v>15</v>
      </c>
    </row>
    <row r="82" ht="15.75" customHeight="1">
      <c r="A82" s="14" t="str">
        <f>'bloco 02'!$I36</f>
        <v/>
      </c>
      <c r="B82" s="48" t="str">
        <f>'bloco 02'!J36</f>
        <v/>
      </c>
      <c r="C82" s="48" t="str">
        <f>'bloco 02'!K36</f>
        <v/>
      </c>
      <c r="D82" s="48" t="str">
        <f>'bloco 02'!L36</f>
        <v/>
      </c>
      <c r="E82" s="41" t="str">
        <f>IFERROR(('bloco 02'!M36),"")</f>
        <v/>
      </c>
      <c r="F82" s="49" t="str">
        <f>'bloco 02'!N36</f>
        <v/>
      </c>
    </row>
    <row r="83" ht="15.75" customHeight="1">
      <c r="A83" s="14" t="str">
        <f>'bloco 02'!$I37</f>
        <v/>
      </c>
      <c r="B83" s="48" t="str">
        <f>'bloco 02'!J37</f>
        <v/>
      </c>
      <c r="C83" s="48" t="str">
        <f>'bloco 02'!K37</f>
        <v/>
      </c>
      <c r="D83" s="48" t="str">
        <f>'bloco 02'!L37</f>
        <v/>
      </c>
      <c r="E83" s="41" t="str">
        <f>IFERROR(('bloco 02'!M37),"")</f>
        <v/>
      </c>
      <c r="F83" s="49" t="str">
        <f>'bloco 02'!N37</f>
        <v/>
      </c>
    </row>
    <row r="84" ht="15.75" customHeight="1">
      <c r="A84" s="14" t="str">
        <f>'bloco 02'!$I38</f>
        <v/>
      </c>
      <c r="B84" s="48" t="str">
        <f>'bloco 02'!J38</f>
        <v/>
      </c>
      <c r="C84" s="48" t="str">
        <f>'bloco 02'!K38</f>
        <v/>
      </c>
      <c r="D84" s="48" t="str">
        <f>'bloco 02'!L38</f>
        <v/>
      </c>
      <c r="E84" s="41" t="str">
        <f>IFERROR(('bloco 02'!M38),"")</f>
        <v/>
      </c>
      <c r="F84" s="49" t="str">
        <f>'bloco 02'!N38</f>
        <v/>
      </c>
    </row>
    <row r="85" ht="15.75" customHeight="1">
      <c r="A85" s="14" t="str">
        <f>'bloco 02'!$I39</f>
        <v/>
      </c>
      <c r="B85" s="48" t="str">
        <f>'bloco 02'!J39</f>
        <v/>
      </c>
      <c r="C85" s="48" t="str">
        <f>'bloco 02'!K39</f>
        <v/>
      </c>
      <c r="D85" s="48" t="str">
        <f>'bloco 02'!L39</f>
        <v/>
      </c>
      <c r="E85" s="41" t="str">
        <f>IFERROR(('bloco 02'!M39),"")</f>
        <v/>
      </c>
      <c r="F85" s="49" t="str">
        <f>'bloco 02'!N39</f>
        <v/>
      </c>
    </row>
    <row r="86" ht="15.75" customHeight="1">
      <c r="A86" s="14" t="str">
        <f>'bloco 02'!$I40</f>
        <v/>
      </c>
      <c r="B86" s="48" t="str">
        <f>'bloco 02'!J40</f>
        <v/>
      </c>
      <c r="C86" s="48" t="str">
        <f>'bloco 02'!K40</f>
        <v/>
      </c>
      <c r="D86" s="48" t="str">
        <f>'bloco 02'!L40</f>
        <v/>
      </c>
      <c r="E86" s="41" t="str">
        <f>IFERROR(('bloco 02'!M40),"")</f>
        <v/>
      </c>
      <c r="F86" s="49" t="str">
        <f>'bloco 02'!N40</f>
        <v/>
      </c>
    </row>
    <row r="87" ht="15.75" customHeight="1">
      <c r="A87" s="14" t="str">
        <f>'bloco 02'!$I41</f>
        <v/>
      </c>
      <c r="B87" s="48" t="str">
        <f>'bloco 02'!J41</f>
        <v/>
      </c>
      <c r="C87" s="48" t="str">
        <f>'bloco 02'!K41</f>
        <v/>
      </c>
      <c r="D87" s="48" t="str">
        <f>'bloco 02'!L41</f>
        <v/>
      </c>
      <c r="E87" s="41" t="str">
        <f>IFERROR(('bloco 02'!M41),"")</f>
        <v/>
      </c>
      <c r="F87" s="49" t="str">
        <f>'bloco 02'!N41</f>
        <v/>
      </c>
    </row>
    <row r="88" ht="15.75" customHeight="1">
      <c r="A88" s="14" t="str">
        <f>'bloco 02'!$I42</f>
        <v/>
      </c>
      <c r="B88" s="48" t="str">
        <f>'bloco 02'!J42</f>
        <v/>
      </c>
      <c r="C88" s="48" t="str">
        <f>'bloco 02'!K42</f>
        <v/>
      </c>
      <c r="D88" s="48" t="str">
        <f>'bloco 02'!L42</f>
        <v/>
      </c>
      <c r="E88" s="41" t="str">
        <f>IFERROR(('bloco 02'!M42),"")</f>
        <v/>
      </c>
      <c r="F88" s="49" t="str">
        <f>'bloco 02'!N42</f>
        <v/>
      </c>
    </row>
    <row r="89" ht="15.75" customHeight="1">
      <c r="A89" s="14" t="str">
        <f>'bloco 02'!$I43</f>
        <v/>
      </c>
      <c r="B89" s="48" t="str">
        <f>'bloco 02'!J43</f>
        <v/>
      </c>
      <c r="C89" s="48" t="str">
        <f>'bloco 02'!K43</f>
        <v/>
      </c>
      <c r="D89" s="48" t="str">
        <f>'bloco 02'!L43</f>
        <v/>
      </c>
      <c r="E89" s="41" t="str">
        <f>IFERROR(('bloco 02'!M43),"")</f>
        <v/>
      </c>
      <c r="F89" s="49" t="str">
        <f>'bloco 02'!N43</f>
        <v/>
      </c>
    </row>
    <row r="90" ht="15.75" customHeight="1">
      <c r="A90" s="14" t="str">
        <f>'bloco 02'!$I44</f>
        <v/>
      </c>
      <c r="B90" s="48" t="str">
        <f>'bloco 02'!J44</f>
        <v/>
      </c>
      <c r="C90" s="48" t="str">
        <f>'bloco 02'!K44</f>
        <v/>
      </c>
      <c r="D90" s="48" t="str">
        <f>'bloco 02'!L44</f>
        <v/>
      </c>
      <c r="E90" s="41" t="str">
        <f>IFERROR(('bloco 02'!M44),"")</f>
        <v/>
      </c>
      <c r="F90" s="49" t="str">
        <f>'bloco 02'!N44</f>
        <v/>
      </c>
    </row>
    <row r="91" ht="15.75" customHeight="1">
      <c r="A91" s="14" t="str">
        <f>'bloco 02'!$I45</f>
        <v/>
      </c>
      <c r="B91" s="48" t="str">
        <f>'bloco 02'!J45</f>
        <v/>
      </c>
      <c r="C91" s="48" t="str">
        <f>'bloco 02'!K45</f>
        <v/>
      </c>
      <c r="D91" s="48" t="str">
        <f>'bloco 02'!L45</f>
        <v/>
      </c>
      <c r="E91" s="41" t="str">
        <f>IFERROR(('bloco 02'!M45),"")</f>
        <v/>
      </c>
      <c r="F91" s="49" t="str">
        <f>'bloco 02'!N45</f>
        <v/>
      </c>
    </row>
    <row r="92" ht="15.75" customHeight="1">
      <c r="A92" s="48"/>
    </row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>
      <c r="A109" s="45">
        <f>'bloco 02'!Q3</f>
        <v>46288</v>
      </c>
    </row>
    <row r="110" ht="15.75" customHeight="1">
      <c r="A110" s="46" t="s">
        <v>24</v>
      </c>
    </row>
    <row r="111" ht="15.75" customHeight="1">
      <c r="A111" s="30" t="s">
        <v>5</v>
      </c>
    </row>
    <row r="112" ht="15.75" customHeight="1">
      <c r="A112" s="33"/>
      <c r="B112" s="33" t="s">
        <v>10</v>
      </c>
      <c r="C112" s="37" t="s">
        <v>12</v>
      </c>
      <c r="D112" s="37" t="s">
        <v>13</v>
      </c>
      <c r="E112" s="37" t="s">
        <v>21</v>
      </c>
      <c r="F112" s="37" t="s">
        <v>15</v>
      </c>
    </row>
    <row r="113" ht="15.75" customHeight="1">
      <c r="A113" s="14" t="str">
        <f>'bloco 02'!$P6</f>
        <v/>
      </c>
      <c r="B113" s="48" t="str">
        <f>'bloco 02'!Q6</f>
        <v/>
      </c>
      <c r="C113" s="48" t="str">
        <f>'bloco 02'!R6</f>
        <v/>
      </c>
      <c r="D113" s="48" t="str">
        <f>'bloco 02'!S6</f>
        <v/>
      </c>
      <c r="E113" s="41" t="str">
        <f>IFERROR(('bloco 02'!T6),"")</f>
        <v/>
      </c>
      <c r="F113" s="49" t="str">
        <f>'bloco 02'!U6</f>
        <v/>
      </c>
    </row>
    <row r="114" ht="15.75" customHeight="1">
      <c r="A114" s="14" t="str">
        <f>'bloco 02'!$P7</f>
        <v/>
      </c>
      <c r="B114" s="48" t="str">
        <f>'bloco 02'!Q7</f>
        <v/>
      </c>
      <c r="C114" s="48" t="str">
        <f>'bloco 02'!R7</f>
        <v/>
      </c>
      <c r="D114" s="48" t="str">
        <f>'bloco 02'!S7</f>
        <v/>
      </c>
      <c r="E114" s="41" t="str">
        <f>IFERROR(('bloco 02'!T7),"")</f>
        <v/>
      </c>
      <c r="F114" s="49" t="str">
        <f>'bloco 02'!U7</f>
        <v/>
      </c>
    </row>
    <row r="115" ht="15.75" customHeight="1">
      <c r="A115" s="14" t="str">
        <f>'bloco 02'!$P8</f>
        <v/>
      </c>
      <c r="B115" s="48" t="str">
        <f>'bloco 02'!Q8</f>
        <v/>
      </c>
      <c r="C115" s="48" t="str">
        <f>'bloco 02'!R8</f>
        <v/>
      </c>
      <c r="D115" s="48" t="str">
        <f>'bloco 02'!S8</f>
        <v/>
      </c>
      <c r="E115" s="41" t="str">
        <f>IFERROR(('bloco 02'!T8),"")</f>
        <v/>
      </c>
      <c r="F115" s="49" t="str">
        <f>'bloco 02'!U8</f>
        <v/>
      </c>
    </row>
    <row r="116" ht="15.75" customHeight="1">
      <c r="A116" s="14" t="str">
        <f>'bloco 02'!$P9</f>
        <v/>
      </c>
      <c r="B116" s="48" t="str">
        <f>'bloco 02'!Q9</f>
        <v/>
      </c>
      <c r="C116" s="48" t="str">
        <f>'bloco 02'!R9</f>
        <v/>
      </c>
      <c r="D116" s="48" t="str">
        <f>'bloco 02'!S9</f>
        <v/>
      </c>
      <c r="E116" s="41" t="str">
        <f>IFERROR(('bloco 02'!T9),"")</f>
        <v/>
      </c>
      <c r="F116" s="49" t="str">
        <f>'bloco 02'!U9</f>
        <v/>
      </c>
    </row>
    <row r="117" ht="15.75" customHeight="1">
      <c r="A117" s="14" t="str">
        <f>'bloco 02'!$P10</f>
        <v/>
      </c>
      <c r="B117" s="48" t="str">
        <f>'bloco 02'!Q10</f>
        <v/>
      </c>
      <c r="C117" s="48" t="str">
        <f>'bloco 02'!R10</f>
        <v/>
      </c>
      <c r="D117" s="48" t="str">
        <f>'bloco 02'!S10</f>
        <v/>
      </c>
      <c r="E117" s="41" t="str">
        <f>IFERROR(('bloco 02'!T10),"")</f>
        <v/>
      </c>
      <c r="F117" s="49" t="str">
        <f>'bloco 02'!U10</f>
        <v/>
      </c>
    </row>
    <row r="118" ht="15.75" customHeight="1">
      <c r="A118" s="14" t="str">
        <f>'bloco 02'!$P11</f>
        <v/>
      </c>
      <c r="B118" s="48" t="str">
        <f>'bloco 02'!Q11</f>
        <v/>
      </c>
      <c r="C118" s="48" t="str">
        <f>'bloco 02'!R11</f>
        <v/>
      </c>
      <c r="D118" s="48" t="str">
        <f>'bloco 02'!S11</f>
        <v/>
      </c>
      <c r="E118" s="41" t="str">
        <f>IFERROR(('bloco 02'!T11),"")</f>
        <v/>
      </c>
      <c r="F118" s="49" t="str">
        <f>'bloco 02'!U11</f>
        <v/>
      </c>
    </row>
    <row r="119" ht="15.75" customHeight="1">
      <c r="A119" s="14" t="str">
        <f>'bloco 02'!$P12</f>
        <v/>
      </c>
      <c r="B119" s="48" t="str">
        <f>'bloco 02'!Q12</f>
        <v/>
      </c>
      <c r="C119" s="48" t="str">
        <f>'bloco 02'!R12</f>
        <v/>
      </c>
      <c r="D119" s="48" t="str">
        <f>'bloco 02'!S12</f>
        <v/>
      </c>
      <c r="E119" s="41" t="str">
        <f>IFERROR(('bloco 02'!T12),"")</f>
        <v/>
      </c>
      <c r="F119" s="49" t="str">
        <f>'bloco 02'!U12</f>
        <v/>
      </c>
    </row>
    <row r="120" ht="15.75" customHeight="1">
      <c r="A120" s="14" t="str">
        <f>'bloco 02'!$P13</f>
        <v/>
      </c>
      <c r="B120" s="48" t="str">
        <f>'bloco 02'!Q13</f>
        <v/>
      </c>
      <c r="C120" s="48" t="str">
        <f>'bloco 02'!R13</f>
        <v/>
      </c>
      <c r="D120" s="48" t="str">
        <f>'bloco 02'!S13</f>
        <v/>
      </c>
      <c r="E120" s="41" t="str">
        <f>IFERROR(('bloco 02'!T13),"")</f>
        <v/>
      </c>
      <c r="F120" s="49" t="str">
        <f>'bloco 02'!U13</f>
        <v/>
      </c>
    </row>
    <row r="121" ht="15.75" customHeight="1">
      <c r="A121" s="14" t="str">
        <f>'bloco 02'!$P14</f>
        <v/>
      </c>
      <c r="B121" s="48" t="str">
        <f>'bloco 02'!Q14</f>
        <v/>
      </c>
      <c r="C121" s="48" t="str">
        <f>'bloco 02'!R14</f>
        <v/>
      </c>
      <c r="D121" s="48" t="str">
        <f>'bloco 02'!S14</f>
        <v/>
      </c>
      <c r="E121" s="41" t="str">
        <f>IFERROR(('bloco 02'!T14),"")</f>
        <v/>
      </c>
      <c r="F121" s="49" t="str">
        <f>'bloco 02'!U14</f>
        <v/>
      </c>
    </row>
    <row r="122" ht="15.75" customHeight="1">
      <c r="A122" s="14" t="str">
        <f>'bloco 02'!$P15</f>
        <v/>
      </c>
      <c r="B122" s="48" t="str">
        <f>'bloco 02'!Q15</f>
        <v/>
      </c>
      <c r="C122" s="48" t="str">
        <f>'bloco 02'!R15</f>
        <v/>
      </c>
      <c r="D122" s="48" t="str">
        <f>'bloco 02'!S15</f>
        <v/>
      </c>
      <c r="E122" s="41" t="str">
        <f>IFERROR(('bloco 02'!T15),"")</f>
        <v/>
      </c>
      <c r="F122" s="49" t="str">
        <f>'bloco 02'!U15</f>
        <v/>
      </c>
    </row>
    <row r="123" ht="15.75" customHeight="1">
      <c r="A123" s="30" t="s">
        <v>22</v>
      </c>
    </row>
    <row r="124" ht="15.75" customHeight="1">
      <c r="A124" s="33"/>
      <c r="B124" s="33" t="s">
        <v>10</v>
      </c>
      <c r="C124" s="37" t="s">
        <v>12</v>
      </c>
      <c r="D124" s="37" t="s">
        <v>13</v>
      </c>
      <c r="E124" s="37" t="s">
        <v>21</v>
      </c>
      <c r="F124" s="37" t="s">
        <v>15</v>
      </c>
    </row>
    <row r="125" ht="15.75" customHeight="1">
      <c r="A125" s="14" t="str">
        <f>'bloco 02'!$P21</f>
        <v/>
      </c>
      <c r="B125" s="48" t="str">
        <f>'bloco 02'!Q21</f>
        <v/>
      </c>
      <c r="C125" s="48" t="str">
        <f>'bloco 02'!R21</f>
        <v/>
      </c>
      <c r="D125" s="48" t="str">
        <f>'bloco 02'!S21</f>
        <v/>
      </c>
      <c r="E125" s="41" t="str">
        <f>IFERROR(('bloco 02'!T21),"")</f>
        <v/>
      </c>
      <c r="F125" s="49" t="str">
        <f>'bloco 02'!U21</f>
        <v/>
      </c>
    </row>
    <row r="126" ht="15.75" customHeight="1">
      <c r="A126" s="14" t="str">
        <f>'bloco 02'!$P22</f>
        <v/>
      </c>
      <c r="B126" s="48" t="str">
        <f>'bloco 02'!Q22</f>
        <v/>
      </c>
      <c r="C126" s="48" t="str">
        <f>'bloco 02'!R22</f>
        <v/>
      </c>
      <c r="D126" s="48" t="str">
        <f>'bloco 02'!S22</f>
        <v/>
      </c>
      <c r="E126" s="41" t="str">
        <f>IFERROR(('bloco 02'!T22),"")</f>
        <v/>
      </c>
      <c r="F126" s="49" t="str">
        <f>'bloco 02'!U22</f>
        <v/>
      </c>
    </row>
    <row r="127" ht="15.75" customHeight="1">
      <c r="A127" s="14" t="str">
        <f>'bloco 02'!$P23</f>
        <v/>
      </c>
      <c r="B127" s="48" t="str">
        <f>'bloco 02'!Q23</f>
        <v/>
      </c>
      <c r="C127" s="48" t="str">
        <f>'bloco 02'!R23</f>
        <v/>
      </c>
      <c r="D127" s="48" t="str">
        <f>'bloco 02'!S23</f>
        <v/>
      </c>
      <c r="E127" s="41" t="str">
        <f>IFERROR(('bloco 02'!T23),"")</f>
        <v/>
      </c>
      <c r="F127" s="49" t="str">
        <f>'bloco 02'!U23</f>
        <v/>
      </c>
    </row>
    <row r="128" ht="15.75" customHeight="1">
      <c r="A128" s="14" t="str">
        <f>'bloco 02'!$P24</f>
        <v/>
      </c>
      <c r="B128" s="48" t="str">
        <f>'bloco 02'!Q24</f>
        <v/>
      </c>
      <c r="C128" s="48" t="str">
        <f>'bloco 02'!R24</f>
        <v/>
      </c>
      <c r="D128" s="48" t="str">
        <f>'bloco 02'!S24</f>
        <v/>
      </c>
      <c r="E128" s="41" t="str">
        <f>IFERROR(('bloco 02'!T24),"")</f>
        <v/>
      </c>
      <c r="F128" s="49" t="str">
        <f>'bloco 02'!U24</f>
        <v/>
      </c>
    </row>
    <row r="129" ht="15.75" customHeight="1">
      <c r="A129" s="14" t="str">
        <f>'bloco 02'!$P25</f>
        <v/>
      </c>
      <c r="B129" s="48" t="str">
        <f>'bloco 02'!Q25</f>
        <v/>
      </c>
      <c r="C129" s="48" t="str">
        <f>'bloco 02'!R25</f>
        <v/>
      </c>
      <c r="D129" s="48" t="str">
        <f>'bloco 02'!S25</f>
        <v/>
      </c>
      <c r="E129" s="41" t="str">
        <f>IFERROR(('bloco 02'!T25),"")</f>
        <v/>
      </c>
      <c r="F129" s="49" t="str">
        <f>'bloco 02'!U25</f>
        <v/>
      </c>
    </row>
    <row r="130" ht="15.75" customHeight="1">
      <c r="A130" s="14" t="str">
        <f>'bloco 02'!$P26</f>
        <v/>
      </c>
      <c r="B130" s="48" t="str">
        <f>'bloco 02'!Q26</f>
        <v/>
      </c>
      <c r="C130" s="48" t="str">
        <f>'bloco 02'!R26</f>
        <v/>
      </c>
      <c r="D130" s="48" t="str">
        <f>'bloco 02'!S26</f>
        <v/>
      </c>
      <c r="E130" s="41" t="str">
        <f>IFERROR(('bloco 02'!T26),"")</f>
        <v/>
      </c>
      <c r="F130" s="49" t="str">
        <f>'bloco 02'!U26</f>
        <v/>
      </c>
    </row>
    <row r="131" ht="15.75" customHeight="1">
      <c r="A131" s="14" t="str">
        <f>'bloco 02'!$P27</f>
        <v/>
      </c>
      <c r="B131" s="48" t="str">
        <f>'bloco 02'!Q27</f>
        <v/>
      </c>
      <c r="C131" s="48" t="str">
        <f>'bloco 02'!R27</f>
        <v/>
      </c>
      <c r="D131" s="48" t="str">
        <f>'bloco 02'!S27</f>
        <v/>
      </c>
      <c r="E131" s="41" t="str">
        <f>IFERROR(('bloco 02'!T27),"")</f>
        <v/>
      </c>
      <c r="F131" s="49" t="str">
        <f>'bloco 02'!U27</f>
        <v/>
      </c>
    </row>
    <row r="132" ht="15.75" customHeight="1">
      <c r="A132" s="14" t="str">
        <f>'bloco 02'!$P28</f>
        <v/>
      </c>
      <c r="B132" s="48" t="str">
        <f>'bloco 02'!Q28</f>
        <v/>
      </c>
      <c r="C132" s="48" t="str">
        <f>'bloco 02'!R28</f>
        <v/>
      </c>
      <c r="D132" s="48" t="str">
        <f>'bloco 02'!S28</f>
        <v/>
      </c>
      <c r="E132" s="41" t="str">
        <f>IFERROR(('bloco 02'!T28),"")</f>
        <v/>
      </c>
      <c r="F132" s="49" t="str">
        <f>'bloco 02'!U28</f>
        <v/>
      </c>
    </row>
    <row r="133" ht="15.75" customHeight="1">
      <c r="A133" s="14" t="str">
        <f>'bloco 02'!$P29</f>
        <v/>
      </c>
      <c r="B133" s="48" t="str">
        <f>'bloco 02'!Q29</f>
        <v/>
      </c>
      <c r="C133" s="48" t="str">
        <f>'bloco 02'!R29</f>
        <v/>
      </c>
      <c r="D133" s="48" t="str">
        <f>'bloco 02'!S29</f>
        <v/>
      </c>
      <c r="E133" s="41" t="str">
        <f>IFERROR(('bloco 02'!T29),"")</f>
        <v/>
      </c>
      <c r="F133" s="49" t="str">
        <f>'bloco 02'!U29</f>
        <v/>
      </c>
    </row>
    <row r="134" ht="15.75" customHeight="1">
      <c r="A134" s="14" t="str">
        <f>'bloco 02'!$P30</f>
        <v/>
      </c>
      <c r="B134" s="48" t="str">
        <f>'bloco 02'!Q30</f>
        <v/>
      </c>
      <c r="C134" s="48" t="str">
        <f>'bloco 02'!R30</f>
        <v/>
      </c>
      <c r="D134" s="48" t="str">
        <f>'bloco 02'!S30</f>
        <v/>
      </c>
      <c r="E134" s="41" t="str">
        <f>IFERROR(('bloco 02'!T30),"")</f>
        <v/>
      </c>
      <c r="F134" s="49" t="str">
        <f>'bloco 02'!U30</f>
        <v/>
      </c>
    </row>
    <row r="135" ht="15.75" customHeight="1">
      <c r="A135" s="30" t="s">
        <v>26</v>
      </c>
    </row>
    <row r="136" ht="15.75" customHeight="1">
      <c r="A136" s="33"/>
      <c r="B136" s="33" t="s">
        <v>10</v>
      </c>
      <c r="C136" s="37" t="s">
        <v>12</v>
      </c>
      <c r="D136" s="37" t="s">
        <v>13</v>
      </c>
      <c r="E136" s="37" t="s">
        <v>21</v>
      </c>
      <c r="F136" s="37" t="s">
        <v>15</v>
      </c>
    </row>
    <row r="137" ht="15.75" customHeight="1">
      <c r="A137" s="14" t="str">
        <f>'bloco 02'!$P36</f>
        <v/>
      </c>
      <c r="B137" s="48" t="str">
        <f>'bloco 02'!Q36</f>
        <v/>
      </c>
      <c r="C137" s="48" t="str">
        <f>'bloco 02'!R36</f>
        <v/>
      </c>
      <c r="D137" s="48" t="str">
        <f>'bloco 02'!S36</f>
        <v/>
      </c>
      <c r="E137" s="41" t="str">
        <f>IFERROR(('bloco 02'!T36),"")</f>
        <v/>
      </c>
      <c r="F137" s="49" t="str">
        <f>'bloco 02'!U36</f>
        <v/>
      </c>
    </row>
    <row r="138" ht="15.75" customHeight="1">
      <c r="A138" s="14" t="str">
        <f>'bloco 02'!$P37</f>
        <v/>
      </c>
      <c r="B138" s="48" t="str">
        <f>'bloco 02'!Q37</f>
        <v/>
      </c>
      <c r="C138" s="48" t="str">
        <f>'bloco 02'!R37</f>
        <v/>
      </c>
      <c r="D138" s="48" t="str">
        <f>'bloco 02'!S37</f>
        <v/>
      </c>
      <c r="E138" s="41" t="str">
        <f>IFERROR(('bloco 02'!T37),"")</f>
        <v/>
      </c>
      <c r="F138" s="49" t="str">
        <f>'bloco 02'!U37</f>
        <v/>
      </c>
    </row>
    <row r="139" ht="15.75" customHeight="1">
      <c r="A139" s="14" t="str">
        <f>'bloco 02'!$P38</f>
        <v/>
      </c>
      <c r="B139" s="48" t="str">
        <f>'bloco 02'!Q38</f>
        <v/>
      </c>
      <c r="C139" s="48" t="str">
        <f>'bloco 02'!R38</f>
        <v/>
      </c>
      <c r="D139" s="48" t="str">
        <f>'bloco 02'!S38</f>
        <v/>
      </c>
      <c r="E139" s="41" t="str">
        <f>IFERROR(('bloco 02'!T38),"")</f>
        <v/>
      </c>
      <c r="F139" s="49" t="str">
        <f>'bloco 02'!U38</f>
        <v/>
      </c>
    </row>
    <row r="140" ht="15.75" customHeight="1">
      <c r="A140" s="14" t="str">
        <f>'bloco 02'!$P39</f>
        <v/>
      </c>
      <c r="B140" s="48" t="str">
        <f>'bloco 02'!Q39</f>
        <v/>
      </c>
      <c r="C140" s="48" t="str">
        <f>'bloco 02'!R39</f>
        <v/>
      </c>
      <c r="D140" s="48" t="str">
        <f>'bloco 02'!S39</f>
        <v/>
      </c>
      <c r="E140" s="41" t="str">
        <f>IFERROR(('bloco 02'!T39),"")</f>
        <v/>
      </c>
      <c r="F140" s="49" t="str">
        <f>'bloco 02'!U39</f>
        <v/>
      </c>
    </row>
    <row r="141" ht="15.75" customHeight="1">
      <c r="A141" s="14" t="str">
        <f>'bloco 02'!$P40</f>
        <v/>
      </c>
      <c r="B141" s="48" t="str">
        <f>'bloco 02'!Q40</f>
        <v/>
      </c>
      <c r="C141" s="48" t="str">
        <f>'bloco 02'!R40</f>
        <v/>
      </c>
      <c r="D141" s="48" t="str">
        <f>'bloco 02'!S40</f>
        <v/>
      </c>
      <c r="E141" s="41" t="str">
        <f>IFERROR(('bloco 02'!T40),"")</f>
        <v/>
      </c>
      <c r="F141" s="49" t="str">
        <f>'bloco 02'!U40</f>
        <v/>
      </c>
    </row>
    <row r="142" ht="15.75" customHeight="1">
      <c r="A142" s="14" t="str">
        <f>'bloco 02'!$P41</f>
        <v/>
      </c>
      <c r="B142" s="48" t="str">
        <f>'bloco 02'!Q41</f>
        <v/>
      </c>
      <c r="C142" s="48" t="str">
        <f>'bloco 02'!R41</f>
        <v/>
      </c>
      <c r="D142" s="48" t="str">
        <f>'bloco 02'!S41</f>
        <v/>
      </c>
      <c r="E142" s="41" t="str">
        <f>IFERROR(('bloco 02'!T41),"")</f>
        <v/>
      </c>
      <c r="F142" s="49" t="str">
        <f>'bloco 02'!U41</f>
        <v/>
      </c>
    </row>
    <row r="143" ht="15.75" customHeight="1">
      <c r="A143" s="14" t="str">
        <f>'bloco 02'!$P42</f>
        <v/>
      </c>
      <c r="B143" s="48" t="str">
        <f>'bloco 02'!Q42</f>
        <v/>
      </c>
      <c r="C143" s="48" t="str">
        <f>'bloco 02'!R42</f>
        <v/>
      </c>
      <c r="D143" s="48" t="str">
        <f>'bloco 02'!S42</f>
        <v/>
      </c>
      <c r="E143" s="41" t="str">
        <f>IFERROR(('bloco 02'!T42),"")</f>
        <v/>
      </c>
      <c r="F143" s="49" t="str">
        <f>'bloco 02'!U42</f>
        <v/>
      </c>
    </row>
    <row r="144" ht="15.75" customHeight="1">
      <c r="A144" s="14" t="str">
        <f>'bloco 02'!$P43</f>
        <v/>
      </c>
      <c r="B144" s="48" t="str">
        <f>'bloco 02'!Q43</f>
        <v/>
      </c>
      <c r="C144" s="48" t="str">
        <f>'bloco 02'!R43</f>
        <v/>
      </c>
      <c r="D144" s="48" t="str">
        <f>'bloco 02'!S43</f>
        <v/>
      </c>
      <c r="E144" s="41" t="str">
        <f>IFERROR(('bloco 02'!T43),"")</f>
        <v/>
      </c>
      <c r="F144" s="49" t="str">
        <f>'bloco 02'!U43</f>
        <v/>
      </c>
    </row>
    <row r="145" ht="15.75" customHeight="1">
      <c r="A145" s="14" t="str">
        <f>'bloco 02'!$P44</f>
        <v/>
      </c>
      <c r="B145" s="48" t="str">
        <f>'bloco 02'!Q44</f>
        <v/>
      </c>
      <c r="C145" s="48" t="str">
        <f>'bloco 02'!R44</f>
        <v/>
      </c>
      <c r="D145" s="48" t="str">
        <f>'bloco 02'!S44</f>
        <v/>
      </c>
      <c r="E145" s="41" t="str">
        <f>IFERROR(('bloco 02'!T44),"")</f>
        <v/>
      </c>
      <c r="F145" s="49" t="str">
        <f>'bloco 02'!U44</f>
        <v/>
      </c>
    </row>
    <row r="146" ht="15.75" customHeight="1">
      <c r="A146" s="14" t="str">
        <f>'bloco 02'!$P45</f>
        <v/>
      </c>
      <c r="B146" s="48" t="str">
        <f>'bloco 02'!Q45</f>
        <v/>
      </c>
      <c r="C146" s="48" t="str">
        <f>'bloco 02'!R45</f>
        <v/>
      </c>
      <c r="D146" s="48" t="str">
        <f>'bloco 02'!S45</f>
        <v/>
      </c>
      <c r="E146" s="41" t="str">
        <f>IFERROR(('bloco 02'!T45),"")</f>
        <v/>
      </c>
      <c r="F146" s="49" t="str">
        <f>'bloco 02'!U45</f>
        <v/>
      </c>
    </row>
    <row r="147" ht="15.75" customHeight="1">
      <c r="A147" s="48"/>
    </row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>
      <c r="A164" s="45">
        <f>'bloco 02'!X3</f>
        <v>46295</v>
      </c>
    </row>
    <row r="165" ht="15.75" customHeight="1">
      <c r="A165" s="46" t="s">
        <v>25</v>
      </c>
    </row>
    <row r="166" ht="15.75" customHeight="1">
      <c r="A166" s="30" t="s">
        <v>5</v>
      </c>
    </row>
    <row r="167" ht="15.75" customHeight="1">
      <c r="A167" s="33"/>
      <c r="B167" s="33" t="s">
        <v>10</v>
      </c>
      <c r="C167" s="37" t="s">
        <v>12</v>
      </c>
      <c r="D167" s="37" t="s">
        <v>13</v>
      </c>
      <c r="E167" s="37" t="s">
        <v>21</v>
      </c>
      <c r="F167" s="37" t="s">
        <v>15</v>
      </c>
    </row>
    <row r="168" ht="15.75" customHeight="1">
      <c r="A168" s="14" t="str">
        <f>'bloco 02'!$W6</f>
        <v/>
      </c>
      <c r="B168" s="48" t="str">
        <f>'bloco 02'!X6</f>
        <v/>
      </c>
      <c r="C168" s="48" t="str">
        <f>'bloco 02'!Y6</f>
        <v/>
      </c>
      <c r="D168" s="48" t="str">
        <f>'bloco 02'!Z6</f>
        <v/>
      </c>
      <c r="E168" s="41" t="str">
        <f>IFERROR(('bloco 02'!AA6),"")</f>
        <v/>
      </c>
      <c r="F168" s="49" t="str">
        <f>'bloco 02'!AB6</f>
        <v/>
      </c>
    </row>
    <row r="169" ht="15.75" customHeight="1">
      <c r="A169" s="14" t="str">
        <f>'bloco 02'!$W7</f>
        <v/>
      </c>
      <c r="B169" s="48" t="str">
        <f>'bloco 02'!X7</f>
        <v/>
      </c>
      <c r="C169" s="48" t="str">
        <f>'bloco 02'!Y7</f>
        <v/>
      </c>
      <c r="D169" s="48" t="str">
        <f>'bloco 02'!Z7</f>
        <v/>
      </c>
      <c r="E169" s="41" t="str">
        <f>IFERROR(('bloco 02'!AA7),"")</f>
        <v/>
      </c>
      <c r="F169" s="49" t="str">
        <f>'bloco 02'!AB7</f>
        <v/>
      </c>
    </row>
    <row r="170" ht="15.75" customHeight="1">
      <c r="A170" s="14" t="str">
        <f>'bloco 02'!$W8</f>
        <v/>
      </c>
      <c r="B170" s="48" t="str">
        <f>'bloco 02'!X8</f>
        <v/>
      </c>
      <c r="C170" s="48" t="str">
        <f>'bloco 02'!Y8</f>
        <v/>
      </c>
      <c r="D170" s="48" t="str">
        <f>'bloco 02'!Z8</f>
        <v/>
      </c>
      <c r="E170" s="41" t="str">
        <f>IFERROR(('bloco 02'!AA8),"")</f>
        <v/>
      </c>
      <c r="F170" s="49" t="str">
        <f>'bloco 02'!AB8</f>
        <v/>
      </c>
    </row>
    <row r="171" ht="15.75" customHeight="1">
      <c r="A171" s="14" t="str">
        <f>'bloco 02'!$W9</f>
        <v/>
      </c>
      <c r="B171" s="48" t="str">
        <f>'bloco 02'!X9</f>
        <v/>
      </c>
      <c r="C171" s="48" t="str">
        <f>'bloco 02'!Y9</f>
        <v/>
      </c>
      <c r="D171" s="48" t="str">
        <f>'bloco 02'!Z9</f>
        <v/>
      </c>
      <c r="E171" s="41" t="str">
        <f>IFERROR(('bloco 02'!AA9),"")</f>
        <v/>
      </c>
      <c r="F171" s="49" t="str">
        <f>'bloco 02'!AB9</f>
        <v/>
      </c>
    </row>
    <row r="172" ht="15.75" customHeight="1">
      <c r="A172" s="14" t="str">
        <f>'bloco 02'!$W10</f>
        <v/>
      </c>
      <c r="B172" s="48" t="str">
        <f>'bloco 02'!X10</f>
        <v/>
      </c>
      <c r="C172" s="48" t="str">
        <f>'bloco 02'!Y10</f>
        <v/>
      </c>
      <c r="D172" s="48" t="str">
        <f>'bloco 02'!Z10</f>
        <v/>
      </c>
      <c r="E172" s="41" t="str">
        <f>IFERROR(('bloco 02'!AA10),"")</f>
        <v/>
      </c>
      <c r="F172" s="49" t="str">
        <f>'bloco 02'!AB10</f>
        <v/>
      </c>
    </row>
    <row r="173" ht="15.75" customHeight="1">
      <c r="A173" s="14" t="str">
        <f>'bloco 02'!$W11</f>
        <v/>
      </c>
      <c r="B173" s="48" t="str">
        <f>'bloco 02'!X11</f>
        <v/>
      </c>
      <c r="C173" s="48" t="str">
        <f>'bloco 02'!Y11</f>
        <v/>
      </c>
      <c r="D173" s="48" t="str">
        <f>'bloco 02'!Z11</f>
        <v/>
      </c>
      <c r="E173" s="41" t="str">
        <f>IFERROR(('bloco 02'!AA11),"")</f>
        <v/>
      </c>
      <c r="F173" s="49" t="str">
        <f>'bloco 02'!AB11</f>
        <v/>
      </c>
    </row>
    <row r="174" ht="15.75" customHeight="1">
      <c r="A174" s="14" t="str">
        <f>'bloco 02'!$W12</f>
        <v/>
      </c>
      <c r="B174" s="48" t="str">
        <f>'bloco 02'!X12</f>
        <v/>
      </c>
      <c r="C174" s="48" t="str">
        <f>'bloco 02'!Y12</f>
        <v/>
      </c>
      <c r="D174" s="48" t="str">
        <f>'bloco 02'!Z12</f>
        <v/>
      </c>
      <c r="E174" s="41" t="str">
        <f>IFERROR(('bloco 02'!AA12),"")</f>
        <v/>
      </c>
      <c r="F174" s="49" t="str">
        <f>'bloco 02'!AB12</f>
        <v/>
      </c>
    </row>
    <row r="175" ht="15.75" customHeight="1">
      <c r="A175" s="14" t="str">
        <f>'bloco 02'!$W13</f>
        <v/>
      </c>
      <c r="B175" s="48" t="str">
        <f>'bloco 02'!X13</f>
        <v/>
      </c>
      <c r="C175" s="48" t="str">
        <f>'bloco 02'!Y13</f>
        <v/>
      </c>
      <c r="D175" s="48" t="str">
        <f>'bloco 02'!Z13</f>
        <v/>
      </c>
      <c r="E175" s="41" t="str">
        <f>IFERROR(('bloco 02'!AA13),"")</f>
        <v/>
      </c>
      <c r="F175" s="49" t="str">
        <f>'bloco 02'!AB13</f>
        <v/>
      </c>
    </row>
    <row r="176" ht="15.75" customHeight="1">
      <c r="A176" s="14" t="str">
        <f>'bloco 02'!$W14</f>
        <v/>
      </c>
      <c r="B176" s="48" t="str">
        <f>'bloco 02'!X14</f>
        <v/>
      </c>
      <c r="C176" s="48" t="str">
        <f>'bloco 02'!Y14</f>
        <v/>
      </c>
      <c r="D176" s="48" t="str">
        <f>'bloco 02'!Z14</f>
        <v/>
      </c>
      <c r="E176" s="41" t="str">
        <f>IFERROR(('bloco 02'!AA14),"")</f>
        <v/>
      </c>
      <c r="F176" s="49" t="str">
        <f>'bloco 02'!AB14</f>
        <v/>
      </c>
    </row>
    <row r="177" ht="15.75" customHeight="1">
      <c r="A177" s="14" t="str">
        <f>'bloco 02'!$W15</f>
        <v/>
      </c>
      <c r="B177" s="48" t="str">
        <f>'bloco 02'!X15</f>
        <v/>
      </c>
      <c r="C177" s="48" t="str">
        <f>'bloco 02'!Y15</f>
        <v/>
      </c>
      <c r="D177" s="48" t="str">
        <f>'bloco 02'!Z15</f>
        <v/>
      </c>
      <c r="E177" s="41" t="str">
        <f>IFERROR(('bloco 02'!AA15),"")</f>
        <v/>
      </c>
      <c r="F177" s="49" t="str">
        <f>'bloco 02'!AB15</f>
        <v/>
      </c>
    </row>
    <row r="178" ht="15.75" customHeight="1">
      <c r="A178" s="30" t="s">
        <v>22</v>
      </c>
    </row>
    <row r="179" ht="15.75" customHeight="1">
      <c r="A179" s="33"/>
      <c r="B179" s="33" t="s">
        <v>10</v>
      </c>
      <c r="C179" s="37" t="s">
        <v>12</v>
      </c>
      <c r="D179" s="37" t="s">
        <v>13</v>
      </c>
      <c r="E179" s="37" t="s">
        <v>21</v>
      </c>
      <c r="F179" s="37" t="s">
        <v>15</v>
      </c>
    </row>
    <row r="180" ht="15.75" customHeight="1">
      <c r="A180" s="14" t="str">
        <f>'bloco 02'!$W21</f>
        <v/>
      </c>
      <c r="B180" s="48" t="str">
        <f>'bloco 02'!X21</f>
        <v/>
      </c>
      <c r="C180" s="48" t="str">
        <f>'bloco 02'!Y21</f>
        <v/>
      </c>
      <c r="D180" s="48" t="str">
        <f>'bloco 02'!Z21</f>
        <v/>
      </c>
      <c r="E180" s="41" t="str">
        <f>IFERROR(('bloco 02'!AA21),"")</f>
        <v/>
      </c>
      <c r="F180" s="49" t="str">
        <f>'bloco 02'!AB21</f>
        <v/>
      </c>
    </row>
    <row r="181" ht="15.75" customHeight="1">
      <c r="A181" s="14" t="str">
        <f>'bloco 02'!$W22</f>
        <v/>
      </c>
      <c r="B181" s="48" t="str">
        <f>'bloco 02'!X22</f>
        <v/>
      </c>
      <c r="C181" s="48" t="str">
        <f>'bloco 02'!Y22</f>
        <v/>
      </c>
      <c r="D181" s="48" t="str">
        <f>'bloco 02'!Z22</f>
        <v/>
      </c>
      <c r="E181" s="41" t="str">
        <f>IFERROR(('bloco 02'!AA22),"")</f>
        <v/>
      </c>
      <c r="F181" s="49" t="str">
        <f>'bloco 02'!AB22</f>
        <v/>
      </c>
    </row>
    <row r="182" ht="15.75" customHeight="1">
      <c r="A182" s="14" t="str">
        <f>'bloco 02'!$W23</f>
        <v/>
      </c>
      <c r="B182" s="48" t="str">
        <f>'bloco 02'!X23</f>
        <v/>
      </c>
      <c r="C182" s="48" t="str">
        <f>'bloco 02'!Y23</f>
        <v/>
      </c>
      <c r="D182" s="48" t="str">
        <f>'bloco 02'!Z23</f>
        <v/>
      </c>
      <c r="E182" s="41" t="str">
        <f>IFERROR(('bloco 02'!AA23),"")</f>
        <v/>
      </c>
      <c r="F182" s="49" t="str">
        <f>'bloco 02'!AB23</f>
        <v/>
      </c>
    </row>
    <row r="183" ht="15.75" customHeight="1">
      <c r="A183" s="14" t="str">
        <f>'bloco 02'!$W24</f>
        <v/>
      </c>
      <c r="B183" s="48" t="str">
        <f>'bloco 02'!X24</f>
        <v/>
      </c>
      <c r="C183" s="48" t="str">
        <f>'bloco 02'!Y24</f>
        <v/>
      </c>
      <c r="D183" s="48" t="str">
        <f>'bloco 02'!Z24</f>
        <v/>
      </c>
      <c r="E183" s="41" t="str">
        <f>IFERROR(('bloco 02'!AA24),"")</f>
        <v/>
      </c>
      <c r="F183" s="49" t="str">
        <f>'bloco 02'!AB24</f>
        <v/>
      </c>
    </row>
    <row r="184" ht="15.75" customHeight="1">
      <c r="A184" s="14" t="str">
        <f>'bloco 02'!$W25</f>
        <v/>
      </c>
      <c r="B184" s="48" t="str">
        <f>'bloco 02'!X25</f>
        <v/>
      </c>
      <c r="C184" s="48" t="str">
        <f>'bloco 02'!Y25</f>
        <v/>
      </c>
      <c r="D184" s="48" t="str">
        <f>'bloco 02'!Z25</f>
        <v/>
      </c>
      <c r="E184" s="41" t="str">
        <f>IFERROR(('bloco 02'!AA25),"")</f>
        <v/>
      </c>
      <c r="F184" s="49" t="str">
        <f>'bloco 02'!AB25</f>
        <v/>
      </c>
    </row>
    <row r="185" ht="15.75" customHeight="1">
      <c r="A185" s="14" t="str">
        <f>'bloco 02'!$W26</f>
        <v/>
      </c>
      <c r="B185" s="48" t="str">
        <f>'bloco 02'!X26</f>
        <v/>
      </c>
      <c r="C185" s="48" t="str">
        <f>'bloco 02'!Y26</f>
        <v/>
      </c>
      <c r="D185" s="48" t="str">
        <f>'bloco 02'!Z26</f>
        <v/>
      </c>
      <c r="E185" s="41" t="str">
        <f>IFERROR(('bloco 02'!AA26),"")</f>
        <v/>
      </c>
      <c r="F185" s="49" t="str">
        <f>'bloco 02'!AB26</f>
        <v/>
      </c>
    </row>
    <row r="186" ht="15.75" customHeight="1">
      <c r="A186" s="14" t="str">
        <f>'bloco 02'!$W27</f>
        <v/>
      </c>
      <c r="B186" s="48" t="str">
        <f>'bloco 02'!X27</f>
        <v/>
      </c>
      <c r="C186" s="48" t="str">
        <f>'bloco 02'!Y27</f>
        <v/>
      </c>
      <c r="D186" s="48" t="str">
        <f>'bloco 02'!Z27</f>
        <v/>
      </c>
      <c r="E186" s="41" t="str">
        <f>IFERROR(('bloco 02'!AA27),"")</f>
        <v/>
      </c>
      <c r="F186" s="49" t="str">
        <f>'bloco 02'!AB27</f>
        <v/>
      </c>
    </row>
    <row r="187" ht="15.75" customHeight="1">
      <c r="A187" s="14" t="str">
        <f>'bloco 02'!$W28</f>
        <v/>
      </c>
      <c r="B187" s="48" t="str">
        <f>'bloco 02'!X28</f>
        <v/>
      </c>
      <c r="C187" s="48" t="str">
        <f>'bloco 02'!Y28</f>
        <v/>
      </c>
      <c r="D187" s="48" t="str">
        <f>'bloco 02'!Z28</f>
        <v/>
      </c>
      <c r="E187" s="41" t="str">
        <f>IFERROR(('bloco 02'!AA28),"")</f>
        <v/>
      </c>
      <c r="F187" s="49" t="str">
        <f>'bloco 02'!AB28</f>
        <v/>
      </c>
    </row>
    <row r="188" ht="15.75" customHeight="1">
      <c r="A188" s="14" t="str">
        <f>'bloco 02'!$W29</f>
        <v/>
      </c>
      <c r="B188" s="48" t="str">
        <f>'bloco 02'!X29</f>
        <v/>
      </c>
      <c r="C188" s="48" t="str">
        <f>'bloco 02'!Y29</f>
        <v/>
      </c>
      <c r="D188" s="48" t="str">
        <f>'bloco 02'!Z29</f>
        <v/>
      </c>
      <c r="E188" s="41" t="str">
        <f>IFERROR(('bloco 02'!AA29),"")</f>
        <v/>
      </c>
      <c r="F188" s="49" t="str">
        <f>'bloco 02'!AB29</f>
        <v/>
      </c>
    </row>
    <row r="189" ht="15.75" customHeight="1">
      <c r="A189" s="14" t="str">
        <f>'bloco 02'!$W30</f>
        <v/>
      </c>
      <c r="B189" s="48" t="str">
        <f>'bloco 02'!X30</f>
        <v/>
      </c>
      <c r="C189" s="48" t="str">
        <f>'bloco 02'!Y30</f>
        <v/>
      </c>
      <c r="D189" s="48" t="str">
        <f>'bloco 02'!Z30</f>
        <v/>
      </c>
      <c r="E189" s="41" t="str">
        <f>IFERROR(('bloco 02'!AA30),"")</f>
        <v/>
      </c>
      <c r="F189" s="49" t="str">
        <f>'bloco 02'!AB30</f>
        <v/>
      </c>
    </row>
    <row r="190" ht="15.75" customHeight="1">
      <c r="A190" s="30" t="s">
        <v>26</v>
      </c>
    </row>
    <row r="191" ht="15.75" customHeight="1">
      <c r="A191" s="33"/>
      <c r="B191" s="33" t="s">
        <v>10</v>
      </c>
      <c r="C191" s="37" t="s">
        <v>12</v>
      </c>
      <c r="D191" s="37" t="s">
        <v>13</v>
      </c>
      <c r="E191" s="37" t="s">
        <v>21</v>
      </c>
      <c r="F191" s="37" t="s">
        <v>15</v>
      </c>
    </row>
    <row r="192" ht="15.75" customHeight="1">
      <c r="A192" s="14" t="str">
        <f>'bloco 02'!$W36</f>
        <v/>
      </c>
      <c r="B192" s="48" t="str">
        <f>'bloco 02'!X36</f>
        <v/>
      </c>
      <c r="C192" s="48" t="str">
        <f>'bloco 02'!Y36</f>
        <v/>
      </c>
      <c r="D192" s="48" t="str">
        <f>'bloco 02'!Z36</f>
        <v/>
      </c>
      <c r="E192" s="41" t="str">
        <f>IFERROR(('bloco 02'!AA36),"")</f>
        <v/>
      </c>
      <c r="F192" s="49" t="str">
        <f>'bloco 02'!AB36</f>
        <v/>
      </c>
    </row>
    <row r="193" ht="15.75" customHeight="1">
      <c r="A193" s="14" t="str">
        <f>'bloco 02'!$W37</f>
        <v/>
      </c>
      <c r="B193" s="48" t="str">
        <f>'bloco 02'!X37</f>
        <v/>
      </c>
      <c r="C193" s="48" t="str">
        <f>'bloco 02'!Y37</f>
        <v/>
      </c>
      <c r="D193" s="48" t="str">
        <f>'bloco 02'!Z37</f>
        <v/>
      </c>
      <c r="E193" s="41" t="str">
        <f>IFERROR(('bloco 02'!AA37),"")</f>
        <v/>
      </c>
      <c r="F193" s="49" t="str">
        <f>'bloco 02'!AB37</f>
        <v/>
      </c>
    </row>
    <row r="194" ht="15.75" customHeight="1">
      <c r="A194" s="14" t="str">
        <f>'bloco 02'!$W38</f>
        <v/>
      </c>
      <c r="B194" s="48" t="str">
        <f>'bloco 02'!X38</f>
        <v/>
      </c>
      <c r="C194" s="48" t="str">
        <f>'bloco 02'!Y38</f>
        <v/>
      </c>
      <c r="D194" s="48" t="str">
        <f>'bloco 02'!Z38</f>
        <v/>
      </c>
      <c r="E194" s="41" t="str">
        <f>IFERROR(('bloco 02'!AA38),"")</f>
        <v/>
      </c>
      <c r="F194" s="49" t="str">
        <f>'bloco 02'!AB38</f>
        <v/>
      </c>
    </row>
    <row r="195" ht="15.75" customHeight="1">
      <c r="A195" s="14" t="str">
        <f>'bloco 02'!$W39</f>
        <v/>
      </c>
      <c r="B195" s="48" t="str">
        <f>'bloco 02'!X39</f>
        <v/>
      </c>
      <c r="C195" s="48" t="str">
        <f>'bloco 02'!Y39</f>
        <v/>
      </c>
      <c r="D195" s="48" t="str">
        <f>'bloco 02'!Z39</f>
        <v/>
      </c>
      <c r="E195" s="41" t="str">
        <f>IFERROR(('bloco 02'!AA39),"")</f>
        <v/>
      </c>
      <c r="F195" s="49" t="str">
        <f>'bloco 02'!AB39</f>
        <v/>
      </c>
    </row>
    <row r="196" ht="15.75" customHeight="1">
      <c r="A196" s="14" t="str">
        <f>'bloco 02'!$W40</f>
        <v/>
      </c>
      <c r="B196" s="48" t="str">
        <f>'bloco 02'!X40</f>
        <v/>
      </c>
      <c r="C196" s="48" t="str">
        <f>'bloco 02'!Y40</f>
        <v/>
      </c>
      <c r="D196" s="48" t="str">
        <f>'bloco 02'!Z40</f>
        <v/>
      </c>
      <c r="E196" s="41" t="str">
        <f>IFERROR(('bloco 02'!AA40),"")</f>
        <v/>
      </c>
      <c r="F196" s="49" t="str">
        <f>'bloco 02'!AB40</f>
        <v/>
      </c>
    </row>
    <row r="197" ht="15.75" customHeight="1">
      <c r="A197" s="14" t="str">
        <f>'bloco 02'!$W41</f>
        <v/>
      </c>
      <c r="B197" s="48" t="str">
        <f>'bloco 02'!X41</f>
        <v/>
      </c>
      <c r="C197" s="48" t="str">
        <f>'bloco 02'!Y41</f>
        <v/>
      </c>
      <c r="D197" s="48" t="str">
        <f>'bloco 02'!Z41</f>
        <v/>
      </c>
      <c r="E197" s="41" t="str">
        <f>IFERROR(('bloco 02'!AA41),"")</f>
        <v/>
      </c>
      <c r="F197" s="49" t="str">
        <f>'bloco 02'!AB41</f>
        <v/>
      </c>
    </row>
    <row r="198" ht="15.75" customHeight="1">
      <c r="A198" s="14" t="str">
        <f>'bloco 02'!$W42</f>
        <v/>
      </c>
      <c r="B198" s="48" t="str">
        <f>'bloco 02'!X42</f>
        <v/>
      </c>
      <c r="C198" s="48" t="str">
        <f>'bloco 02'!Y42</f>
        <v/>
      </c>
      <c r="D198" s="48" t="str">
        <f>'bloco 02'!Z42</f>
        <v/>
      </c>
      <c r="E198" s="41" t="str">
        <f>IFERROR(('bloco 02'!AA42),"")</f>
        <v/>
      </c>
      <c r="F198" s="49" t="str">
        <f>'bloco 02'!AB42</f>
        <v/>
      </c>
    </row>
    <row r="199" ht="15.75" customHeight="1">
      <c r="A199" s="14" t="str">
        <f>'bloco 02'!$W43</f>
        <v/>
      </c>
      <c r="B199" s="48" t="str">
        <f>'bloco 02'!X43</f>
        <v/>
      </c>
      <c r="C199" s="48" t="str">
        <f>'bloco 02'!Y43</f>
        <v/>
      </c>
      <c r="D199" s="48" t="str">
        <f>'bloco 02'!Z43</f>
        <v/>
      </c>
      <c r="E199" s="41" t="str">
        <f>IFERROR(('bloco 02'!AA43),"")</f>
        <v/>
      </c>
      <c r="F199" s="49" t="str">
        <f>'bloco 02'!AB43</f>
        <v/>
      </c>
    </row>
    <row r="200" ht="15.75" customHeight="1">
      <c r="A200" s="14" t="str">
        <f>'bloco 02'!$W44</f>
        <v/>
      </c>
      <c r="B200" s="48" t="str">
        <f>'bloco 02'!X44</f>
        <v/>
      </c>
      <c r="C200" s="48" t="str">
        <f>'bloco 02'!Y44</f>
        <v/>
      </c>
      <c r="D200" s="48" t="str">
        <f>'bloco 02'!Z44</f>
        <v/>
      </c>
      <c r="E200" s="41" t="str">
        <f>IFERROR(('bloco 02'!AA44),"")</f>
        <v/>
      </c>
      <c r="F200" s="49" t="str">
        <f>'bloco 02'!AB44</f>
        <v/>
      </c>
    </row>
    <row r="201" ht="15.75" customHeight="1">
      <c r="A201" s="14" t="str">
        <f>'bloco 02'!$W45</f>
        <v/>
      </c>
      <c r="B201" s="48" t="str">
        <f>'bloco 02'!X45</f>
        <v/>
      </c>
      <c r="C201" s="48" t="str">
        <f>'bloco 02'!Y45</f>
        <v/>
      </c>
      <c r="D201" s="48" t="str">
        <f>'bloco 02'!Z45</f>
        <v/>
      </c>
      <c r="E201" s="41" t="str">
        <f>IFERROR(('bloco 02'!AA45),"")</f>
        <v/>
      </c>
      <c r="F201" s="49" t="str">
        <f>'bloco 02'!AB45</f>
        <v/>
      </c>
    </row>
    <row r="202" ht="15.75" customHeight="1">
      <c r="A202" s="48"/>
    </row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>
      <c r="A219" s="12"/>
      <c r="B219" s="12"/>
      <c r="C219" s="12"/>
      <c r="D219" s="12"/>
      <c r="E219" s="12"/>
      <c r="F219" s="12"/>
      <c r="G219" s="12"/>
    </row>
    <row r="220" ht="15.75" customHeight="1">
      <c r="A220" s="12"/>
      <c r="B220" s="12"/>
      <c r="C220" s="12"/>
      <c r="D220" s="12"/>
      <c r="E220" s="12"/>
      <c r="F220" s="12"/>
      <c r="G220" s="12"/>
    </row>
    <row r="221" ht="15.75" customHeight="1">
      <c r="A221" s="12"/>
      <c r="B221" s="12"/>
      <c r="C221" s="12"/>
      <c r="D221" s="12"/>
      <c r="E221" s="12"/>
      <c r="F221" s="12"/>
      <c r="G221" s="12"/>
    </row>
    <row r="222" ht="15.75" customHeight="1">
      <c r="A222" s="12"/>
      <c r="B222" s="12"/>
      <c r="C222" s="12"/>
      <c r="D222" s="12"/>
      <c r="E222" s="12"/>
      <c r="F222" s="12"/>
      <c r="G222" s="12"/>
    </row>
    <row r="223" ht="15.75" customHeight="1">
      <c r="A223" s="12"/>
      <c r="B223" s="12"/>
      <c r="C223" s="12"/>
      <c r="D223" s="12"/>
      <c r="E223" s="12"/>
      <c r="F223" s="12"/>
      <c r="G223" s="12"/>
    </row>
    <row r="224" ht="15.75" customHeight="1">
      <c r="A224" s="12"/>
      <c r="B224" s="12"/>
      <c r="C224" s="12"/>
      <c r="D224" s="12"/>
      <c r="E224" s="12"/>
      <c r="F224" s="12"/>
      <c r="G224" s="12"/>
    </row>
    <row r="225" ht="15.75" customHeight="1">
      <c r="A225" s="12"/>
      <c r="B225" s="12"/>
      <c r="C225" s="12"/>
      <c r="D225" s="12"/>
      <c r="E225" s="12"/>
      <c r="F225" s="12"/>
      <c r="G225" s="12"/>
    </row>
    <row r="226" ht="15.75" customHeight="1">
      <c r="A226" s="12"/>
      <c r="B226" s="12"/>
      <c r="C226" s="12"/>
      <c r="D226" s="12"/>
      <c r="E226" s="12"/>
      <c r="F226" s="12"/>
      <c r="G226" s="12"/>
    </row>
    <row r="227" ht="15.75" customHeight="1">
      <c r="A227" s="12"/>
      <c r="B227" s="12"/>
      <c r="C227" s="12"/>
      <c r="D227" s="12"/>
      <c r="E227" s="12"/>
      <c r="F227" s="12"/>
      <c r="G227" s="12"/>
    </row>
    <row r="228" ht="15.75" customHeight="1">
      <c r="A228" s="12"/>
      <c r="B228" s="12"/>
      <c r="C228" s="12"/>
      <c r="D228" s="12"/>
      <c r="E228" s="12"/>
      <c r="F228" s="12"/>
      <c r="G228" s="12"/>
    </row>
    <row r="229" ht="15.75" customHeight="1">
      <c r="A229" s="12"/>
      <c r="B229" s="12"/>
      <c r="C229" s="12"/>
      <c r="D229" s="12"/>
      <c r="E229" s="12"/>
      <c r="F229" s="12"/>
      <c r="G229" s="12"/>
    </row>
    <row r="230" ht="15.75" customHeight="1">
      <c r="A230" s="12"/>
      <c r="B230" s="12"/>
      <c r="C230" s="12"/>
      <c r="D230" s="12"/>
      <c r="E230" s="12"/>
      <c r="F230" s="12"/>
      <c r="G230" s="12"/>
    </row>
    <row r="231" ht="15.75" customHeight="1">
      <c r="A231" s="12"/>
      <c r="B231" s="12"/>
      <c r="C231" s="12"/>
      <c r="D231" s="12"/>
      <c r="E231" s="12"/>
      <c r="F231" s="12"/>
      <c r="G231" s="12"/>
    </row>
    <row r="232" ht="15.75" customHeight="1">
      <c r="A232" s="12"/>
      <c r="B232" s="12"/>
      <c r="C232" s="12"/>
      <c r="D232" s="12"/>
      <c r="E232" s="12"/>
      <c r="F232" s="12"/>
      <c r="G232" s="12"/>
    </row>
    <row r="233" ht="15.75" customHeight="1">
      <c r="A233" s="12"/>
      <c r="B233" s="12"/>
      <c r="C233" s="12"/>
      <c r="D233" s="12"/>
      <c r="E233" s="12"/>
      <c r="F233" s="12"/>
      <c r="G233" s="12"/>
    </row>
    <row r="234" ht="15.75" customHeight="1">
      <c r="A234" s="12"/>
      <c r="B234" s="12"/>
      <c r="C234" s="12"/>
      <c r="D234" s="12"/>
      <c r="E234" s="12"/>
      <c r="F234" s="12"/>
      <c r="G234" s="12"/>
    </row>
    <row r="235" ht="15.75" customHeight="1">
      <c r="A235" s="12"/>
      <c r="B235" s="12"/>
      <c r="C235" s="12"/>
      <c r="D235" s="12"/>
      <c r="E235" s="12"/>
      <c r="F235" s="12"/>
      <c r="G235" s="12"/>
    </row>
    <row r="236" ht="15.75" customHeight="1">
      <c r="A236" s="12"/>
      <c r="B236" s="12"/>
      <c r="C236" s="12"/>
      <c r="D236" s="12"/>
      <c r="E236" s="12"/>
      <c r="F236" s="12"/>
      <c r="G236" s="12"/>
    </row>
    <row r="237" ht="15.75" customHeight="1">
      <c r="A237" s="12"/>
      <c r="B237" s="12"/>
      <c r="C237" s="12"/>
      <c r="D237" s="12"/>
      <c r="E237" s="12"/>
      <c r="F237" s="12"/>
      <c r="G237" s="12"/>
    </row>
    <row r="238" ht="15.75" customHeight="1">
      <c r="A238" s="12"/>
      <c r="B238" s="12"/>
      <c r="C238" s="12"/>
      <c r="D238" s="12"/>
      <c r="E238" s="12"/>
      <c r="F238" s="12"/>
      <c r="G238" s="12"/>
    </row>
    <row r="239" ht="15.75" customHeight="1">
      <c r="A239" s="12"/>
      <c r="B239" s="12"/>
      <c r="C239" s="12"/>
      <c r="D239" s="12"/>
      <c r="E239" s="12"/>
      <c r="F239" s="12"/>
      <c r="G239" s="12"/>
    </row>
    <row r="240" ht="15.75" customHeight="1">
      <c r="A240" s="12"/>
      <c r="B240" s="12"/>
      <c r="C240" s="12"/>
      <c r="D240" s="12"/>
      <c r="E240" s="12"/>
      <c r="F240" s="12"/>
      <c r="G240" s="12"/>
    </row>
    <row r="241" ht="15.75" customHeight="1">
      <c r="A241" s="12"/>
      <c r="B241" s="12"/>
      <c r="C241" s="12"/>
      <c r="D241" s="12"/>
      <c r="E241" s="12"/>
      <c r="F241" s="12"/>
      <c r="G241" s="12"/>
    </row>
    <row r="242" ht="15.75" customHeight="1">
      <c r="A242" s="12"/>
      <c r="B242" s="12"/>
      <c r="C242" s="12"/>
      <c r="D242" s="12"/>
      <c r="E242" s="12"/>
      <c r="F242" s="12"/>
      <c r="G242" s="12"/>
    </row>
    <row r="243" ht="15.75" customHeight="1">
      <c r="A243" s="12"/>
      <c r="B243" s="12"/>
      <c r="C243" s="12"/>
      <c r="D243" s="12"/>
      <c r="E243" s="12"/>
      <c r="F243" s="12"/>
      <c r="G243" s="12"/>
    </row>
    <row r="244" ht="15.75" customHeight="1">
      <c r="A244" s="12"/>
      <c r="B244" s="12"/>
      <c r="C244" s="12"/>
      <c r="D244" s="12"/>
      <c r="E244" s="12"/>
      <c r="F244" s="12"/>
      <c r="G244" s="12"/>
    </row>
    <row r="245" ht="15.75" customHeight="1">
      <c r="A245" s="12"/>
      <c r="B245" s="12"/>
      <c r="C245" s="12"/>
      <c r="D245" s="12"/>
      <c r="E245" s="12"/>
      <c r="F245" s="12"/>
      <c r="G245" s="12"/>
    </row>
    <row r="246" ht="15.75" customHeight="1">
      <c r="A246" s="12"/>
      <c r="B246" s="12"/>
      <c r="C246" s="12"/>
      <c r="D246" s="12"/>
      <c r="E246" s="12"/>
      <c r="F246" s="12"/>
      <c r="G246" s="12"/>
    </row>
    <row r="247" ht="15.75" customHeight="1">
      <c r="A247" s="12"/>
      <c r="B247" s="12"/>
      <c r="C247" s="12"/>
      <c r="D247" s="12"/>
      <c r="E247" s="12"/>
      <c r="F247" s="12"/>
      <c r="G247" s="12"/>
    </row>
    <row r="248" ht="15.75" customHeight="1">
      <c r="A248" s="12"/>
      <c r="B248" s="12"/>
      <c r="C248" s="12"/>
      <c r="D248" s="12"/>
      <c r="E248" s="12"/>
      <c r="F248" s="12"/>
      <c r="G248" s="12"/>
    </row>
    <row r="249" ht="15.75" customHeight="1">
      <c r="A249" s="12"/>
      <c r="B249" s="12"/>
      <c r="C249" s="12"/>
      <c r="D249" s="12"/>
      <c r="E249" s="12"/>
      <c r="F249" s="12"/>
      <c r="G249" s="12"/>
    </row>
    <row r="250" ht="15.75" customHeight="1">
      <c r="A250" s="12"/>
      <c r="B250" s="12"/>
      <c r="C250" s="12"/>
      <c r="D250" s="12"/>
      <c r="E250" s="12"/>
      <c r="F250" s="12"/>
      <c r="G250" s="12"/>
    </row>
    <row r="251" ht="15.75" customHeight="1">
      <c r="A251" s="12"/>
      <c r="B251" s="12"/>
      <c r="C251" s="12"/>
      <c r="D251" s="12"/>
      <c r="E251" s="12"/>
      <c r="F251" s="12"/>
      <c r="G251" s="12"/>
    </row>
    <row r="252" ht="15.75" customHeight="1">
      <c r="A252" s="12"/>
      <c r="B252" s="12"/>
      <c r="C252" s="12"/>
      <c r="D252" s="12"/>
      <c r="E252" s="12"/>
      <c r="F252" s="12"/>
      <c r="G252" s="12"/>
    </row>
    <row r="253" ht="15.75" customHeight="1">
      <c r="A253" s="12"/>
      <c r="B253" s="12"/>
      <c r="C253" s="12"/>
      <c r="D253" s="12"/>
      <c r="E253" s="12"/>
      <c r="F253" s="12"/>
      <c r="G253" s="12"/>
    </row>
    <row r="254" ht="15.75" customHeight="1">
      <c r="A254" s="12"/>
      <c r="B254" s="12"/>
      <c r="C254" s="12"/>
      <c r="D254" s="12"/>
      <c r="E254" s="12"/>
      <c r="F254" s="12"/>
      <c r="G254" s="12"/>
    </row>
    <row r="255" ht="15.75" customHeight="1">
      <c r="A255" s="12"/>
      <c r="B255" s="12"/>
      <c r="C255" s="12"/>
      <c r="D255" s="12"/>
      <c r="E255" s="12"/>
      <c r="F255" s="12"/>
      <c r="G255" s="12"/>
    </row>
    <row r="256" ht="15.75" customHeight="1">
      <c r="A256" s="12"/>
      <c r="B256" s="12"/>
      <c r="C256" s="12"/>
      <c r="D256" s="12"/>
      <c r="E256" s="12"/>
      <c r="F256" s="12"/>
      <c r="G256" s="12"/>
    </row>
    <row r="257" ht="15.75" customHeight="1">
      <c r="A257" s="12"/>
      <c r="B257" s="12"/>
      <c r="C257" s="12"/>
      <c r="D257" s="12"/>
      <c r="E257" s="12"/>
      <c r="F257" s="12"/>
      <c r="G257" s="12"/>
    </row>
    <row r="258" ht="15.75" customHeight="1">
      <c r="A258" s="12"/>
      <c r="B258" s="12"/>
      <c r="C258" s="12"/>
      <c r="D258" s="12"/>
      <c r="E258" s="12"/>
      <c r="F258" s="12"/>
      <c r="G258" s="12"/>
    </row>
    <row r="259" ht="15.75" customHeight="1">
      <c r="A259" s="12"/>
      <c r="B259" s="12"/>
      <c r="C259" s="12"/>
      <c r="D259" s="12"/>
      <c r="E259" s="12"/>
      <c r="F259" s="12"/>
      <c r="G259" s="12"/>
    </row>
    <row r="260" ht="15.75" customHeight="1">
      <c r="A260" s="12"/>
      <c r="B260" s="12"/>
      <c r="C260" s="12"/>
      <c r="D260" s="12"/>
      <c r="E260" s="12"/>
      <c r="F260" s="12"/>
      <c r="G260" s="12"/>
    </row>
    <row r="261" ht="15.75" customHeight="1">
      <c r="A261" s="12"/>
      <c r="B261" s="12"/>
      <c r="C261" s="12"/>
      <c r="D261" s="12"/>
      <c r="E261" s="12"/>
      <c r="F261" s="12"/>
      <c r="G261" s="12"/>
    </row>
    <row r="262" ht="15.75" customHeight="1">
      <c r="A262" s="12"/>
      <c r="B262" s="12"/>
      <c r="C262" s="12"/>
      <c r="D262" s="12"/>
      <c r="E262" s="12"/>
      <c r="F262" s="12"/>
      <c r="G262" s="12"/>
    </row>
    <row r="263" ht="15.75" customHeight="1">
      <c r="A263" s="12"/>
      <c r="B263" s="12"/>
      <c r="C263" s="12"/>
      <c r="D263" s="12"/>
      <c r="E263" s="12"/>
      <c r="F263" s="12"/>
      <c r="G263" s="12"/>
    </row>
    <row r="264" ht="15.75" customHeight="1">
      <c r="A264" s="12"/>
      <c r="B264" s="12"/>
      <c r="C264" s="12"/>
      <c r="D264" s="12"/>
      <c r="E264" s="12"/>
      <c r="F264" s="12"/>
      <c r="G264" s="12"/>
    </row>
    <row r="265" ht="15.75" customHeight="1">
      <c r="A265" s="12"/>
      <c r="B265" s="12"/>
      <c r="C265" s="12"/>
      <c r="D265" s="12"/>
      <c r="E265" s="12"/>
      <c r="F265" s="12"/>
      <c r="G265" s="12"/>
    </row>
    <row r="266" ht="15.75" customHeight="1">
      <c r="A266" s="12"/>
      <c r="B266" s="12"/>
      <c r="C266" s="12"/>
      <c r="D266" s="12"/>
      <c r="E266" s="12"/>
      <c r="F266" s="12"/>
      <c r="G266" s="12"/>
    </row>
    <row r="267" ht="15.75" customHeight="1">
      <c r="A267" s="12"/>
      <c r="B267" s="12"/>
      <c r="C267" s="12"/>
      <c r="D267" s="12"/>
      <c r="E267" s="12"/>
      <c r="F267" s="12"/>
      <c r="G267" s="12"/>
    </row>
    <row r="268" ht="15.75" customHeight="1">
      <c r="A268" s="12"/>
      <c r="B268" s="12"/>
      <c r="C268" s="12"/>
      <c r="D268" s="12"/>
      <c r="E268" s="12"/>
      <c r="F268" s="12"/>
      <c r="G268" s="12"/>
    </row>
    <row r="269" ht="15.75" customHeight="1">
      <c r="A269" s="12"/>
      <c r="B269" s="12"/>
      <c r="C269" s="12"/>
      <c r="D269" s="12"/>
      <c r="E269" s="12"/>
      <c r="F269" s="12"/>
      <c r="G269" s="12"/>
    </row>
    <row r="270" ht="15.75" customHeight="1">
      <c r="A270" s="12"/>
      <c r="B270" s="12"/>
      <c r="C270" s="12"/>
      <c r="D270" s="12"/>
      <c r="E270" s="12"/>
      <c r="F270" s="12"/>
      <c r="G270" s="12"/>
    </row>
    <row r="271" ht="15.75" customHeight="1">
      <c r="A271" s="12"/>
      <c r="B271" s="12"/>
      <c r="C271" s="12"/>
      <c r="D271" s="12"/>
      <c r="E271" s="12"/>
      <c r="F271" s="12"/>
      <c r="G271" s="12"/>
    </row>
    <row r="272" ht="15.75" customHeight="1">
      <c r="A272" s="12"/>
      <c r="B272" s="12"/>
      <c r="C272" s="12"/>
      <c r="D272" s="12"/>
      <c r="E272" s="12"/>
      <c r="F272" s="12"/>
      <c r="G272" s="12"/>
    </row>
    <row r="273" ht="15.75" customHeight="1">
      <c r="A273" s="12"/>
      <c r="B273" s="12"/>
      <c r="C273" s="12"/>
      <c r="D273" s="12"/>
      <c r="E273" s="12"/>
      <c r="F273" s="12"/>
      <c r="G273" s="12"/>
    </row>
    <row r="274" ht="15.75" customHeight="1">
      <c r="A274" s="12"/>
      <c r="B274" s="12"/>
      <c r="C274" s="12"/>
      <c r="D274" s="12"/>
      <c r="E274" s="12"/>
      <c r="F274" s="12"/>
      <c r="G274" s="12"/>
    </row>
    <row r="275" ht="15.75" customHeight="1">
      <c r="A275" s="12"/>
      <c r="B275" s="12"/>
      <c r="C275" s="12"/>
      <c r="D275" s="12"/>
      <c r="E275" s="12"/>
      <c r="F275" s="12"/>
      <c r="G275" s="12"/>
    </row>
    <row r="276" ht="15.75" customHeight="1">
      <c r="A276" s="12"/>
      <c r="B276" s="12"/>
      <c r="C276" s="12"/>
      <c r="D276" s="12"/>
      <c r="E276" s="12"/>
      <c r="F276" s="12"/>
      <c r="G276" s="12"/>
    </row>
    <row r="277" ht="15.75" customHeight="1">
      <c r="A277" s="12"/>
      <c r="B277" s="12"/>
      <c r="C277" s="12"/>
      <c r="D277" s="12"/>
      <c r="E277" s="12"/>
      <c r="F277" s="12"/>
      <c r="G277" s="12"/>
    </row>
    <row r="278" ht="15.75" customHeight="1">
      <c r="A278" s="12"/>
      <c r="B278" s="12"/>
      <c r="C278" s="12"/>
      <c r="D278" s="12"/>
      <c r="E278" s="12"/>
      <c r="F278" s="12"/>
      <c r="G278" s="12"/>
    </row>
    <row r="279" ht="15.75" customHeight="1">
      <c r="A279" s="12"/>
      <c r="B279" s="12"/>
      <c r="C279" s="12"/>
      <c r="D279" s="12"/>
      <c r="E279" s="12"/>
      <c r="F279" s="12"/>
      <c r="G279" s="12"/>
    </row>
    <row r="280" ht="15.75" customHeight="1">
      <c r="A280" s="12"/>
      <c r="B280" s="12"/>
      <c r="C280" s="12"/>
      <c r="D280" s="12"/>
      <c r="E280" s="12"/>
      <c r="F280" s="12"/>
      <c r="G280" s="12"/>
    </row>
    <row r="281" ht="15.75" customHeight="1">
      <c r="A281" s="12"/>
      <c r="B281" s="12"/>
      <c r="C281" s="12"/>
      <c r="D281" s="12"/>
      <c r="E281" s="12"/>
      <c r="F281" s="12"/>
      <c r="G281" s="12"/>
    </row>
    <row r="282" ht="15.75" customHeight="1">
      <c r="A282" s="12"/>
      <c r="B282" s="12"/>
      <c r="C282" s="12"/>
      <c r="D282" s="12"/>
      <c r="E282" s="12"/>
      <c r="F282" s="12"/>
      <c r="G282" s="12"/>
    </row>
    <row r="283" ht="15.75" customHeight="1">
      <c r="A283" s="12"/>
      <c r="B283" s="12"/>
      <c r="C283" s="12"/>
      <c r="D283" s="12"/>
      <c r="E283" s="12"/>
      <c r="F283" s="12"/>
      <c r="G283" s="12"/>
    </row>
    <row r="284" ht="15.75" customHeight="1">
      <c r="A284" s="12"/>
      <c r="B284" s="12"/>
      <c r="C284" s="12"/>
      <c r="D284" s="12"/>
      <c r="E284" s="12"/>
      <c r="F284" s="12"/>
      <c r="G284" s="12"/>
    </row>
    <row r="285" ht="15.75" customHeight="1">
      <c r="A285" s="12"/>
      <c r="B285" s="12"/>
      <c r="C285" s="12"/>
      <c r="D285" s="12"/>
      <c r="E285" s="12"/>
      <c r="F285" s="12"/>
      <c r="G285" s="12"/>
    </row>
    <row r="286" ht="15.75" customHeight="1">
      <c r="A286" s="12"/>
      <c r="B286" s="12"/>
      <c r="C286" s="12"/>
      <c r="D286" s="12"/>
      <c r="E286" s="12"/>
      <c r="F286" s="12"/>
      <c r="G286" s="12"/>
    </row>
    <row r="287" ht="15.75" customHeight="1">
      <c r="A287" s="12"/>
      <c r="B287" s="12"/>
      <c r="C287" s="12"/>
      <c r="D287" s="12"/>
      <c r="E287" s="12"/>
      <c r="F287" s="12"/>
      <c r="G287" s="12"/>
    </row>
    <row r="288" ht="15.75" customHeight="1">
      <c r="A288" s="12"/>
      <c r="B288" s="12"/>
      <c r="C288" s="12"/>
      <c r="D288" s="12"/>
      <c r="E288" s="12"/>
      <c r="F288" s="12"/>
      <c r="G288" s="12"/>
    </row>
    <row r="289" ht="15.75" customHeight="1">
      <c r="A289" s="12"/>
      <c r="B289" s="12"/>
      <c r="C289" s="12"/>
      <c r="D289" s="12"/>
      <c r="E289" s="12"/>
      <c r="F289" s="12"/>
      <c r="G289" s="12"/>
    </row>
    <row r="290" ht="15.75" customHeight="1">
      <c r="A290" s="12"/>
      <c r="B290" s="12"/>
      <c r="C290" s="12"/>
      <c r="D290" s="12"/>
      <c r="E290" s="12"/>
      <c r="F290" s="12"/>
      <c r="G290" s="12"/>
    </row>
    <row r="291" ht="15.75" customHeight="1">
      <c r="A291" s="12"/>
      <c r="B291" s="12"/>
      <c r="C291" s="12"/>
      <c r="D291" s="12"/>
      <c r="E291" s="12"/>
      <c r="F291" s="12"/>
      <c r="G291" s="12"/>
    </row>
    <row r="292" ht="15.75" customHeight="1">
      <c r="A292" s="12"/>
      <c r="B292" s="12"/>
      <c r="C292" s="12"/>
      <c r="D292" s="12"/>
      <c r="E292" s="12"/>
      <c r="F292" s="12"/>
      <c r="G292" s="12"/>
    </row>
    <row r="293" ht="15.75" customHeight="1">
      <c r="A293" s="12"/>
      <c r="B293" s="12"/>
      <c r="C293" s="12"/>
      <c r="D293" s="12"/>
      <c r="E293" s="12"/>
      <c r="F293" s="12"/>
      <c r="G293" s="12"/>
    </row>
    <row r="294" ht="15.75" customHeight="1">
      <c r="A294" s="12"/>
      <c r="B294" s="12"/>
      <c r="C294" s="12"/>
      <c r="D294" s="12"/>
      <c r="E294" s="12"/>
      <c r="F294" s="12"/>
      <c r="G294" s="12"/>
    </row>
    <row r="295" ht="15.75" customHeight="1">
      <c r="A295" s="12"/>
      <c r="B295" s="12"/>
      <c r="C295" s="12"/>
      <c r="D295" s="12"/>
      <c r="E295" s="12"/>
      <c r="F295" s="12"/>
      <c r="G295" s="12"/>
    </row>
    <row r="296" ht="15.75" customHeight="1">
      <c r="A296" s="12"/>
      <c r="B296" s="12"/>
      <c r="C296" s="12"/>
      <c r="D296" s="12"/>
      <c r="E296" s="12"/>
      <c r="F296" s="12"/>
      <c r="G296" s="12"/>
    </row>
    <row r="297" ht="15.75" customHeight="1">
      <c r="A297" s="12"/>
      <c r="B297" s="12"/>
      <c r="C297" s="12"/>
      <c r="D297" s="12"/>
      <c r="E297" s="12"/>
      <c r="F297" s="12"/>
      <c r="G297" s="12"/>
    </row>
    <row r="298" ht="15.75" customHeight="1">
      <c r="A298" s="12"/>
      <c r="B298" s="12"/>
      <c r="C298" s="12"/>
      <c r="D298" s="12"/>
      <c r="E298" s="12"/>
      <c r="F298" s="12"/>
      <c r="G298" s="12"/>
    </row>
    <row r="299" ht="15.75" customHeight="1">
      <c r="A299" s="12"/>
      <c r="B299" s="12"/>
      <c r="C299" s="12"/>
      <c r="D299" s="12"/>
      <c r="E299" s="12"/>
      <c r="F299" s="12"/>
      <c r="G299" s="12"/>
    </row>
    <row r="300" ht="15.75" customHeight="1">
      <c r="A300" s="12"/>
      <c r="B300" s="12"/>
      <c r="C300" s="12"/>
      <c r="D300" s="12"/>
      <c r="E300" s="12"/>
      <c r="F300" s="12"/>
      <c r="G300" s="12"/>
    </row>
    <row r="301" ht="15.75" customHeight="1">
      <c r="A301" s="12"/>
      <c r="B301" s="12"/>
      <c r="C301" s="12"/>
      <c r="D301" s="12"/>
      <c r="E301" s="12"/>
      <c r="F301" s="12"/>
      <c r="G301" s="12"/>
    </row>
    <row r="302" ht="15.75" customHeight="1">
      <c r="A302" s="12"/>
      <c r="B302" s="12"/>
      <c r="C302" s="12"/>
      <c r="D302" s="12"/>
      <c r="E302" s="12"/>
      <c r="F302" s="12"/>
      <c r="G302" s="12"/>
    </row>
    <row r="303" ht="15.75" customHeight="1">
      <c r="A303" s="12"/>
      <c r="B303" s="12"/>
      <c r="C303" s="12"/>
      <c r="D303" s="12"/>
      <c r="E303" s="12"/>
      <c r="F303" s="12"/>
      <c r="G303" s="12"/>
    </row>
    <row r="304" ht="15.75" customHeight="1">
      <c r="A304" s="12"/>
      <c r="B304" s="12"/>
      <c r="C304" s="12"/>
      <c r="D304" s="12"/>
      <c r="E304" s="12"/>
      <c r="F304" s="12"/>
      <c r="G304" s="12"/>
    </row>
    <row r="305" ht="15.75" customHeight="1">
      <c r="A305" s="12"/>
      <c r="B305" s="12"/>
      <c r="C305" s="12"/>
      <c r="D305" s="12"/>
      <c r="E305" s="12"/>
      <c r="F305" s="12"/>
      <c r="G305" s="12"/>
    </row>
    <row r="306" ht="15.75" customHeight="1">
      <c r="A306" s="12"/>
      <c r="B306" s="12"/>
      <c r="C306" s="12"/>
      <c r="D306" s="12"/>
      <c r="E306" s="12"/>
      <c r="F306" s="12"/>
      <c r="G306" s="12"/>
    </row>
    <row r="307" ht="15.75" customHeight="1">
      <c r="A307" s="12"/>
      <c r="B307" s="12"/>
      <c r="C307" s="12"/>
      <c r="D307" s="12"/>
      <c r="E307" s="12"/>
      <c r="F307" s="12"/>
      <c r="G307" s="12"/>
    </row>
    <row r="308" ht="15.75" customHeight="1">
      <c r="A308" s="12"/>
      <c r="B308" s="12"/>
      <c r="C308" s="12"/>
      <c r="D308" s="12"/>
      <c r="E308" s="12"/>
      <c r="F308" s="12"/>
      <c r="G308" s="12"/>
    </row>
    <row r="309" ht="15.75" customHeight="1">
      <c r="A309" s="12"/>
      <c r="B309" s="12"/>
      <c r="C309" s="12"/>
      <c r="D309" s="12"/>
      <c r="E309" s="12"/>
      <c r="F309" s="12"/>
      <c r="G309" s="12"/>
    </row>
    <row r="310" ht="15.75" customHeight="1">
      <c r="A310" s="12"/>
      <c r="B310" s="12"/>
      <c r="C310" s="12"/>
      <c r="D310" s="12"/>
      <c r="E310" s="12"/>
      <c r="F310" s="12"/>
      <c r="G310" s="12"/>
    </row>
    <row r="311" ht="15.75" customHeight="1">
      <c r="A311" s="12"/>
      <c r="B311" s="12"/>
      <c r="C311" s="12"/>
      <c r="D311" s="12"/>
      <c r="E311" s="12"/>
      <c r="F311" s="12"/>
      <c r="G311" s="12"/>
    </row>
    <row r="312" ht="15.75" customHeight="1">
      <c r="A312" s="12"/>
      <c r="B312" s="12"/>
      <c r="C312" s="12"/>
      <c r="D312" s="12"/>
      <c r="E312" s="12"/>
      <c r="F312" s="12"/>
      <c r="G312" s="12"/>
    </row>
    <row r="313" ht="15.75" customHeight="1">
      <c r="A313" s="12"/>
      <c r="B313" s="12"/>
      <c r="C313" s="12"/>
      <c r="D313" s="12"/>
      <c r="E313" s="12"/>
      <c r="F313" s="12"/>
      <c r="G313" s="12"/>
    </row>
    <row r="314" ht="15.75" customHeight="1">
      <c r="A314" s="12"/>
      <c r="B314" s="12"/>
      <c r="C314" s="12"/>
      <c r="D314" s="12"/>
      <c r="E314" s="12"/>
      <c r="F314" s="12"/>
      <c r="G314" s="12"/>
    </row>
    <row r="315" ht="15.75" customHeight="1">
      <c r="A315" s="12"/>
      <c r="B315" s="12"/>
      <c r="C315" s="12"/>
      <c r="D315" s="12"/>
      <c r="E315" s="12"/>
      <c r="F315" s="12"/>
      <c r="G315" s="12"/>
    </row>
    <row r="316" ht="15.75" customHeight="1">
      <c r="A316" s="12"/>
      <c r="B316" s="12"/>
      <c r="C316" s="12"/>
      <c r="D316" s="12"/>
      <c r="E316" s="12"/>
      <c r="F316" s="12"/>
      <c r="G316" s="12"/>
    </row>
    <row r="317" ht="15.75" customHeight="1">
      <c r="A317" s="12"/>
      <c r="B317" s="12"/>
      <c r="C317" s="12"/>
      <c r="D317" s="12"/>
      <c r="E317" s="12"/>
      <c r="F317" s="12"/>
      <c r="G317" s="12"/>
    </row>
    <row r="318" ht="15.75" customHeight="1">
      <c r="A318" s="12"/>
      <c r="B318" s="12"/>
      <c r="C318" s="12"/>
      <c r="D318" s="12"/>
      <c r="E318" s="12"/>
      <c r="F318" s="12"/>
      <c r="G318" s="12"/>
    </row>
    <row r="319" ht="15.75" customHeight="1">
      <c r="A319" s="12"/>
      <c r="B319" s="12"/>
      <c r="C319" s="12"/>
      <c r="D319" s="12"/>
      <c r="E319" s="12"/>
      <c r="F319" s="12"/>
      <c r="G319" s="12"/>
    </row>
    <row r="320" ht="15.75" customHeight="1">
      <c r="A320" s="12"/>
      <c r="B320" s="12"/>
      <c r="C320" s="12"/>
      <c r="D320" s="12"/>
      <c r="E320" s="12"/>
      <c r="F320" s="12"/>
      <c r="G320" s="12"/>
    </row>
    <row r="321" ht="15.75" customHeight="1">
      <c r="A321" s="12"/>
      <c r="B321" s="12"/>
      <c r="C321" s="12"/>
      <c r="D321" s="12"/>
      <c r="E321" s="12"/>
      <c r="F321" s="12"/>
      <c r="G321" s="12"/>
    </row>
    <row r="322" ht="15.75" customHeight="1">
      <c r="A322" s="12"/>
      <c r="B322" s="12"/>
      <c r="C322" s="12"/>
      <c r="D322" s="12"/>
      <c r="E322" s="12"/>
      <c r="F322" s="12"/>
      <c r="G322" s="12"/>
    </row>
    <row r="323" ht="15.75" customHeight="1">
      <c r="A323" s="12"/>
      <c r="B323" s="12"/>
      <c r="C323" s="12"/>
      <c r="D323" s="12"/>
      <c r="E323" s="12"/>
      <c r="F323" s="12"/>
      <c r="G323" s="12"/>
    </row>
    <row r="324" ht="15.75" customHeight="1">
      <c r="A324" s="12"/>
      <c r="B324" s="12"/>
      <c r="C324" s="12"/>
      <c r="D324" s="12"/>
      <c r="E324" s="12"/>
      <c r="F324" s="12"/>
      <c r="G324" s="12"/>
    </row>
    <row r="325" ht="15.75" customHeight="1">
      <c r="A325" s="12"/>
      <c r="B325" s="12"/>
      <c r="C325" s="12"/>
      <c r="D325" s="12"/>
      <c r="E325" s="12"/>
      <c r="F325" s="12"/>
      <c r="G325" s="12"/>
    </row>
    <row r="326" ht="15.75" customHeight="1">
      <c r="A326" s="12"/>
      <c r="B326" s="12"/>
      <c r="C326" s="12"/>
      <c r="D326" s="12"/>
      <c r="E326" s="12"/>
      <c r="F326" s="12"/>
      <c r="G326" s="12"/>
    </row>
    <row r="327" ht="15.75" customHeight="1">
      <c r="A327" s="12"/>
      <c r="B327" s="12"/>
      <c r="C327" s="12"/>
      <c r="D327" s="12"/>
      <c r="E327" s="12"/>
      <c r="F327" s="12"/>
      <c r="G327" s="12"/>
    </row>
    <row r="328" ht="15.75" customHeight="1">
      <c r="A328" s="12"/>
      <c r="B328" s="12"/>
      <c r="C328" s="12"/>
      <c r="D328" s="12"/>
      <c r="E328" s="12"/>
      <c r="F328" s="12"/>
      <c r="G328" s="12"/>
    </row>
    <row r="329" ht="15.75" customHeight="1">
      <c r="A329" s="12"/>
      <c r="B329" s="12"/>
      <c r="C329" s="12"/>
      <c r="D329" s="12"/>
      <c r="E329" s="12"/>
      <c r="F329" s="12"/>
      <c r="G329" s="12"/>
    </row>
    <row r="330" ht="15.75" customHeight="1">
      <c r="A330" s="12"/>
      <c r="B330" s="12"/>
      <c r="C330" s="12"/>
      <c r="D330" s="12"/>
      <c r="E330" s="12"/>
      <c r="F330" s="12"/>
      <c r="G330" s="12"/>
    </row>
    <row r="331" ht="15.75" customHeight="1">
      <c r="A331" s="12"/>
      <c r="B331" s="12"/>
      <c r="C331" s="12"/>
      <c r="D331" s="12"/>
      <c r="E331" s="12"/>
      <c r="F331" s="12"/>
      <c r="G331" s="12"/>
    </row>
    <row r="332" ht="15.75" customHeight="1">
      <c r="A332" s="12"/>
      <c r="B332" s="12"/>
      <c r="C332" s="12"/>
      <c r="D332" s="12"/>
      <c r="E332" s="12"/>
      <c r="F332" s="12"/>
      <c r="G332" s="12"/>
    </row>
    <row r="333" ht="15.75" customHeight="1">
      <c r="A333" s="12"/>
      <c r="B333" s="12"/>
      <c r="C333" s="12"/>
      <c r="D333" s="12"/>
      <c r="E333" s="12"/>
      <c r="F333" s="12"/>
      <c r="G333" s="12"/>
    </row>
    <row r="334" ht="15.75" customHeight="1">
      <c r="A334" s="12"/>
      <c r="B334" s="12"/>
      <c r="C334" s="12"/>
      <c r="D334" s="12"/>
      <c r="E334" s="12"/>
      <c r="F334" s="12"/>
      <c r="G334" s="12"/>
    </row>
    <row r="335" ht="15.75" customHeight="1">
      <c r="A335" s="12"/>
      <c r="B335" s="12"/>
      <c r="C335" s="12"/>
      <c r="D335" s="12"/>
      <c r="E335" s="12"/>
      <c r="F335" s="12"/>
      <c r="G335" s="12"/>
    </row>
    <row r="336" ht="15.75" customHeight="1">
      <c r="A336" s="12"/>
      <c r="B336" s="12"/>
      <c r="C336" s="12"/>
      <c r="D336" s="12"/>
      <c r="E336" s="12"/>
      <c r="F336" s="12"/>
      <c r="G336" s="12"/>
    </row>
    <row r="337" ht="15.75" customHeight="1">
      <c r="A337" s="12"/>
      <c r="B337" s="12"/>
      <c r="C337" s="12"/>
      <c r="D337" s="12"/>
      <c r="E337" s="12"/>
      <c r="F337" s="12"/>
      <c r="G337" s="12"/>
    </row>
    <row r="338" ht="15.75" customHeight="1">
      <c r="A338" s="12"/>
      <c r="B338" s="12"/>
      <c r="C338" s="12"/>
      <c r="D338" s="12"/>
      <c r="E338" s="12"/>
      <c r="F338" s="12"/>
      <c r="G338" s="12"/>
    </row>
    <row r="339" ht="15.75" customHeight="1">
      <c r="A339" s="12"/>
      <c r="B339" s="12"/>
      <c r="C339" s="12"/>
      <c r="D339" s="12"/>
      <c r="E339" s="12"/>
      <c r="F339" s="12"/>
      <c r="G339" s="12"/>
    </row>
    <row r="340" ht="15.75" customHeight="1">
      <c r="A340" s="12"/>
      <c r="B340" s="12"/>
      <c r="C340" s="12"/>
      <c r="D340" s="12"/>
      <c r="E340" s="12"/>
      <c r="F340" s="12"/>
      <c r="G340" s="12"/>
    </row>
    <row r="341" ht="15.75" customHeight="1">
      <c r="A341" s="12"/>
      <c r="B341" s="12"/>
      <c r="C341" s="12"/>
      <c r="D341" s="12"/>
      <c r="E341" s="12"/>
      <c r="F341" s="12"/>
      <c r="G341" s="12"/>
    </row>
    <row r="342" ht="15.75" customHeight="1">
      <c r="A342" s="12"/>
      <c r="B342" s="12"/>
      <c r="C342" s="12"/>
      <c r="D342" s="12"/>
      <c r="E342" s="12"/>
      <c r="F342" s="12"/>
      <c r="G342" s="12"/>
    </row>
    <row r="343" ht="15.75" customHeight="1">
      <c r="A343" s="12"/>
      <c r="B343" s="12"/>
      <c r="C343" s="12"/>
      <c r="D343" s="12"/>
      <c r="E343" s="12"/>
      <c r="F343" s="12"/>
      <c r="G343" s="12"/>
    </row>
    <row r="344" ht="15.75" customHeight="1">
      <c r="A344" s="12"/>
      <c r="B344" s="12"/>
      <c r="C344" s="12"/>
      <c r="D344" s="12"/>
      <c r="E344" s="12"/>
      <c r="F344" s="12"/>
      <c r="G344" s="12"/>
    </row>
    <row r="345" ht="15.75" customHeight="1">
      <c r="A345" s="12"/>
      <c r="B345" s="12"/>
      <c r="C345" s="12"/>
      <c r="D345" s="12"/>
      <c r="E345" s="12"/>
      <c r="F345" s="12"/>
      <c r="G345" s="12"/>
    </row>
    <row r="346" ht="15.75" customHeight="1">
      <c r="A346" s="12"/>
      <c r="B346" s="12"/>
      <c r="C346" s="12"/>
      <c r="D346" s="12"/>
      <c r="E346" s="12"/>
      <c r="F346" s="12"/>
      <c r="G346" s="12"/>
    </row>
    <row r="347" ht="15.75" customHeight="1">
      <c r="A347" s="12"/>
      <c r="B347" s="12"/>
      <c r="C347" s="12"/>
      <c r="D347" s="12"/>
      <c r="E347" s="12"/>
      <c r="F347" s="12"/>
      <c r="G347" s="12"/>
    </row>
    <row r="348" ht="15.75" customHeight="1">
      <c r="A348" s="12"/>
      <c r="B348" s="12"/>
      <c r="C348" s="12"/>
      <c r="D348" s="12"/>
      <c r="E348" s="12"/>
      <c r="F348" s="12"/>
      <c r="G348" s="12"/>
    </row>
    <row r="349" ht="15.75" customHeight="1">
      <c r="A349" s="12"/>
      <c r="B349" s="12"/>
      <c r="C349" s="12"/>
      <c r="D349" s="12"/>
      <c r="E349" s="12"/>
      <c r="F349" s="12"/>
      <c r="G349" s="12"/>
    </row>
    <row r="350" ht="15.75" customHeight="1">
      <c r="A350" s="12"/>
      <c r="B350" s="12"/>
      <c r="C350" s="12"/>
      <c r="D350" s="12"/>
      <c r="E350" s="12"/>
      <c r="F350" s="12"/>
      <c r="G350" s="12"/>
    </row>
    <row r="351" ht="15.75" customHeight="1">
      <c r="A351" s="12"/>
      <c r="B351" s="12"/>
      <c r="C351" s="12"/>
      <c r="D351" s="12"/>
      <c r="E351" s="12"/>
      <c r="F351" s="12"/>
      <c r="G351" s="12"/>
    </row>
    <row r="352" ht="15.75" customHeight="1">
      <c r="A352" s="12"/>
      <c r="B352" s="12"/>
      <c r="C352" s="12"/>
      <c r="D352" s="12"/>
      <c r="E352" s="12"/>
      <c r="F352" s="12"/>
      <c r="G352" s="12"/>
    </row>
    <row r="353" ht="15.75" customHeight="1">
      <c r="A353" s="12"/>
      <c r="B353" s="12"/>
      <c r="C353" s="12"/>
      <c r="D353" s="12"/>
      <c r="E353" s="12"/>
      <c r="F353" s="12"/>
      <c r="G353" s="12"/>
    </row>
    <row r="354" ht="15.75" customHeight="1">
      <c r="A354" s="12"/>
      <c r="B354" s="12"/>
      <c r="C354" s="12"/>
      <c r="D354" s="12"/>
      <c r="E354" s="12"/>
      <c r="F354" s="12"/>
      <c r="G354" s="12"/>
    </row>
    <row r="355" ht="15.75" customHeight="1">
      <c r="A355" s="12"/>
      <c r="B355" s="12"/>
      <c r="C355" s="12"/>
      <c r="D355" s="12"/>
      <c r="E355" s="12"/>
      <c r="F355" s="12"/>
      <c r="G355" s="12"/>
    </row>
    <row r="356" ht="15.75" customHeight="1">
      <c r="A356" s="12"/>
      <c r="B356" s="12"/>
      <c r="C356" s="12"/>
      <c r="D356" s="12"/>
      <c r="E356" s="12"/>
      <c r="F356" s="12"/>
      <c r="G356" s="12"/>
    </row>
    <row r="357" ht="15.75" customHeight="1">
      <c r="A357" s="12"/>
      <c r="B357" s="12"/>
      <c r="C357" s="12"/>
      <c r="D357" s="12"/>
      <c r="E357" s="12"/>
      <c r="F357" s="12"/>
      <c r="G357" s="12"/>
    </row>
    <row r="358" ht="15.75" customHeight="1">
      <c r="A358" s="12"/>
      <c r="B358" s="12"/>
      <c r="C358" s="12"/>
      <c r="D358" s="12"/>
      <c r="E358" s="12"/>
      <c r="F358" s="12"/>
      <c r="G358" s="12"/>
    </row>
    <row r="359" ht="15.75" customHeight="1">
      <c r="A359" s="12"/>
      <c r="B359" s="12"/>
      <c r="C359" s="12"/>
      <c r="D359" s="12"/>
      <c r="E359" s="12"/>
      <c r="F359" s="12"/>
      <c r="G359" s="12"/>
    </row>
    <row r="360" ht="15.75" customHeight="1">
      <c r="A360" s="12"/>
      <c r="B360" s="12"/>
      <c r="C360" s="12"/>
      <c r="D360" s="12"/>
      <c r="E360" s="12"/>
      <c r="F360" s="12"/>
      <c r="G360" s="12"/>
    </row>
    <row r="361" ht="15.75" customHeight="1">
      <c r="A361" s="12"/>
      <c r="B361" s="12"/>
      <c r="C361" s="12"/>
      <c r="D361" s="12"/>
      <c r="E361" s="12"/>
      <c r="F361" s="12"/>
      <c r="G361" s="12"/>
    </row>
    <row r="362" ht="15.75" customHeight="1">
      <c r="A362" s="12"/>
      <c r="B362" s="12"/>
      <c r="C362" s="12"/>
      <c r="D362" s="12"/>
      <c r="E362" s="12"/>
      <c r="F362" s="12"/>
      <c r="G362" s="12"/>
    </row>
    <row r="363" ht="15.75" customHeight="1">
      <c r="A363" s="12"/>
      <c r="B363" s="12"/>
      <c r="C363" s="12"/>
      <c r="D363" s="12"/>
      <c r="E363" s="12"/>
      <c r="F363" s="12"/>
      <c r="G363" s="12"/>
    </row>
    <row r="364" ht="15.75" customHeight="1">
      <c r="A364" s="12"/>
      <c r="B364" s="12"/>
      <c r="C364" s="12"/>
      <c r="D364" s="12"/>
      <c r="E364" s="12"/>
      <c r="F364" s="12"/>
      <c r="G364" s="12"/>
    </row>
    <row r="365" ht="15.75" customHeight="1">
      <c r="A365" s="12"/>
      <c r="B365" s="12"/>
      <c r="C365" s="12"/>
      <c r="D365" s="12"/>
      <c r="E365" s="12"/>
      <c r="F365" s="12"/>
      <c r="G365" s="12"/>
    </row>
    <row r="366" ht="15.75" customHeight="1">
      <c r="A366" s="12"/>
      <c r="B366" s="12"/>
      <c r="C366" s="12"/>
      <c r="D366" s="12"/>
      <c r="E366" s="12"/>
      <c r="F366" s="12"/>
      <c r="G366" s="12"/>
    </row>
    <row r="367" ht="15.75" customHeight="1">
      <c r="A367" s="12"/>
      <c r="B367" s="12"/>
      <c r="C367" s="12"/>
      <c r="D367" s="12"/>
      <c r="E367" s="12"/>
      <c r="F367" s="12"/>
      <c r="G367" s="12"/>
    </row>
    <row r="368" ht="15.75" customHeight="1">
      <c r="A368" s="12"/>
      <c r="B368" s="12"/>
      <c r="C368" s="12"/>
      <c r="D368" s="12"/>
      <c r="E368" s="12"/>
      <c r="F368" s="12"/>
      <c r="G368" s="12"/>
    </row>
    <row r="369" ht="15.75" customHeight="1">
      <c r="A369" s="12"/>
      <c r="B369" s="12"/>
      <c r="C369" s="12"/>
      <c r="D369" s="12"/>
      <c r="E369" s="12"/>
      <c r="F369" s="12"/>
      <c r="G369" s="12"/>
    </row>
    <row r="370" ht="15.75" customHeight="1">
      <c r="A370" s="12"/>
      <c r="B370" s="12"/>
      <c r="C370" s="12"/>
      <c r="D370" s="12"/>
      <c r="E370" s="12"/>
      <c r="F370" s="12"/>
      <c r="G370" s="12"/>
    </row>
    <row r="371" ht="15.75" customHeight="1">
      <c r="A371" s="12"/>
      <c r="B371" s="12"/>
      <c r="C371" s="12"/>
      <c r="D371" s="12"/>
      <c r="E371" s="12"/>
      <c r="F371" s="12"/>
      <c r="G371" s="12"/>
    </row>
    <row r="372" ht="15.75" customHeight="1">
      <c r="A372" s="12"/>
      <c r="B372" s="12"/>
      <c r="C372" s="12"/>
      <c r="D372" s="12"/>
      <c r="E372" s="12"/>
      <c r="F372" s="12"/>
      <c r="G372" s="12"/>
    </row>
    <row r="373" ht="15.75" customHeight="1">
      <c r="A373" s="12"/>
      <c r="B373" s="12"/>
      <c r="C373" s="12"/>
      <c r="D373" s="12"/>
      <c r="E373" s="12"/>
      <c r="F373" s="12"/>
      <c r="G373" s="12"/>
    </row>
    <row r="374" ht="15.75" customHeight="1">
      <c r="A374" s="12"/>
      <c r="B374" s="12"/>
      <c r="C374" s="12"/>
      <c r="D374" s="12"/>
      <c r="E374" s="12"/>
      <c r="F374" s="12"/>
      <c r="G374" s="12"/>
    </row>
    <row r="375" ht="15.75" customHeight="1">
      <c r="A375" s="12"/>
      <c r="B375" s="12"/>
      <c r="C375" s="12"/>
      <c r="D375" s="12"/>
      <c r="E375" s="12"/>
      <c r="F375" s="12"/>
      <c r="G375" s="12"/>
    </row>
    <row r="376" ht="15.75" customHeight="1">
      <c r="A376" s="12"/>
      <c r="B376" s="12"/>
      <c r="C376" s="12"/>
      <c r="D376" s="12"/>
      <c r="E376" s="12"/>
      <c r="F376" s="12"/>
      <c r="G376" s="12"/>
    </row>
    <row r="377" ht="15.75" customHeight="1">
      <c r="A377" s="12"/>
      <c r="B377" s="12"/>
      <c r="C377" s="12"/>
      <c r="D377" s="12"/>
      <c r="E377" s="12"/>
      <c r="F377" s="12"/>
      <c r="G377" s="12"/>
    </row>
    <row r="378" ht="15.75" customHeight="1">
      <c r="A378" s="12"/>
      <c r="B378" s="12"/>
      <c r="C378" s="12"/>
      <c r="D378" s="12"/>
      <c r="E378" s="12"/>
      <c r="F378" s="12"/>
      <c r="G378" s="12"/>
    </row>
    <row r="379" ht="15.75" customHeight="1">
      <c r="A379" s="12"/>
      <c r="B379" s="12"/>
      <c r="C379" s="12"/>
      <c r="D379" s="12"/>
      <c r="E379" s="12"/>
      <c r="F379" s="12"/>
      <c r="G379" s="12"/>
    </row>
    <row r="380" ht="15.75" customHeight="1">
      <c r="A380" s="12"/>
      <c r="B380" s="12"/>
      <c r="C380" s="12"/>
      <c r="D380" s="12"/>
      <c r="E380" s="12"/>
      <c r="F380" s="12"/>
      <c r="G380" s="12"/>
    </row>
    <row r="381" ht="15.75" customHeight="1">
      <c r="A381" s="12"/>
      <c r="B381" s="12"/>
      <c r="C381" s="12"/>
      <c r="D381" s="12"/>
      <c r="E381" s="12"/>
      <c r="F381" s="12"/>
      <c r="G381" s="12"/>
    </row>
    <row r="382" ht="15.75" customHeight="1">
      <c r="A382" s="12"/>
      <c r="B382" s="12"/>
      <c r="C382" s="12"/>
      <c r="D382" s="12"/>
      <c r="E382" s="12"/>
      <c r="F382" s="12"/>
      <c r="G382" s="12"/>
    </row>
    <row r="383" ht="15.75" customHeight="1">
      <c r="A383" s="12"/>
      <c r="B383" s="12"/>
      <c r="C383" s="12"/>
      <c r="D383" s="12"/>
      <c r="E383" s="12"/>
      <c r="F383" s="12"/>
      <c r="G383" s="12"/>
    </row>
    <row r="384" ht="15.75" customHeight="1">
      <c r="A384" s="12"/>
      <c r="B384" s="12"/>
      <c r="C384" s="12"/>
      <c r="D384" s="12"/>
      <c r="E384" s="12"/>
      <c r="F384" s="12"/>
      <c r="G384" s="12"/>
    </row>
    <row r="385" ht="15.75" customHeight="1">
      <c r="A385" s="12"/>
      <c r="B385" s="12"/>
      <c r="C385" s="12"/>
      <c r="D385" s="12"/>
      <c r="E385" s="12"/>
      <c r="F385" s="12"/>
      <c r="G385" s="12"/>
    </row>
    <row r="386" ht="15.75" customHeight="1">
      <c r="A386" s="12"/>
      <c r="B386" s="12"/>
      <c r="C386" s="12"/>
      <c r="D386" s="12"/>
      <c r="E386" s="12"/>
      <c r="F386" s="12"/>
      <c r="G386" s="12"/>
    </row>
    <row r="387" ht="15.75" customHeight="1">
      <c r="A387" s="12"/>
      <c r="B387" s="12"/>
      <c r="C387" s="12"/>
      <c r="D387" s="12"/>
      <c r="E387" s="12"/>
      <c r="F387" s="12"/>
      <c r="G387" s="12"/>
    </row>
    <row r="388" ht="15.75" customHeight="1">
      <c r="A388" s="12"/>
      <c r="B388" s="12"/>
      <c r="C388" s="12"/>
      <c r="D388" s="12"/>
      <c r="E388" s="12"/>
      <c r="F388" s="12"/>
      <c r="G388" s="12"/>
    </row>
    <row r="389" ht="15.75" customHeight="1">
      <c r="A389" s="12"/>
      <c r="B389" s="12"/>
      <c r="C389" s="12"/>
      <c r="D389" s="12"/>
      <c r="E389" s="12"/>
      <c r="F389" s="12"/>
      <c r="G389" s="12"/>
    </row>
    <row r="390" ht="15.75" customHeight="1">
      <c r="A390" s="12"/>
      <c r="B390" s="12"/>
      <c r="C390" s="12"/>
      <c r="D390" s="12"/>
      <c r="E390" s="12"/>
      <c r="F390" s="12"/>
      <c r="G390" s="12"/>
    </row>
    <row r="391" ht="15.75" customHeight="1">
      <c r="A391" s="12"/>
      <c r="B391" s="12"/>
      <c r="C391" s="12"/>
      <c r="D391" s="12"/>
      <c r="E391" s="12"/>
      <c r="F391" s="12"/>
      <c r="G391" s="12"/>
    </row>
    <row r="392" ht="15.75" customHeight="1">
      <c r="A392" s="12"/>
      <c r="B392" s="12"/>
      <c r="C392" s="12"/>
      <c r="D392" s="12"/>
      <c r="E392" s="12"/>
      <c r="F392" s="12"/>
      <c r="G392" s="12"/>
    </row>
    <row r="393" ht="15.75" customHeight="1">
      <c r="A393" s="12"/>
      <c r="B393" s="12"/>
      <c r="C393" s="12"/>
      <c r="D393" s="12"/>
      <c r="E393" s="12"/>
      <c r="F393" s="12"/>
      <c r="G393" s="12"/>
    </row>
    <row r="394" ht="15.75" customHeight="1">
      <c r="A394" s="12"/>
      <c r="B394" s="12"/>
      <c r="C394" s="12"/>
      <c r="D394" s="12"/>
      <c r="E394" s="12"/>
      <c r="F394" s="12"/>
      <c r="G394" s="12"/>
    </row>
    <row r="395" ht="15.75" customHeight="1">
      <c r="A395" s="12"/>
      <c r="B395" s="12"/>
      <c r="C395" s="12"/>
      <c r="D395" s="12"/>
      <c r="E395" s="12"/>
      <c r="F395" s="12"/>
      <c r="G395" s="12"/>
    </row>
    <row r="396" ht="15.75" customHeight="1">
      <c r="A396" s="12"/>
      <c r="B396" s="12"/>
      <c r="C396" s="12"/>
      <c r="D396" s="12"/>
      <c r="E396" s="12"/>
      <c r="F396" s="12"/>
      <c r="G396" s="12"/>
    </row>
    <row r="397" ht="15.75" customHeight="1">
      <c r="A397" s="12"/>
      <c r="B397" s="12"/>
      <c r="C397" s="12"/>
      <c r="D397" s="12"/>
      <c r="E397" s="12"/>
      <c r="F397" s="12"/>
      <c r="G397" s="12"/>
    </row>
    <row r="398" ht="15.75" customHeight="1">
      <c r="A398" s="12"/>
      <c r="B398" s="12"/>
      <c r="C398" s="12"/>
      <c r="D398" s="12"/>
      <c r="E398" s="12"/>
      <c r="F398" s="12"/>
      <c r="G398" s="12"/>
    </row>
    <row r="399" ht="15.75" customHeight="1">
      <c r="A399" s="12"/>
      <c r="B399" s="12"/>
      <c r="C399" s="12"/>
      <c r="D399" s="12"/>
      <c r="E399" s="12"/>
      <c r="F399" s="12"/>
      <c r="G399" s="12"/>
    </row>
    <row r="400" ht="15.75" customHeight="1">
      <c r="A400" s="12"/>
      <c r="B400" s="12"/>
      <c r="C400" s="12"/>
      <c r="D400" s="12"/>
      <c r="E400" s="12"/>
      <c r="F400" s="12"/>
      <c r="G400" s="12"/>
    </row>
    <row r="401" ht="15.75" customHeight="1">
      <c r="A401" s="12"/>
      <c r="B401" s="12"/>
      <c r="C401" s="12"/>
      <c r="D401" s="12"/>
      <c r="E401" s="12"/>
      <c r="F401" s="12"/>
      <c r="G401" s="12"/>
    </row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66">
    <mergeCell ref="A1:A3"/>
    <mergeCell ref="B1:G1"/>
    <mergeCell ref="C2:G2"/>
    <mergeCell ref="C3:G3"/>
    <mergeCell ref="A8:G8"/>
    <mergeCell ref="A9:G10"/>
    <mergeCell ref="A11:G11"/>
    <mergeCell ref="E12:G12"/>
    <mergeCell ref="E13:G13"/>
    <mergeCell ref="E14:G14"/>
    <mergeCell ref="E15:G15"/>
    <mergeCell ref="A16:G16"/>
    <mergeCell ref="A17:G17"/>
    <mergeCell ref="A18:G18"/>
    <mergeCell ref="F19:G19"/>
    <mergeCell ref="F20:G20"/>
    <mergeCell ref="F21:G21"/>
    <mergeCell ref="F22:G22"/>
    <mergeCell ref="F23:G23"/>
    <mergeCell ref="F24:G24"/>
    <mergeCell ref="F25:G25"/>
    <mergeCell ref="F26:G26"/>
    <mergeCell ref="F27:G27"/>
    <mergeCell ref="F28:G28"/>
    <mergeCell ref="F29:G29"/>
    <mergeCell ref="A30:G30"/>
    <mergeCell ref="F31:G31"/>
    <mergeCell ref="F32:G32"/>
    <mergeCell ref="F33:G33"/>
    <mergeCell ref="F34:G34"/>
    <mergeCell ref="F35:G35"/>
    <mergeCell ref="F36:G36"/>
    <mergeCell ref="F37:G37"/>
    <mergeCell ref="F38:G38"/>
    <mergeCell ref="F39:G39"/>
    <mergeCell ref="F40:G40"/>
    <mergeCell ref="F41:G41"/>
    <mergeCell ref="A42:G42"/>
    <mergeCell ref="F43:G43"/>
    <mergeCell ref="F44:G44"/>
    <mergeCell ref="F45:G45"/>
    <mergeCell ref="F46:G46"/>
    <mergeCell ref="F47:G47"/>
    <mergeCell ref="F48:G48"/>
    <mergeCell ref="F49:G49"/>
    <mergeCell ref="F50:G50"/>
    <mergeCell ref="F51:G51"/>
    <mergeCell ref="F52:G52"/>
    <mergeCell ref="F53:G53"/>
    <mergeCell ref="A54:G54"/>
    <mergeCell ref="A55:G55"/>
    <mergeCell ref="A56:G56"/>
    <mergeCell ref="F57:G57"/>
    <mergeCell ref="F58:G58"/>
    <mergeCell ref="F59:G59"/>
    <mergeCell ref="F60:G60"/>
    <mergeCell ref="F61:G61"/>
    <mergeCell ref="F62:G62"/>
    <mergeCell ref="F63:G63"/>
    <mergeCell ref="F64:G64"/>
    <mergeCell ref="F65:G65"/>
    <mergeCell ref="F66:G66"/>
    <mergeCell ref="A68:G68"/>
    <mergeCell ref="F67:G67"/>
    <mergeCell ref="F69:G69"/>
    <mergeCell ref="F70:G70"/>
    <mergeCell ref="F71:G71"/>
    <mergeCell ref="F72:G72"/>
    <mergeCell ref="F73:G73"/>
    <mergeCell ref="F74:G74"/>
    <mergeCell ref="F75:G75"/>
    <mergeCell ref="F76:G76"/>
    <mergeCell ref="F77:G77"/>
    <mergeCell ref="F78:G78"/>
    <mergeCell ref="F79:G79"/>
    <mergeCell ref="A80:G80"/>
    <mergeCell ref="F81:G81"/>
    <mergeCell ref="F82:G82"/>
    <mergeCell ref="F83:G83"/>
    <mergeCell ref="F84:G84"/>
    <mergeCell ref="F85:G85"/>
    <mergeCell ref="F86:G86"/>
    <mergeCell ref="F87:G87"/>
    <mergeCell ref="F88:G88"/>
    <mergeCell ref="F89:G89"/>
    <mergeCell ref="F90:G90"/>
    <mergeCell ref="F91:G91"/>
    <mergeCell ref="A92:G108"/>
    <mergeCell ref="A109:G109"/>
    <mergeCell ref="A110:G110"/>
    <mergeCell ref="A111:G111"/>
    <mergeCell ref="F112:G112"/>
    <mergeCell ref="F113:G113"/>
    <mergeCell ref="F114:G114"/>
    <mergeCell ref="F115:G115"/>
    <mergeCell ref="F116:G116"/>
    <mergeCell ref="F117:G117"/>
    <mergeCell ref="F118:G118"/>
    <mergeCell ref="F179:G179"/>
    <mergeCell ref="F180:G180"/>
    <mergeCell ref="F181:G181"/>
    <mergeCell ref="F182:G182"/>
    <mergeCell ref="F183:G183"/>
    <mergeCell ref="F184:G184"/>
    <mergeCell ref="F185:G185"/>
    <mergeCell ref="F186:G186"/>
    <mergeCell ref="F187:G187"/>
    <mergeCell ref="F188:G188"/>
    <mergeCell ref="F189:G189"/>
    <mergeCell ref="A190:G190"/>
    <mergeCell ref="F191:G191"/>
    <mergeCell ref="F192:G192"/>
    <mergeCell ref="F200:G200"/>
    <mergeCell ref="F201:G201"/>
    <mergeCell ref="A202:G218"/>
    <mergeCell ref="F193:G193"/>
    <mergeCell ref="F194:G194"/>
    <mergeCell ref="F195:G195"/>
    <mergeCell ref="F196:G196"/>
    <mergeCell ref="F197:G197"/>
    <mergeCell ref="F198:G198"/>
    <mergeCell ref="F199:G199"/>
    <mergeCell ref="F119:G119"/>
    <mergeCell ref="F120:G120"/>
    <mergeCell ref="F121:G121"/>
    <mergeCell ref="F122:G122"/>
    <mergeCell ref="A123:G123"/>
    <mergeCell ref="F124:G124"/>
    <mergeCell ref="F125:G125"/>
    <mergeCell ref="F126:G126"/>
    <mergeCell ref="F127:G127"/>
    <mergeCell ref="F128:G128"/>
    <mergeCell ref="F129:G129"/>
    <mergeCell ref="F130:G130"/>
    <mergeCell ref="F131:G131"/>
    <mergeCell ref="F132:G132"/>
    <mergeCell ref="F133:G133"/>
    <mergeCell ref="F134:G134"/>
    <mergeCell ref="A135:G135"/>
    <mergeCell ref="F136:G136"/>
    <mergeCell ref="F137:G137"/>
    <mergeCell ref="F138:G138"/>
    <mergeCell ref="F139:G139"/>
    <mergeCell ref="F140:G140"/>
    <mergeCell ref="F141:G141"/>
    <mergeCell ref="F142:G142"/>
    <mergeCell ref="F143:G143"/>
    <mergeCell ref="F144:G144"/>
    <mergeCell ref="F145:G145"/>
    <mergeCell ref="F146:G146"/>
    <mergeCell ref="A147:G163"/>
    <mergeCell ref="A164:G164"/>
    <mergeCell ref="A165:G165"/>
    <mergeCell ref="A166:G166"/>
    <mergeCell ref="F167:G167"/>
    <mergeCell ref="F168:G168"/>
    <mergeCell ref="F169:G169"/>
    <mergeCell ref="F177:G177"/>
    <mergeCell ref="A178:G178"/>
    <mergeCell ref="F170:G170"/>
    <mergeCell ref="F171:G171"/>
    <mergeCell ref="F172:G172"/>
    <mergeCell ref="F173:G173"/>
    <mergeCell ref="F174:G174"/>
    <mergeCell ref="F175:G175"/>
    <mergeCell ref="F176:G176"/>
  </mergeCells>
  <printOptions horizontalCentered="1"/>
  <pageMargins bottom="0.75" footer="0.0" header="0.0" left="0.7" right="0.7" top="0.75"/>
  <pageSetup fitToHeight="0" paperSize="9" orientation="portrait" pageOrder="overThenDown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1" width="6.38"/>
    <col customWidth="1" min="2" max="2" width="31.38"/>
    <col customWidth="1" min="3" max="6" width="6.38"/>
    <col customWidth="1" min="7" max="7" width="9.5"/>
    <col customWidth="1" min="8" max="8" width="6.38"/>
    <col customWidth="1" min="9" max="9" width="31.38"/>
    <col customWidth="1" min="10" max="13" width="6.38"/>
    <col customWidth="1" min="14" max="14" width="9.5"/>
    <col customWidth="1" min="15" max="15" width="6.38"/>
    <col customWidth="1" min="16" max="16" width="31.38"/>
    <col customWidth="1" min="17" max="20" width="6.38"/>
    <col customWidth="1" min="21" max="21" width="9.5"/>
    <col customWidth="1" min="22" max="22" width="6.38"/>
    <col customWidth="1" min="23" max="23" width="31.38"/>
    <col customWidth="1" min="24" max="27" width="6.38"/>
    <col customWidth="1" min="28" max="28" width="9.5"/>
    <col customWidth="1" min="29" max="29" width="6.38"/>
  </cols>
  <sheetData>
    <row r="1" ht="15.75" customHeight="1">
      <c r="A1" s="1" t="s">
        <v>1</v>
      </c>
      <c r="B1" s="2"/>
      <c r="C1" s="3"/>
      <c r="D1" s="4"/>
      <c r="E1" s="5"/>
      <c r="F1" s="5"/>
      <c r="G1" s="6"/>
      <c r="H1" s="7"/>
      <c r="I1" s="2"/>
      <c r="J1" s="5"/>
      <c r="K1" s="5"/>
      <c r="L1" s="5"/>
      <c r="M1" s="1"/>
      <c r="N1" s="6"/>
      <c r="O1" s="1"/>
      <c r="P1" s="2"/>
      <c r="Q1" s="5"/>
      <c r="R1" s="5"/>
      <c r="S1" s="5"/>
      <c r="T1" s="5"/>
      <c r="U1" s="6"/>
      <c r="V1" s="1"/>
      <c r="W1" s="2"/>
      <c r="X1" s="5"/>
      <c r="Y1" s="5"/>
      <c r="Z1" s="5"/>
      <c r="AA1" s="5"/>
      <c r="AB1" s="5"/>
      <c r="AC1" s="5"/>
    </row>
    <row r="2" ht="15.75" customHeight="1">
      <c r="A2" s="11"/>
      <c r="B2" s="11"/>
      <c r="C2" s="11"/>
      <c r="D2" s="11"/>
      <c r="H2" s="11"/>
      <c r="I2" s="11"/>
      <c r="J2" s="11"/>
      <c r="K2" s="11"/>
      <c r="O2" s="11"/>
      <c r="P2" s="11"/>
      <c r="Q2" s="11"/>
      <c r="R2" s="11"/>
      <c r="V2" s="11"/>
      <c r="W2" s="11"/>
      <c r="X2" s="11"/>
      <c r="Y2" s="11"/>
      <c r="AC2" s="11"/>
    </row>
    <row r="3" ht="15.75" customHeight="1">
      <c r="A3" s="2" t="s">
        <v>5</v>
      </c>
      <c r="B3" s="13"/>
      <c r="C3" s="16">
        <f>macro!F6</f>
        <v>46274</v>
      </c>
      <c r="H3" s="18"/>
      <c r="I3" s="13"/>
      <c r="J3" s="4">
        <f>C3+7</f>
        <v>46281</v>
      </c>
      <c r="O3" s="18"/>
      <c r="P3" s="13"/>
      <c r="Q3" s="16">
        <f>J3+7</f>
        <v>46288</v>
      </c>
      <c r="V3" s="18"/>
      <c r="W3" s="13"/>
      <c r="X3" s="16">
        <f>Q3+7</f>
        <v>46295</v>
      </c>
      <c r="AC3" s="11"/>
    </row>
    <row r="4" ht="15.75" customHeight="1">
      <c r="A4" s="2"/>
      <c r="B4" s="2"/>
      <c r="C4" s="5" t="s">
        <v>10</v>
      </c>
      <c r="D4" s="5" t="s">
        <v>12</v>
      </c>
      <c r="E4" s="5" t="s">
        <v>13</v>
      </c>
      <c r="F4" s="5" t="s">
        <v>14</v>
      </c>
      <c r="G4" s="5" t="s">
        <v>15</v>
      </c>
      <c r="H4" s="18"/>
      <c r="I4" s="2"/>
      <c r="J4" s="5" t="s">
        <v>10</v>
      </c>
      <c r="K4" s="5" t="s">
        <v>12</v>
      </c>
      <c r="L4" s="5" t="s">
        <v>13</v>
      </c>
      <c r="M4" s="5" t="s">
        <v>14</v>
      </c>
      <c r="N4" s="5" t="s">
        <v>15</v>
      </c>
      <c r="O4" s="18"/>
      <c r="P4" s="2"/>
      <c r="Q4" s="5" t="s">
        <v>10</v>
      </c>
      <c r="R4" s="5" t="s">
        <v>12</v>
      </c>
      <c r="S4" s="5" t="s">
        <v>13</v>
      </c>
      <c r="T4" s="5" t="s">
        <v>14</v>
      </c>
      <c r="U4" s="5" t="s">
        <v>15</v>
      </c>
      <c r="V4" s="18"/>
      <c r="W4" s="2"/>
      <c r="X4" s="5" t="s">
        <v>10</v>
      </c>
      <c r="Y4" s="5" t="s">
        <v>12</v>
      </c>
      <c r="Z4" s="5" t="s">
        <v>13</v>
      </c>
      <c r="AA4" s="5" t="s">
        <v>14</v>
      </c>
      <c r="AB4" s="5" t="s">
        <v>15</v>
      </c>
      <c r="AC4" s="18"/>
    </row>
    <row r="5" ht="15.75" customHeight="1">
      <c r="A5" s="2"/>
      <c r="B5" s="2" t="s">
        <v>16</v>
      </c>
      <c r="C5" s="29"/>
      <c r="D5" s="5"/>
      <c r="E5" s="5"/>
      <c r="F5" s="5" t="s">
        <v>17</v>
      </c>
      <c r="G5" s="5"/>
      <c r="H5" s="18"/>
      <c r="I5" s="2" t="s">
        <v>16</v>
      </c>
      <c r="J5" s="29"/>
      <c r="K5" s="5"/>
      <c r="L5" s="5"/>
      <c r="M5" s="5" t="s">
        <v>17</v>
      </c>
      <c r="N5" s="5"/>
      <c r="O5" s="18"/>
      <c r="P5" s="2" t="s">
        <v>16</v>
      </c>
      <c r="Q5" s="29"/>
      <c r="R5" s="5"/>
      <c r="S5" s="5"/>
      <c r="T5" s="5" t="s">
        <v>17</v>
      </c>
      <c r="U5" s="5"/>
      <c r="V5" s="18"/>
      <c r="W5" s="2" t="s">
        <v>16</v>
      </c>
      <c r="X5" s="29"/>
      <c r="Y5" s="5"/>
      <c r="Z5" s="5"/>
      <c r="AA5" s="5" t="s">
        <v>17</v>
      </c>
      <c r="AB5" s="5"/>
      <c r="AC5" s="18"/>
    </row>
    <row r="6" ht="15.75" customHeight="1">
      <c r="A6" s="32"/>
      <c r="B6" s="35"/>
      <c r="C6" s="36"/>
      <c r="D6" s="36"/>
      <c r="E6" s="38"/>
      <c r="F6" s="41" t="str">
        <f>IFERROR(__xludf.DUMMYFUNCTION("IFERROR(
$E6/
VLOOKUP(
IF(
 REGEXMATCH($B6,""(?i)agachamento""),""Agachamento"",
 IF(
  REGEXMATCH($B6,""(?i)supino""),""Supino"",
  IF(
   REGEXMATCH($B6,""(?i)terra""),""Terra"",
   IF(
    REGEXMATCH($B6,""(?i)desenvolvimento""),""Desenvolvimento"",
  "&amp;"  IF(
     REGEXMATCH($B6,""(?i)remada""),""Remada"",
     IF(REGEXMATCH($B6,""(?i)arranco""),""Arranco"",IF(REGEXMATCH($B6,""(?i)arremesso""),""Arremesso"",""""))
    )
   )
  )
 )
),
prs!$A$18:$D$24,
4,
FALSE
)
,"""")"),"")</f>
        <v/>
      </c>
      <c r="G6" s="41"/>
      <c r="H6" s="44"/>
      <c r="I6" s="35"/>
      <c r="J6" s="36"/>
      <c r="K6" s="36"/>
      <c r="L6" s="38"/>
      <c r="M6" s="41" t="str">
        <f>IFERROR(__xludf.DUMMYFUNCTION("IFERROR(
$L6/
VLOOKUP(
IF(
 REGEXMATCH($I6,""(?i)agachamento""),""Agachamento"",
 IF(
  REGEXMATCH($I6,""(?i)supino""),""Supino"",
  IF(
   REGEXMATCH($I6,""(?i)terra""),""Terra"",
   IF(
    REGEXMATCH($I6,""(?i)desenvolvimento""),""Desenvolvimento"",
  "&amp;"  IF(
     REGEXMATCH($I6,""(?i)remada""),""Remada"",
     IF(REGEXMATCH($I6,""(?i)arranco""),""Arranco"",IF(REGEXMATCH($I6,""(?i)arremesso""),""Arremesso"",""""))
    )
   )
  )
 )
),
prs!$A$18:$D$24,
4,
FALSE
)
,"""")"),"")</f>
        <v/>
      </c>
      <c r="N6" s="41"/>
      <c r="O6" s="47"/>
      <c r="P6" s="35"/>
      <c r="Q6" s="36"/>
      <c r="R6" s="36"/>
      <c r="S6" s="38"/>
      <c r="T6" s="41" t="str">
        <f>IFERROR(__xludf.DUMMYFUNCTION("IFERROR(
$S6/
VLOOKUP(
IF(
 REGEXMATCH($P6,""(?i)agachamento""),""Agachamento"",
 IF(
  REGEXMATCH($P6,""(?i)supino""),""Supino"",
  IF(
   REGEXMATCH($P6,""(?i)terra""),""Terra"",
   IF(
    REGEXMATCH($P6,""(?i)desenvolvimento""),""Desenvolvimento"",
  "&amp;"  IF(
     REGEXMATCH($P6,""(?i)remada""),""Remada"",
     IF(REGEXMATCH($P6,""(?i)arranco""),""Arranco"",IF(REGEXMATCH($P6,""(?i)arremesso""),""Arremesso"",""""))
    )
   )
  )
 )
),
prs!$A$18:$D$24,
4,
FALSE
)
,"""")"),"")</f>
        <v/>
      </c>
      <c r="U6" s="41"/>
      <c r="V6" s="47"/>
      <c r="W6" s="35"/>
      <c r="X6" s="36"/>
      <c r="Y6" s="36"/>
      <c r="Z6" s="38"/>
      <c r="AA6" s="41" t="str">
        <f>IFERROR(__xludf.DUMMYFUNCTION("IFERROR(
$Z6/
VLOOKUP(
IF(
 REGEXMATCH($W6,""(?i)agachamento""),""Agachamento"",
 IF(
  REGEXMATCH($W6,""(?i)supino""),""Supino"",
  IF(
   REGEXMATCH($W6,""(?i)terra""),""Terra"",
   IF(
    REGEXMATCH($W6,""(?i)desenvolvimento""),""Desenvolvimento"",
  "&amp;"  IF(
     REGEXMATCH($W6,""(?i)remada""),""Remada"",
     IF(REGEXMATCH($W6,""(?i)arranco""),""Arranco"",IF(REGEXMATCH($W6,""(?i)arremesso""),""Arremesso"",""""))
    )
   )
  )
 )
),
prs!$A$18:$D$24,
4,
FALSE
)
,"""")"),"")</f>
        <v/>
      </c>
      <c r="AB6" s="41"/>
      <c r="AC6" s="32"/>
    </row>
    <row r="7" ht="15.75" customHeight="1">
      <c r="A7" s="32"/>
      <c r="B7" s="35"/>
      <c r="C7" s="36"/>
      <c r="D7" s="36"/>
      <c r="E7" s="38"/>
      <c r="F7" s="41" t="str">
        <f>IFERROR(__xludf.DUMMYFUNCTION("IFERROR(
$E7/
VLOOKUP(
IF(
 REGEXMATCH($B7,""(?i)agachamento""),""Agachamento"",
 IF(
  REGEXMATCH($B7,""(?i)supino""),""Supino"",
  IF(
   REGEXMATCH($B7,""(?i)terra""),""Terra"",
   IF(
    REGEXMATCH($B7,""(?i)desenvolvimento""),""Desenvolvimento"",
  "&amp;"  IF(
     REGEXMATCH($B7,""(?i)remada""),""Remada"",
     IF(REGEXMATCH($B7,""(?i)arranco""),""Arranco"",IF(REGEXMATCH($B7,""(?i)arremesso""),""Arremesso"",""""))
    )
   )
  )
 )
),
prs!$A$18:$D$24,
4,
FALSE
)
,"""")"),"")</f>
        <v/>
      </c>
      <c r="G7" s="41"/>
      <c r="H7" s="44"/>
      <c r="I7" s="35"/>
      <c r="J7" s="36"/>
      <c r="K7" s="36"/>
      <c r="L7" s="38"/>
      <c r="M7" s="41" t="str">
        <f>IFERROR(__xludf.DUMMYFUNCTION("IFERROR(
$L7/
VLOOKUP(
IF(
 REGEXMATCH($I7,""(?i)agachamento""),""Agachamento"",
 IF(
  REGEXMATCH($I7,""(?i)supino""),""Supino"",
  IF(
   REGEXMATCH($I7,""(?i)terra""),""Terra"",
   IF(
    REGEXMATCH($I7,""(?i)desenvolvimento""),""Desenvolvimento"",
  "&amp;"  IF(
     REGEXMATCH($I7,""(?i)remada""),""Remada"",
     IF(REGEXMATCH($I7,""(?i)arranco""),""Arranco"",IF(REGEXMATCH($I7,""(?i)arremesso""),""Arremesso"",""""))
    )
   )
  )
 )
),
prs!$A$18:$D$24,
4,
FALSE
)
,"""")"),"")</f>
        <v/>
      </c>
      <c r="N7" s="41"/>
      <c r="O7" s="47"/>
      <c r="P7" s="35"/>
      <c r="Q7" s="36"/>
      <c r="R7" s="36"/>
      <c r="S7" s="38"/>
      <c r="T7" s="41" t="str">
        <f>IFERROR(__xludf.DUMMYFUNCTION("IFERROR(
$S7/
VLOOKUP(
IF(
 REGEXMATCH($P7,""(?i)agachamento""),""Agachamento"",
 IF(
  REGEXMATCH($P7,""(?i)supino""),""Supino"",
  IF(
   REGEXMATCH($P7,""(?i)terra""),""Terra"",
   IF(
    REGEXMATCH($P7,""(?i)desenvolvimento""),""Desenvolvimento"",
  "&amp;"  IF(
     REGEXMATCH($P7,""(?i)remada""),""Remada"",
     IF(REGEXMATCH($P7,""(?i)arranco""),""Arranco"",IF(REGEXMATCH($P7,""(?i)arremesso""),""Arremesso"",""""))
    )
   )
  )
 )
),
prs!$A$18:$D$24,
4,
FALSE
)
,"""")"),"")</f>
        <v/>
      </c>
      <c r="U7" s="41"/>
      <c r="V7" s="47"/>
      <c r="W7" s="35"/>
      <c r="X7" s="36"/>
      <c r="Y7" s="36"/>
      <c r="Z7" s="38"/>
      <c r="AA7" s="41" t="str">
        <f>IFERROR(__xludf.DUMMYFUNCTION("IFERROR(
$Z7/
VLOOKUP(
IF(
 REGEXMATCH($W7,""(?i)agachamento""),""Agachamento"",
 IF(
  REGEXMATCH($W7,""(?i)supino""),""Supino"",
  IF(
   REGEXMATCH($W7,""(?i)terra""),""Terra"",
   IF(
    REGEXMATCH($W7,""(?i)desenvolvimento""),""Desenvolvimento"",
  "&amp;"  IF(
     REGEXMATCH($W7,""(?i)remada""),""Remada"",
     IF(REGEXMATCH($W7,""(?i)arranco""),""Arranco"",IF(REGEXMATCH($W7,""(?i)arremesso""),""Arremesso"",""""))
    )
   )
  )
 )
),
prs!$A$18:$D$24,
4,
FALSE
)
,"""")"),"")</f>
        <v/>
      </c>
      <c r="AB7" s="41"/>
      <c r="AC7" s="32"/>
    </row>
    <row r="8" ht="15.75" customHeight="1">
      <c r="A8" s="32"/>
      <c r="B8" s="35"/>
      <c r="C8" s="36"/>
      <c r="D8" s="36"/>
      <c r="E8" s="38"/>
      <c r="F8" s="41" t="str">
        <f>IFERROR(__xludf.DUMMYFUNCTION("IFERROR(
$E8/
VLOOKUP(
IF(
 REGEXMATCH($B8,""(?i)agachamento""),""Agachamento"",
 IF(
  REGEXMATCH($B8,""(?i)supino""),""Supino"",
  IF(
   REGEXMATCH($B8,""(?i)terra""),""Terra"",
   IF(
    REGEXMATCH($B8,""(?i)desenvolvimento""),""Desenvolvimento"",
  "&amp;"  IF(
     REGEXMATCH($B8,""(?i)remada""),""Remada"",
     IF(REGEXMATCH($B8,""(?i)arranco""),""Arranco"",IF(REGEXMATCH($B8,""(?i)arremesso""),""Arremesso"",""""))
    )
   )
  )
 )
),
prs!$A$18:$D$24,
4,
FALSE
)
,"""")"),"")</f>
        <v/>
      </c>
      <c r="G8" s="41"/>
      <c r="H8" s="44"/>
      <c r="I8" s="35"/>
      <c r="J8" s="36"/>
      <c r="K8" s="36"/>
      <c r="L8" s="38"/>
      <c r="M8" s="41" t="str">
        <f>IFERROR(__xludf.DUMMYFUNCTION("IFERROR(
$L8/
VLOOKUP(
IF(
 REGEXMATCH($I8,""(?i)agachamento""),""Agachamento"",
 IF(
  REGEXMATCH($I8,""(?i)supino""),""Supino"",
  IF(
   REGEXMATCH($I8,""(?i)terra""),""Terra"",
   IF(
    REGEXMATCH($I8,""(?i)desenvolvimento""),""Desenvolvimento"",
  "&amp;"  IF(
     REGEXMATCH($I8,""(?i)remada""),""Remada"",
     IF(REGEXMATCH($I8,""(?i)arranco""),""Arranco"",IF(REGEXMATCH($I8,""(?i)arremesso""),""Arremesso"",""""))
    )
   )
  )
 )
),
prs!$A$18:$D$24,
4,
FALSE
)
,"""")"),"")</f>
        <v/>
      </c>
      <c r="N8" s="41"/>
      <c r="O8" s="47"/>
      <c r="P8" s="35"/>
      <c r="Q8" s="36"/>
      <c r="R8" s="36"/>
      <c r="S8" s="38"/>
      <c r="T8" s="41" t="str">
        <f>IFERROR(__xludf.DUMMYFUNCTION("IFERROR(
$S8/
VLOOKUP(
IF(
 REGEXMATCH($P8,""(?i)agachamento""),""Agachamento"",
 IF(
  REGEXMATCH($P8,""(?i)supino""),""Supino"",
  IF(
   REGEXMATCH($P8,""(?i)terra""),""Terra"",
   IF(
    REGEXMATCH($P8,""(?i)desenvolvimento""),""Desenvolvimento"",
  "&amp;"  IF(
     REGEXMATCH($P8,""(?i)remada""),""Remada"",
     IF(REGEXMATCH($P8,""(?i)arranco""),""Arranco"",IF(REGEXMATCH($P8,""(?i)arremesso""),""Arremesso"",""""))
    )
   )
  )
 )
),
prs!$A$18:$D$24,
4,
FALSE
)
,"""")"),"")</f>
        <v/>
      </c>
      <c r="U8" s="41"/>
      <c r="V8" s="47"/>
      <c r="W8" s="35"/>
      <c r="X8" s="36"/>
      <c r="Y8" s="36"/>
      <c r="Z8" s="38"/>
      <c r="AA8" s="41" t="str">
        <f>IFERROR(__xludf.DUMMYFUNCTION("IFERROR(
$Z8/
VLOOKUP(
IF(
 REGEXMATCH($W8,""(?i)agachamento""),""Agachamento"",
 IF(
  REGEXMATCH($W8,""(?i)supino""),""Supino"",
  IF(
   REGEXMATCH($W8,""(?i)terra""),""Terra"",
   IF(
    REGEXMATCH($W8,""(?i)desenvolvimento""),""Desenvolvimento"",
  "&amp;"  IF(
     REGEXMATCH($W8,""(?i)remada""),""Remada"",
     IF(REGEXMATCH($W8,""(?i)arranco""),""Arranco"",IF(REGEXMATCH($W8,""(?i)arremesso""),""Arremesso"",""""))
    )
   )
  )
 )
),
prs!$A$18:$D$24,
4,
FALSE
)
,"""")"),"")</f>
        <v/>
      </c>
      <c r="AB8" s="41"/>
      <c r="AC8" s="32"/>
    </row>
    <row r="9" ht="15.75" customHeight="1">
      <c r="A9" s="32"/>
      <c r="B9" s="35"/>
      <c r="C9" s="50"/>
      <c r="D9" s="50"/>
      <c r="E9" s="51"/>
      <c r="F9" s="41" t="str">
        <f>IFERROR(__xludf.DUMMYFUNCTION("IFERROR(
$E9/
VLOOKUP(
IF(
 REGEXMATCH($B9,""(?i)agachamento""),""Agachamento"",
 IF(
  REGEXMATCH($B9,""(?i)supino""),""Supino"",
  IF(
   REGEXMATCH($B9,""(?i)terra""),""Terra"",
   IF(
    REGEXMATCH($B9,""(?i)desenvolvimento""),""Desenvolvimento"",
  "&amp;"  IF(
     REGEXMATCH($B9,""(?i)remada""),""Remada"",
     IF(REGEXMATCH($B9,""(?i)arranco""),""Arranco"",IF(REGEXMATCH($B9,""(?i)arremesso""),""Arremesso"",""""))
    )
   )
  )
 )
),
prs!$A$18:$D$24,
4,
FALSE
)
,"""")"),"")</f>
        <v/>
      </c>
      <c r="G9" s="41"/>
      <c r="H9" s="44"/>
      <c r="I9" s="35"/>
      <c r="J9" s="50"/>
      <c r="K9" s="50"/>
      <c r="L9" s="51"/>
      <c r="M9" s="41" t="str">
        <f>IFERROR(__xludf.DUMMYFUNCTION("IFERROR(
$L9/
VLOOKUP(
IF(
 REGEXMATCH($I9,""(?i)agachamento""),""Agachamento"",
 IF(
  REGEXMATCH($I9,""(?i)supino""),""Supino"",
  IF(
   REGEXMATCH($I9,""(?i)terra""),""Terra"",
   IF(
    REGEXMATCH($I9,""(?i)desenvolvimento""),""Desenvolvimento"",
  "&amp;"  IF(
     REGEXMATCH($I9,""(?i)remada""),""Remada"",
     IF(REGEXMATCH($I9,""(?i)arranco""),""Arranco"",IF(REGEXMATCH($I9,""(?i)arremesso""),""Arremesso"",""""))
    )
   )
  )
 )
),
prs!$A$18:$D$24,
4,
FALSE
)
,"""")"),"")</f>
        <v/>
      </c>
      <c r="N9" s="41"/>
      <c r="O9" s="47"/>
      <c r="P9" s="35"/>
      <c r="Q9" s="50"/>
      <c r="R9" s="50"/>
      <c r="S9" s="51"/>
      <c r="T9" s="41" t="str">
        <f>IFERROR(__xludf.DUMMYFUNCTION("IFERROR(
$S9/
VLOOKUP(
IF(
 REGEXMATCH($P9,""(?i)agachamento""),""Agachamento"",
 IF(
  REGEXMATCH($P9,""(?i)supino""),""Supino"",
  IF(
   REGEXMATCH($P9,""(?i)terra""),""Terra"",
   IF(
    REGEXMATCH($P9,""(?i)desenvolvimento""),""Desenvolvimento"",
  "&amp;"  IF(
     REGEXMATCH($P9,""(?i)remada""),""Remada"",
     IF(REGEXMATCH($P9,""(?i)arranco""),""Arranco"",IF(REGEXMATCH($P9,""(?i)arremesso""),""Arremesso"",""""))
    )
   )
  )
 )
),
prs!$A$18:$D$24,
4,
FALSE
)
,"""")"),"")</f>
        <v/>
      </c>
      <c r="U9" s="41"/>
      <c r="V9" s="47"/>
      <c r="W9" s="35"/>
      <c r="X9" s="50"/>
      <c r="Y9" s="50"/>
      <c r="Z9" s="51"/>
      <c r="AA9" s="41" t="str">
        <f>IFERROR(__xludf.DUMMYFUNCTION("IFERROR(
$Z9/
VLOOKUP(
IF(
 REGEXMATCH($W9,""(?i)agachamento""),""Agachamento"",
 IF(
  REGEXMATCH($W9,""(?i)supino""),""Supino"",
  IF(
   REGEXMATCH($W9,""(?i)terra""),""Terra"",
   IF(
    REGEXMATCH($W9,""(?i)desenvolvimento""),""Desenvolvimento"",
  "&amp;"  IF(
     REGEXMATCH($W9,""(?i)remada""),""Remada"",
     IF(REGEXMATCH($W9,""(?i)arranco""),""Arranco"",IF(REGEXMATCH($W9,""(?i)arremesso""),""Arremesso"",""""))
    )
   )
  )
 )
),
prs!$A$18:$D$24,
4,
FALSE
)
,"""")"),"")</f>
        <v/>
      </c>
      <c r="AB9" s="41"/>
      <c r="AC9" s="32"/>
    </row>
    <row r="10" ht="15.75" customHeight="1">
      <c r="A10" s="32"/>
      <c r="B10" s="35"/>
      <c r="C10" s="50"/>
      <c r="D10" s="50"/>
      <c r="E10" s="51"/>
      <c r="F10" s="41" t="str">
        <f>IFERROR(__xludf.DUMMYFUNCTION("IFERROR(
$E10/
VLOOKUP(
IF(
 REGEXMATCH($B10,""(?i)agachamento""),""Agachamento"",
 IF(
  REGEXMATCH($B10,""(?i)supino""),""Supino"",
  IF(
   REGEXMATCH($B10,""(?i)terra""),""Terra"",
   IF(
    REGEXMATCH($B10,""(?i)desenvolvimento""),""Desenvolvimento"&amp;""",
    IF(
     REGEXMATCH($B10,""(?i)remada""),""Remada"",
     IF(REGEXMATCH($B10,""(?i)arranco""),""Arranco"",IF(REGEXMATCH($B10,""(?i)arremesso""),""Arremesso"",""""))
    )
   )
  )
 )
),
prs!$A$18:$D$24,
4,
FALSE
)
,"""")"),"")</f>
        <v/>
      </c>
      <c r="G10" s="41"/>
      <c r="H10" s="44"/>
      <c r="I10" s="35"/>
      <c r="J10" s="50"/>
      <c r="K10" s="50"/>
      <c r="L10" s="51"/>
      <c r="M10" s="41" t="str">
        <f>IFERROR(__xludf.DUMMYFUNCTION("IFERROR(
$L10/
VLOOKUP(
IF(
 REGEXMATCH($I10,""(?i)agachamento""),""Agachamento"",
 IF(
  REGEXMATCH($I10,""(?i)supino""),""Supino"",
  IF(
   REGEXMATCH($I10,""(?i)terra""),""Terra"",
   IF(
    REGEXMATCH($I10,""(?i)desenvolvimento""),""Desenvolvimento"&amp;""",
    IF(
     REGEXMATCH($I10,""(?i)remada""),""Remada"",
     IF(REGEXMATCH($I10,""(?i)arranco""),""Arranco"",IF(REGEXMATCH($I10,""(?i)arremesso""),""Arremesso"",""""))
    )
   )
  )
 )
),
prs!$A$18:$D$24,
4,
FALSE
)
,"""")"),"")</f>
        <v/>
      </c>
      <c r="N10" s="41"/>
      <c r="O10" s="47"/>
      <c r="P10" s="35"/>
      <c r="Q10" s="50"/>
      <c r="R10" s="50"/>
      <c r="S10" s="51"/>
      <c r="T10" s="41" t="str">
        <f>IFERROR(__xludf.DUMMYFUNCTION("IFERROR(
$S10/
VLOOKUP(
IF(
 REGEXMATCH($P10,""(?i)agachamento""),""Agachamento"",
 IF(
  REGEXMATCH($P10,""(?i)supino""),""Supino"",
  IF(
   REGEXMATCH($P10,""(?i)terra""),""Terra"",
   IF(
    REGEXMATCH($P10,""(?i)desenvolvimento""),""Desenvolvimento"&amp;""",
    IF(
     REGEXMATCH($P10,""(?i)remada""),""Remada"",
     IF(REGEXMATCH($P10,""(?i)arranco""),""Arranco"",IF(REGEXMATCH($P10,""(?i)arremesso""),""Arremesso"",""""))
    )
   )
  )
 )
),
prs!$A$18:$D$24,
4,
FALSE
)
,"""")"),"")</f>
        <v/>
      </c>
      <c r="U10" s="41"/>
      <c r="V10" s="47"/>
      <c r="W10" s="35"/>
      <c r="X10" s="50"/>
      <c r="Y10" s="50"/>
      <c r="Z10" s="51"/>
      <c r="AA10" s="41" t="str">
        <f>IFERROR(__xludf.DUMMYFUNCTION("IFERROR(
$Z10/
VLOOKUP(
IF(
 REGEXMATCH($W10,""(?i)agachamento""),""Agachamento"",
 IF(
  REGEXMATCH($W10,""(?i)supino""),""Supino"",
  IF(
   REGEXMATCH($W10,""(?i)terra""),""Terra"",
   IF(
    REGEXMATCH($W10,""(?i)desenvolvimento""),""Desenvolvimento"&amp;""",
    IF(
     REGEXMATCH($W10,""(?i)remada""),""Remada"",
     IF(REGEXMATCH($W10,""(?i)arranco""),""Arranco"",IF(REGEXMATCH($W10,""(?i)arremesso""),""Arremesso"",""""))
    )
   )
  )
 )
),
prs!$A$18:$D$24,
4,
FALSE
)
,"""")"),"")</f>
        <v/>
      </c>
      <c r="AB10" s="41"/>
      <c r="AC10" s="32"/>
    </row>
    <row r="11" ht="15.75" customHeight="1">
      <c r="A11" s="32"/>
      <c r="B11" s="35"/>
      <c r="C11" s="50"/>
      <c r="D11" s="50"/>
      <c r="E11" s="51"/>
      <c r="F11" s="41" t="str">
        <f>IFERROR(__xludf.DUMMYFUNCTION("IFERROR(
$E11/
VLOOKUP(
IF(
 REGEXMATCH($B11,""(?i)agachamento""),""Agachamento"",
 IF(
  REGEXMATCH($B11,""(?i)supino""),""Supino"",
  IF(
   REGEXMATCH($B11,""(?i)terra""),""Terra"",
   IF(
    REGEXMATCH($B11,""(?i)desenvolvimento""),""Desenvolvimento"&amp;""",
    IF(
     REGEXMATCH($B11,""(?i)remada""),""Remada"",
     IF(REGEXMATCH($B11,""(?i)arranco""),""Arranco"",IF(REGEXMATCH($B11,""(?i)arremesso""),""Arremesso"",""""))
    )
   )
  )
 )
),
prs!$A$18:$D$24,
4,
FALSE
)
,"""")"),"")</f>
        <v/>
      </c>
      <c r="G11" s="41"/>
      <c r="H11" s="44"/>
      <c r="I11" s="35"/>
      <c r="J11" s="50"/>
      <c r="K11" s="50"/>
      <c r="L11" s="51"/>
      <c r="M11" s="41" t="str">
        <f>IFERROR(__xludf.DUMMYFUNCTION("IFERROR(
$L11/
VLOOKUP(
IF(
 REGEXMATCH($I11,""(?i)agachamento""),""Agachamento"",
 IF(
  REGEXMATCH($I11,""(?i)supino""),""Supino"",
  IF(
   REGEXMATCH($I11,""(?i)terra""),""Terra"",
   IF(
    REGEXMATCH($I11,""(?i)desenvolvimento""),""Desenvolvimento"&amp;""",
    IF(
     REGEXMATCH($I11,""(?i)remada""),""Remada"",
     IF(REGEXMATCH($I11,""(?i)arranco""),""Arranco"",IF(REGEXMATCH($I11,""(?i)arremesso""),""Arremesso"",""""))
    )
   )
  )
 )
),
prs!$A$18:$D$24,
4,
FALSE
)
,"""")"),"")</f>
        <v/>
      </c>
      <c r="N11" s="41"/>
      <c r="O11" s="47"/>
      <c r="P11" s="35"/>
      <c r="Q11" s="50"/>
      <c r="R11" s="50"/>
      <c r="S11" s="51"/>
      <c r="T11" s="41" t="str">
        <f>IFERROR(__xludf.DUMMYFUNCTION("IFERROR(
$S11/
VLOOKUP(
IF(
 REGEXMATCH($P11,""(?i)agachamento""),""Agachamento"",
 IF(
  REGEXMATCH($P11,""(?i)supino""),""Supino"",
  IF(
   REGEXMATCH($P11,""(?i)terra""),""Terra"",
   IF(
    REGEXMATCH($P11,""(?i)desenvolvimento""),""Desenvolvimento"&amp;""",
    IF(
     REGEXMATCH($P11,""(?i)remada""),""Remada"",
     IF(REGEXMATCH($P11,""(?i)arranco""),""Arranco"",IF(REGEXMATCH($P11,""(?i)arremesso""),""Arremesso"",""""))
    )
   )
  )
 )
),
prs!$A$18:$D$24,
4,
FALSE
)
,"""")"),"")</f>
        <v/>
      </c>
      <c r="U11" s="41"/>
      <c r="V11" s="47"/>
      <c r="W11" s="35"/>
      <c r="X11" s="50"/>
      <c r="Y11" s="50"/>
      <c r="Z11" s="51"/>
      <c r="AA11" s="41" t="str">
        <f>IFERROR(__xludf.DUMMYFUNCTION("IFERROR(
$Z11/
VLOOKUP(
IF(
 REGEXMATCH($W11,""(?i)agachamento""),""Agachamento"",
 IF(
  REGEXMATCH($W11,""(?i)supino""),""Supino"",
  IF(
   REGEXMATCH($W11,""(?i)terra""),""Terra"",
   IF(
    REGEXMATCH($W11,""(?i)desenvolvimento""),""Desenvolvimento"&amp;""",
    IF(
     REGEXMATCH($W11,""(?i)remada""),""Remada"",
     IF(REGEXMATCH($W11,""(?i)arranco""),""Arranco"",IF(REGEXMATCH($W11,""(?i)arremesso""),""Arremesso"",""""))
    )
   )
  )
 )
),
prs!$A$18:$D$24,
4,
FALSE
)
,"""")"),"")</f>
        <v/>
      </c>
      <c r="AB11" s="41"/>
      <c r="AC11" s="32"/>
    </row>
    <row r="12" ht="15.75" customHeight="1">
      <c r="A12" s="32"/>
      <c r="B12" s="35"/>
      <c r="C12" s="50"/>
      <c r="D12" s="50"/>
      <c r="E12" s="51"/>
      <c r="F12" s="41" t="str">
        <f>IFERROR(__xludf.DUMMYFUNCTION("IFERROR(
$E12/
VLOOKUP(
IF(
 REGEXMATCH($B12,""(?i)agachamento""),""Agachamento"",
 IF(
  REGEXMATCH($B12,""(?i)supino""),""Supino"",
  IF(
   REGEXMATCH($B12,""(?i)terra""),""Terra"",
   IF(
    REGEXMATCH($B12,""(?i)desenvolvimento""),""Desenvolvimento"&amp;""",
    IF(
     REGEXMATCH($B12,""(?i)remada""),""Remada"",
     IF(REGEXMATCH($B12,""(?i)arranco""),""Arranco"",IF(REGEXMATCH($B12,""(?i)arremesso""),""Arremesso"",""""))
    )
   )
  )
 )
),
prs!$A$18:$D$24,
4,
FALSE
)
,"""")"),"")</f>
        <v/>
      </c>
      <c r="G12" s="41"/>
      <c r="H12" s="44"/>
      <c r="I12" s="35"/>
      <c r="J12" s="50"/>
      <c r="K12" s="50"/>
      <c r="L12" s="51"/>
      <c r="M12" s="41" t="str">
        <f>IFERROR(__xludf.DUMMYFUNCTION("IFERROR(
$L12/
VLOOKUP(
IF(
 REGEXMATCH($I12,""(?i)agachamento""),""Agachamento"",
 IF(
  REGEXMATCH($I12,""(?i)supino""),""Supino"",
  IF(
   REGEXMATCH($I12,""(?i)terra""),""Terra"",
   IF(
    REGEXMATCH($I12,""(?i)desenvolvimento""),""Desenvolvimento"&amp;""",
    IF(
     REGEXMATCH($I12,""(?i)remada""),""Remada"",
     IF(REGEXMATCH($I12,""(?i)arranco""),""Arranco"",IF(REGEXMATCH($I12,""(?i)arremesso""),""Arremesso"",""""))
    )
   )
  )
 )
),
prs!$A$18:$D$24,
4,
FALSE
)
,"""")"),"")</f>
        <v/>
      </c>
      <c r="N12" s="41"/>
      <c r="O12" s="47"/>
      <c r="P12" s="35"/>
      <c r="Q12" s="50"/>
      <c r="R12" s="50"/>
      <c r="S12" s="51"/>
      <c r="T12" s="41" t="str">
        <f>IFERROR(__xludf.DUMMYFUNCTION("IFERROR(
$S12/
VLOOKUP(
IF(
 REGEXMATCH($P12,""(?i)agachamento""),""Agachamento"",
 IF(
  REGEXMATCH($P12,""(?i)supino""),""Supino"",
  IF(
   REGEXMATCH($P12,""(?i)terra""),""Terra"",
   IF(
    REGEXMATCH($P12,""(?i)desenvolvimento""),""Desenvolvimento"&amp;""",
    IF(
     REGEXMATCH($P12,""(?i)remada""),""Remada"",
     IF(REGEXMATCH($P12,""(?i)arranco""),""Arranco"",IF(REGEXMATCH($P12,""(?i)arremesso""),""Arremesso"",""""))
    )
   )
  )
 )
),
prs!$A$18:$D$24,
4,
FALSE
)
,"""")"),"")</f>
        <v/>
      </c>
      <c r="U12" s="41"/>
      <c r="V12" s="47"/>
      <c r="W12" s="35"/>
      <c r="X12" s="50"/>
      <c r="Y12" s="50"/>
      <c r="Z12" s="51"/>
      <c r="AA12" s="41" t="str">
        <f>IFERROR(__xludf.DUMMYFUNCTION("IFERROR(
$Z12/
VLOOKUP(
IF(
 REGEXMATCH($W12,""(?i)agachamento""),""Agachamento"",
 IF(
  REGEXMATCH($W12,""(?i)supino""),""Supino"",
  IF(
   REGEXMATCH($W12,""(?i)terra""),""Terra"",
   IF(
    REGEXMATCH($W12,""(?i)desenvolvimento""),""Desenvolvimento"&amp;""",
    IF(
     REGEXMATCH($W12,""(?i)remada""),""Remada"",
     IF(REGEXMATCH($W12,""(?i)arranco""),""Arranco"",IF(REGEXMATCH($W12,""(?i)arremesso""),""Arremesso"",""""))
    )
   )
  )
 )
),
prs!$A$18:$D$24,
4,
FALSE
)
,"""")"),"")</f>
        <v/>
      </c>
      <c r="AB12" s="41"/>
      <c r="AC12" s="32"/>
    </row>
    <row r="13" ht="15.75" customHeight="1">
      <c r="A13" s="32"/>
      <c r="B13" s="35"/>
      <c r="C13" s="50"/>
      <c r="D13" s="50"/>
      <c r="E13" s="51"/>
      <c r="F13" s="41" t="str">
        <f>IFERROR(__xludf.DUMMYFUNCTION("IFERROR(
$E13/
VLOOKUP(
IF(
 REGEXMATCH($B13,""(?i)agachamento""),""Agachamento"",
 IF(
  REGEXMATCH($B13,""(?i)supino""),""Supino"",
  IF(
   REGEXMATCH($B13,""(?i)terra""),""Terra"",
   IF(
    REGEXMATCH($B13,""(?i)desenvolvimento""),""Desenvolvimento"&amp;""",
    IF(
     REGEXMATCH($B13,""(?i)remada""),""Remada"",
     IF(REGEXMATCH($B13,""(?i)arranco""),""Arranco"",IF(REGEXMATCH($B13,""(?i)arremesso""),""Arremesso"",""""))
    )
   )
  )
 )
),
prs!$A$18:$D$24,
4,
FALSE
)
,"""")"),"")</f>
        <v/>
      </c>
      <c r="G13" s="41"/>
      <c r="H13" s="44"/>
      <c r="I13" s="35"/>
      <c r="J13" s="50"/>
      <c r="K13" s="50"/>
      <c r="L13" s="51"/>
      <c r="M13" s="41" t="str">
        <f>IFERROR(__xludf.DUMMYFUNCTION("IFERROR(
$L13/
VLOOKUP(
IF(
 REGEXMATCH($I13,""(?i)agachamento""),""Agachamento"",
 IF(
  REGEXMATCH($I13,""(?i)supino""),""Supino"",
  IF(
   REGEXMATCH($I13,""(?i)terra""),""Terra"",
   IF(
    REGEXMATCH($I13,""(?i)desenvolvimento""),""Desenvolvimento"&amp;""",
    IF(
     REGEXMATCH($I13,""(?i)remada""),""Remada"",
     IF(REGEXMATCH($I13,""(?i)arranco""),""Arranco"",IF(REGEXMATCH($I13,""(?i)arremesso""),""Arremesso"",""""))
    )
   )
  )
 )
),
prs!$A$18:$D$24,
4,
FALSE
)
,"""")"),"")</f>
        <v/>
      </c>
      <c r="N13" s="41"/>
      <c r="O13" s="47"/>
      <c r="P13" s="35"/>
      <c r="Q13" s="50"/>
      <c r="R13" s="50"/>
      <c r="S13" s="51"/>
      <c r="T13" s="41" t="str">
        <f>IFERROR(__xludf.DUMMYFUNCTION("IFERROR(
$S13/
VLOOKUP(
IF(
 REGEXMATCH($P13,""(?i)agachamento""),""Agachamento"",
 IF(
  REGEXMATCH($P13,""(?i)supino""),""Supino"",
  IF(
   REGEXMATCH($P13,""(?i)terra""),""Terra"",
   IF(
    REGEXMATCH($P13,""(?i)desenvolvimento""),""Desenvolvimento"&amp;""",
    IF(
     REGEXMATCH($P13,""(?i)remada""),""Remada"",
     IF(REGEXMATCH($P13,""(?i)arranco""),""Arranco"",IF(REGEXMATCH($P13,""(?i)arremesso""),""Arremesso"",""""))
    )
   )
  )
 )
),
prs!$A$18:$D$24,
4,
FALSE
)
,"""")"),"")</f>
        <v/>
      </c>
      <c r="U13" s="41"/>
      <c r="V13" s="47"/>
      <c r="W13" s="35"/>
      <c r="X13" s="50"/>
      <c r="Y13" s="50"/>
      <c r="Z13" s="51"/>
      <c r="AA13" s="41" t="str">
        <f>IFERROR(__xludf.DUMMYFUNCTION("IFERROR(
$Z13/
VLOOKUP(
IF(
 REGEXMATCH($W13,""(?i)agachamento""),""Agachamento"",
 IF(
  REGEXMATCH($W13,""(?i)supino""),""Supino"",
  IF(
   REGEXMATCH($W13,""(?i)terra""),""Terra"",
   IF(
    REGEXMATCH($W13,""(?i)desenvolvimento""),""Desenvolvimento"&amp;""",
    IF(
     REGEXMATCH($W13,""(?i)remada""),""Remada"",
     IF(REGEXMATCH($W13,""(?i)arranco""),""Arranco"",IF(REGEXMATCH($W13,""(?i)arremesso""),""Arremesso"",""""))
    )
   )
  )
 )
),
prs!$A$18:$D$24,
4,
FALSE
)
,"""")"),"")</f>
        <v/>
      </c>
      <c r="AB13" s="41"/>
      <c r="AC13" s="32"/>
    </row>
    <row r="14" ht="15.75" customHeight="1">
      <c r="A14" s="32"/>
      <c r="B14" s="35"/>
      <c r="C14" s="50"/>
      <c r="D14" s="50"/>
      <c r="E14" s="51"/>
      <c r="F14" s="41" t="str">
        <f>IFERROR(__xludf.DUMMYFUNCTION("IFERROR(
$E14/
VLOOKUP(
IF(
 REGEXMATCH($B14,""(?i)agachamento""),""Agachamento"",
 IF(
  REGEXMATCH($B14,""(?i)supino""),""Supino"",
  IF(
   REGEXMATCH($B14,""(?i)terra""),""Terra"",
   IF(
    REGEXMATCH($B14,""(?i)desenvolvimento""),""Desenvolvimento"&amp;""",
    IF(
     REGEXMATCH($B14,""(?i)remada""),""Remada"",
     IF(REGEXMATCH($B14,""(?i)arranco""),""Arranco"",IF(REGEXMATCH($B14,""(?i)arremesso""),""Arremesso"",""""))
    )
   )
  )
 )
),
prs!$A$18:$D$24,
4,
FALSE
)
,"""")"),"")</f>
        <v/>
      </c>
      <c r="G14" s="41"/>
      <c r="H14" s="44"/>
      <c r="I14" s="35"/>
      <c r="J14" s="50"/>
      <c r="K14" s="50"/>
      <c r="L14" s="51"/>
      <c r="M14" s="41" t="str">
        <f>IFERROR(__xludf.DUMMYFUNCTION("IFERROR(
$L14/
VLOOKUP(
IF(
 REGEXMATCH($I14,""(?i)agachamento""),""Agachamento"",
 IF(
  REGEXMATCH($I14,""(?i)supino""),""Supino"",
  IF(
   REGEXMATCH($I14,""(?i)terra""),""Terra"",
   IF(
    REGEXMATCH($I14,""(?i)desenvolvimento""),""Desenvolvimento"&amp;""",
    IF(
     REGEXMATCH($I14,""(?i)remada""),""Remada"",
     IF(REGEXMATCH($I14,""(?i)arranco""),""Arranco"",IF(REGEXMATCH($I14,""(?i)arremesso""),""Arremesso"",""""))
    )
   )
  )
 )
),
prs!$A$18:$D$24,
4,
FALSE
)
,"""")"),"")</f>
        <v/>
      </c>
      <c r="N14" s="41"/>
      <c r="O14" s="47"/>
      <c r="P14" s="35"/>
      <c r="Q14" s="50"/>
      <c r="R14" s="50"/>
      <c r="S14" s="51"/>
      <c r="T14" s="41" t="str">
        <f>IFERROR(__xludf.DUMMYFUNCTION("IFERROR(
$S14/
VLOOKUP(
IF(
 REGEXMATCH($P14,""(?i)agachamento""),""Agachamento"",
 IF(
  REGEXMATCH($P14,""(?i)supino""),""Supino"",
  IF(
   REGEXMATCH($P14,""(?i)terra""),""Terra"",
   IF(
    REGEXMATCH($P14,""(?i)desenvolvimento""),""Desenvolvimento"&amp;""",
    IF(
     REGEXMATCH($P14,""(?i)remada""),""Remada"",
     IF(REGEXMATCH($P14,""(?i)arranco""),""Arranco"",IF(REGEXMATCH($P14,""(?i)arremesso""),""Arremesso"",""""))
    )
   )
  )
 )
),
prs!$A$18:$D$24,
4,
FALSE
)
,"""")"),"")</f>
        <v/>
      </c>
      <c r="U14" s="41"/>
      <c r="V14" s="47"/>
      <c r="W14" s="35"/>
      <c r="X14" s="50"/>
      <c r="Y14" s="50"/>
      <c r="Z14" s="51"/>
      <c r="AA14" s="41" t="str">
        <f>IFERROR(__xludf.DUMMYFUNCTION("IFERROR(
$Z14/
VLOOKUP(
IF(
 REGEXMATCH($W14,""(?i)agachamento""),""Agachamento"",
 IF(
  REGEXMATCH($W14,""(?i)supino""),""Supino"",
  IF(
   REGEXMATCH($W14,""(?i)terra""),""Terra"",
   IF(
    REGEXMATCH($W14,""(?i)desenvolvimento""),""Desenvolvimento"&amp;""",
    IF(
     REGEXMATCH($W14,""(?i)remada""),""Remada"",
     IF(REGEXMATCH($W14,""(?i)arranco""),""Arranco"",IF(REGEXMATCH($W14,""(?i)arremesso""),""Arremesso"",""""))
    )
   )
  )
 )
),
prs!$A$18:$D$24,
4,
FALSE
)
,"""")"),"")</f>
        <v/>
      </c>
      <c r="AB14" s="41"/>
      <c r="AC14" s="32"/>
    </row>
    <row r="15" ht="15.75" customHeight="1">
      <c r="A15" s="32"/>
      <c r="B15" s="35"/>
      <c r="C15" s="50"/>
      <c r="D15" s="50"/>
      <c r="E15" s="51"/>
      <c r="F15" s="41" t="str">
        <f>IFERROR(__xludf.DUMMYFUNCTION("IFERROR(
$E15/
VLOOKUP(
IF(
 REGEXMATCH($B15,""(?i)agachamento""),""Agachamento"",
 IF(
  REGEXMATCH($B15,""(?i)supino""),""Supino"",
  IF(
   REGEXMATCH($B15,""(?i)terra""),""Terra"",
   IF(
    REGEXMATCH($B15,""(?i)desenvolvimento""),""Desenvolvimento"&amp;""",
    IF(
     REGEXMATCH($B15,""(?i)remada""),""Remada"",
     IF(REGEXMATCH($B15,""(?i)arranco""),""Arranco"",IF(REGEXMATCH($B15,""(?i)arremesso""),""Arremesso"",""""))
    )
   )
  )
 )
),
prs!$A$18:$D$24,
4,
FALSE
)
,"""")"),"")</f>
        <v/>
      </c>
      <c r="G15" s="41"/>
      <c r="H15" s="44"/>
      <c r="I15" s="35"/>
      <c r="J15" s="50"/>
      <c r="K15" s="50"/>
      <c r="L15" s="51"/>
      <c r="M15" s="41" t="str">
        <f>IFERROR(__xludf.DUMMYFUNCTION("IFERROR(
$L15/
VLOOKUP(
IF(
 REGEXMATCH($I15,""(?i)agachamento""),""Agachamento"",
 IF(
  REGEXMATCH($I15,""(?i)supino""),""Supino"",
  IF(
   REGEXMATCH($I15,""(?i)terra""),""Terra"",
   IF(
    REGEXMATCH($I15,""(?i)desenvolvimento""),""Desenvolvimento"&amp;""",
    IF(
     REGEXMATCH($I15,""(?i)remada""),""Remada"",
     IF(REGEXMATCH($I15,""(?i)arranco""),""Arranco"",IF(REGEXMATCH($I15,""(?i)arremesso""),""Arremesso"",""""))
    )
   )
  )
 )
),
prs!$A$18:$D$24,
4,
FALSE
)
,"""")"),"")</f>
        <v/>
      </c>
      <c r="N15" s="41"/>
      <c r="O15" s="47"/>
      <c r="P15" s="35"/>
      <c r="Q15" s="50"/>
      <c r="R15" s="50"/>
      <c r="S15" s="51"/>
      <c r="T15" s="41" t="str">
        <f>IFERROR(__xludf.DUMMYFUNCTION("IFERROR(
$S15/
VLOOKUP(
IF(
 REGEXMATCH($P15,""(?i)agachamento""),""Agachamento"",
 IF(
  REGEXMATCH($P15,""(?i)supino""),""Supino"",
  IF(
   REGEXMATCH($P15,""(?i)terra""),""Terra"",
   IF(
    REGEXMATCH($P15,""(?i)desenvolvimento""),""Desenvolvimento"&amp;""",
    IF(
     REGEXMATCH($P15,""(?i)remada""),""Remada"",
     IF(REGEXMATCH($P15,""(?i)arranco""),""Arranco"",IF(REGEXMATCH($P15,""(?i)arremesso""),""Arremesso"",""""))
    )
   )
  )
 )
),
prs!$A$18:$D$24,
4,
FALSE
)
,"""")"),"")</f>
        <v/>
      </c>
      <c r="U15" s="41"/>
      <c r="V15" s="47"/>
      <c r="W15" s="35"/>
      <c r="X15" s="50"/>
      <c r="Y15" s="50"/>
      <c r="Z15" s="51"/>
      <c r="AA15" s="41" t="str">
        <f>IFERROR(__xludf.DUMMYFUNCTION("IFERROR(
$Z15/
VLOOKUP(
IF(
 REGEXMATCH($W15,""(?i)agachamento""),""Agachamento"",
 IF(
  REGEXMATCH($W15,""(?i)supino""),""Supino"",
  IF(
   REGEXMATCH($W15,""(?i)terra""),""Terra"",
   IF(
    REGEXMATCH($W15,""(?i)desenvolvimento""),""Desenvolvimento"&amp;""",
    IF(
     REGEXMATCH($W15,""(?i)remada""),""Remada"",
     IF(REGEXMATCH($W15,""(?i)arranco""),""Arranco"",IF(REGEXMATCH($W15,""(?i)arremesso""),""Arremesso"",""""))
    )
   )
  )
 )
),
prs!$A$18:$D$24,
4,
FALSE
)
,"""")"),"")</f>
        <v/>
      </c>
      <c r="AB15" s="41"/>
      <c r="AC15" s="32"/>
    </row>
    <row r="16" ht="15.75" customHeight="1">
      <c r="A16" s="33"/>
      <c r="B16" s="52"/>
      <c r="C16" s="37" t="s">
        <v>20</v>
      </c>
      <c r="H16" s="18"/>
      <c r="I16" s="52"/>
      <c r="J16" s="37" t="s">
        <v>23</v>
      </c>
      <c r="O16" s="18"/>
      <c r="P16" s="52"/>
      <c r="Q16" s="37" t="s">
        <v>24</v>
      </c>
      <c r="V16" s="18"/>
      <c r="W16" s="52"/>
      <c r="X16" s="37" t="s">
        <v>25</v>
      </c>
      <c r="AC16" s="18"/>
    </row>
    <row r="17" ht="15.75" customHeight="1">
      <c r="A17" s="44"/>
      <c r="B17" s="44"/>
      <c r="C17" s="44"/>
      <c r="D17" s="44"/>
      <c r="H17" s="44"/>
      <c r="I17" s="44"/>
      <c r="J17" s="44"/>
      <c r="K17" s="44"/>
      <c r="O17" s="44"/>
      <c r="P17" s="44"/>
      <c r="Q17" s="44"/>
      <c r="R17" s="44"/>
      <c r="V17" s="44"/>
      <c r="W17" s="44"/>
      <c r="X17" s="44"/>
      <c r="Y17" s="44"/>
      <c r="AC17" s="44"/>
    </row>
    <row r="18" ht="15.75" customHeight="1">
      <c r="A18" s="33" t="s">
        <v>22</v>
      </c>
      <c r="B18" s="13"/>
      <c r="C18" s="16"/>
      <c r="H18" s="18"/>
      <c r="I18" s="13"/>
      <c r="J18" s="4"/>
      <c r="O18" s="18"/>
      <c r="P18" s="13"/>
      <c r="Q18" s="16"/>
      <c r="V18" s="18"/>
      <c r="W18" s="13"/>
      <c r="X18" s="16"/>
      <c r="AC18" s="44"/>
    </row>
    <row r="19" ht="15.75" customHeight="1">
      <c r="A19" s="33"/>
      <c r="B19" s="52"/>
      <c r="C19" s="5" t="s">
        <v>10</v>
      </c>
      <c r="D19" s="5" t="s">
        <v>12</v>
      </c>
      <c r="E19" s="5" t="s">
        <v>13</v>
      </c>
      <c r="F19" s="5" t="s">
        <v>14</v>
      </c>
      <c r="G19" s="5" t="s">
        <v>15</v>
      </c>
      <c r="H19" s="18"/>
      <c r="I19" s="52"/>
      <c r="J19" s="5" t="s">
        <v>10</v>
      </c>
      <c r="K19" s="5" t="s">
        <v>12</v>
      </c>
      <c r="L19" s="5" t="s">
        <v>13</v>
      </c>
      <c r="M19" s="5" t="s">
        <v>14</v>
      </c>
      <c r="N19" s="5" t="s">
        <v>15</v>
      </c>
      <c r="O19" s="18"/>
      <c r="P19" s="52"/>
      <c r="Q19" s="5" t="s">
        <v>10</v>
      </c>
      <c r="R19" s="5" t="s">
        <v>12</v>
      </c>
      <c r="S19" s="5" t="s">
        <v>13</v>
      </c>
      <c r="T19" s="5" t="s">
        <v>14</v>
      </c>
      <c r="U19" s="5" t="s">
        <v>15</v>
      </c>
      <c r="V19" s="18"/>
      <c r="W19" s="52"/>
      <c r="X19" s="5" t="s">
        <v>10</v>
      </c>
      <c r="Y19" s="5" t="s">
        <v>12</v>
      </c>
      <c r="Z19" s="5" t="s">
        <v>13</v>
      </c>
      <c r="AA19" s="5" t="s">
        <v>14</v>
      </c>
      <c r="AB19" s="5" t="s">
        <v>15</v>
      </c>
      <c r="AC19" s="44"/>
    </row>
    <row r="20" ht="15.75" customHeight="1">
      <c r="A20" s="2"/>
      <c r="B20" s="2" t="s">
        <v>16</v>
      </c>
      <c r="C20" s="29"/>
      <c r="D20" s="5"/>
      <c r="E20" s="5"/>
      <c r="F20" s="5" t="s">
        <v>17</v>
      </c>
      <c r="G20" s="5"/>
      <c r="H20" s="18"/>
      <c r="I20" s="2" t="s">
        <v>16</v>
      </c>
      <c r="J20" s="29"/>
      <c r="K20" s="5"/>
      <c r="L20" s="5"/>
      <c r="M20" s="5" t="s">
        <v>17</v>
      </c>
      <c r="N20" s="5"/>
      <c r="O20" s="18"/>
      <c r="P20" s="2" t="s">
        <v>16</v>
      </c>
      <c r="Q20" s="29"/>
      <c r="R20" s="5"/>
      <c r="S20" s="5"/>
      <c r="T20" s="5" t="s">
        <v>17</v>
      </c>
      <c r="U20" s="5"/>
      <c r="V20" s="18"/>
      <c r="W20" s="2" t="s">
        <v>16</v>
      </c>
      <c r="X20" s="29"/>
      <c r="Y20" s="5"/>
      <c r="Z20" s="5"/>
      <c r="AA20" s="5" t="s">
        <v>17</v>
      </c>
      <c r="AB20" s="5"/>
      <c r="AC20" s="44"/>
    </row>
    <row r="21" ht="15.75" customHeight="1">
      <c r="A21" s="47"/>
      <c r="B21" s="53"/>
      <c r="C21" s="36"/>
      <c r="D21" s="36"/>
      <c r="E21" s="38"/>
      <c r="F21" s="41" t="str">
        <f>IFERROR(__xludf.DUMMYFUNCTION("IFERROR(
$E21/
VLOOKUP(
IF(
 REGEXMATCH($B21,""(?i)agachamento""),""Agachamento"",
 IF(
  REGEXMATCH($B21,""(?i)supino""),""Supino"",
  IF(
   REGEXMATCH($B21,""(?i)terra""),""Terra"",
   IF(
    REGEXMATCH($B21,""(?i)desenvolvimento""),""Desenvolvimento"&amp;""",
    IF(
     REGEXMATCH($B21,""(?i)remada""),""Remada"",
     IF(REGEXMATCH($B21,""(?i)arranco""),""Arranco"",IF(REGEXMATCH($B21,""(?i)arremesso""),""Arremesso"",""""))
    )
   )
  )
 )
),
prs!$A$18:$D$24,
4,
FALSE
)
,"""")"),"")</f>
        <v/>
      </c>
      <c r="G21" s="41"/>
      <c r="H21" s="44"/>
      <c r="I21" s="53"/>
      <c r="J21" s="36"/>
      <c r="K21" s="36"/>
      <c r="L21" s="38"/>
      <c r="M21" s="41" t="str">
        <f>IFERROR(__xludf.DUMMYFUNCTION("IFERROR(
$L21/
VLOOKUP(
IF(
 REGEXMATCH($I21,""(?i)agachamento""),""Agachamento"",
 IF(
  REGEXMATCH($I21,""(?i)supino""),""Supino"",
  IF(
   REGEXMATCH($I21,""(?i)terra""),""Terra"",
   IF(
    REGEXMATCH($I21,""(?i)desenvolvimento""),""Desenvolvimento"&amp;""",
    IF(
     REGEXMATCH($I21,""(?i)remada""),""Remada"",
     IF(REGEXMATCH($I21,""(?i)arranco""),""Arranco"",IF(REGEXMATCH($I21,""(?i)arremesso""),""Arremesso"",""""))
    )
   )
  )
 )
),
prs!$A$18:$D$24,
4,
FALSE
)
,"""")"),"")</f>
        <v/>
      </c>
      <c r="N21" s="41"/>
      <c r="O21" s="47"/>
      <c r="P21" s="53"/>
      <c r="Q21" s="36"/>
      <c r="R21" s="36"/>
      <c r="S21" s="38"/>
      <c r="T21" s="41" t="str">
        <f>IFERROR(__xludf.DUMMYFUNCTION("IFERROR(
$S21/
VLOOKUP(
IF(
 REGEXMATCH($P21,""(?i)agachamento""),""Agachamento"",
 IF(
  REGEXMATCH($P21,""(?i)supino""),""Supino"",
  IF(
   REGEXMATCH($P21,""(?i)terra""),""Terra"",
   IF(
    REGEXMATCH($P21,""(?i)desenvolvimento""),""Desenvolvimento"&amp;""",
    IF(
     REGEXMATCH($P21,""(?i)remada""),""Remada"",
     IF(REGEXMATCH($P21,""(?i)arranco""),""Arranco"",IF(REGEXMATCH($P21,""(?i)arremesso""),""Arremesso"",""""))
    )
   )
  )
 )
),
prs!$A$18:$D$24,
4,
FALSE
)
,"""")"),"")</f>
        <v/>
      </c>
      <c r="U21" s="41"/>
      <c r="V21" s="47"/>
      <c r="W21" s="53"/>
      <c r="X21" s="36"/>
      <c r="Y21" s="36"/>
      <c r="Z21" s="38"/>
      <c r="AA21" s="41" t="str">
        <f>IFERROR(__xludf.DUMMYFUNCTION("IFERROR(
$Z21/
VLOOKUP(
IF(
 REGEXMATCH($W21,""(?i)agachamento""),""Agachamento"",
 IF(
  REGEXMATCH($W21,""(?i)supino""),""Supino"",
  IF(
   REGEXMATCH($W21,""(?i)terra""),""Terra"",
   IF(
    REGEXMATCH($W21,""(?i)desenvolvimento""),""Desenvolvimento"&amp;""",
    IF(
     REGEXMATCH($W21,""(?i)remada""),""Remada"",
     IF(REGEXMATCH($W21,""(?i)arranco""),""Arranco"",IF(REGEXMATCH($W21,""(?i)arremesso""),""Arremesso"",""""))
    )
   )
  )
 )
),
prs!$A$18:$D$24,
4,
FALSE
)
,"""")"),"")</f>
        <v/>
      </c>
      <c r="AB21" s="41"/>
      <c r="AC21" s="47"/>
    </row>
    <row r="22" ht="15.75" customHeight="1">
      <c r="A22" s="47"/>
      <c r="B22" s="53"/>
      <c r="C22" s="36"/>
      <c r="D22" s="36"/>
      <c r="E22" s="38"/>
      <c r="F22" s="41" t="str">
        <f>IFERROR(__xludf.DUMMYFUNCTION("IFERROR(
$E22/
VLOOKUP(
IF(
 REGEXMATCH($B22,""(?i)agachamento""),""Agachamento"",
 IF(
  REGEXMATCH($B22,""(?i)supino""),""Supino"",
  IF(
   REGEXMATCH($B22,""(?i)terra""),""Terra"",
   IF(
    REGEXMATCH($B22,""(?i)desenvolvimento""),""Desenvolvimento"&amp;""",
    IF(
     REGEXMATCH($B22,""(?i)remada""),""Remada"",
     IF(REGEXMATCH($B22,""(?i)arranco""),""Arranco"",IF(REGEXMATCH($B22,""(?i)arremesso""),""Arremesso"",""""))
    )
   )
  )
 )
),
prs!$A$18:$D$24,
4,
FALSE
)
,"""")"),"")</f>
        <v/>
      </c>
      <c r="G22" s="41"/>
      <c r="H22" s="44"/>
      <c r="I22" s="53"/>
      <c r="J22" s="36"/>
      <c r="K22" s="36"/>
      <c r="L22" s="38"/>
      <c r="M22" s="41" t="str">
        <f>IFERROR(__xludf.DUMMYFUNCTION("IFERROR(
$L22/
VLOOKUP(
IF(
 REGEXMATCH($I22,""(?i)agachamento""),""Agachamento"",
 IF(
  REGEXMATCH($I22,""(?i)supino""),""Supino"",
  IF(
   REGEXMATCH($I22,""(?i)terra""),""Terra"",
   IF(
    REGEXMATCH($I22,""(?i)desenvolvimento""),""Desenvolvimento"&amp;""",
    IF(
     REGEXMATCH($I22,""(?i)remada""),""Remada"",
     IF(REGEXMATCH($I22,""(?i)arranco""),""Arranco"",IF(REGEXMATCH($I22,""(?i)arremesso""),""Arremesso"",""""))
    )
   )
  )
 )
),
prs!$A$18:$D$24,
4,
FALSE
)
,"""")"),"")</f>
        <v/>
      </c>
      <c r="N22" s="41"/>
      <c r="O22" s="47"/>
      <c r="P22" s="53"/>
      <c r="Q22" s="36"/>
      <c r="R22" s="36"/>
      <c r="S22" s="38"/>
      <c r="T22" s="41" t="str">
        <f>IFERROR(__xludf.DUMMYFUNCTION("IFERROR(
$S22/
VLOOKUP(
IF(
 REGEXMATCH($P22,""(?i)agachamento""),""Agachamento"",
 IF(
  REGEXMATCH($P22,""(?i)supino""),""Supino"",
  IF(
   REGEXMATCH($P22,""(?i)terra""),""Terra"",
   IF(
    REGEXMATCH($P22,""(?i)desenvolvimento""),""Desenvolvimento"&amp;""",
    IF(
     REGEXMATCH($P22,""(?i)remada""),""Remada"",
     IF(REGEXMATCH($P22,""(?i)arranco""),""Arranco"",IF(REGEXMATCH($P22,""(?i)arremesso""),""Arremesso"",""""))
    )
   )
  )
 )
),
prs!$A$18:$D$24,
4,
FALSE
)
,"""")"),"")</f>
        <v/>
      </c>
      <c r="U22" s="41"/>
      <c r="V22" s="47"/>
      <c r="W22" s="53"/>
      <c r="X22" s="36"/>
      <c r="Y22" s="36"/>
      <c r="Z22" s="38"/>
      <c r="AA22" s="41" t="str">
        <f>IFERROR(__xludf.DUMMYFUNCTION("IFERROR(
$Z22/
VLOOKUP(
IF(
 REGEXMATCH($W22,""(?i)agachamento""),""Agachamento"",
 IF(
  REGEXMATCH($W22,""(?i)supino""),""Supino"",
  IF(
   REGEXMATCH($W22,""(?i)terra""),""Terra"",
   IF(
    REGEXMATCH($W22,""(?i)desenvolvimento""),""Desenvolvimento"&amp;""",
    IF(
     REGEXMATCH($W22,""(?i)remada""),""Remada"",
     IF(REGEXMATCH($W22,""(?i)arranco""),""Arranco"",IF(REGEXMATCH($W22,""(?i)arremesso""),""Arremesso"",""""))
    )
   )
  )
 )
),
prs!$A$18:$D$24,
4,
FALSE
)
,"""")"),"")</f>
        <v/>
      </c>
      <c r="AB22" s="41"/>
      <c r="AC22" s="47"/>
    </row>
    <row r="23" ht="15.75" customHeight="1">
      <c r="A23" s="47"/>
      <c r="B23" s="53"/>
      <c r="C23" s="36"/>
      <c r="D23" s="36"/>
      <c r="E23" s="38"/>
      <c r="F23" s="41" t="str">
        <f>IFERROR(__xludf.DUMMYFUNCTION("IFERROR(
$E23/
VLOOKUP(
IF(
 REGEXMATCH($B23,""(?i)agachamento""),""Agachamento"",
 IF(
  REGEXMATCH($B23,""(?i)supino""),""Supino"",
  IF(
   REGEXMATCH($B23,""(?i)terra""),""Terra"",
   IF(
    REGEXMATCH($B23,""(?i)desenvolvimento""),""Desenvolvimento"&amp;""",
    IF(
     REGEXMATCH($B23,""(?i)remada""),""Remada"",
     IF(REGEXMATCH($B23,""(?i)arranco""),""Arranco"",IF(REGEXMATCH($B23,""(?i)arremesso""),""Arremesso"",""""))
    )
   )
  )
 )
),
prs!$A$18:$D$24,
4,
FALSE
)
,"""")"),"")</f>
        <v/>
      </c>
      <c r="G23" s="41"/>
      <c r="H23" s="44"/>
      <c r="I23" s="53"/>
      <c r="J23" s="36"/>
      <c r="K23" s="36"/>
      <c r="L23" s="38"/>
      <c r="M23" s="41" t="str">
        <f>IFERROR(__xludf.DUMMYFUNCTION("IFERROR(
$L23/
VLOOKUP(
IF(
 REGEXMATCH($I23,""(?i)agachamento""),""Agachamento"",
 IF(
  REGEXMATCH($I23,""(?i)supino""),""Supino"",
  IF(
   REGEXMATCH($I23,""(?i)terra""),""Terra"",
   IF(
    REGEXMATCH($I23,""(?i)desenvolvimento""),""Desenvolvimento"&amp;""",
    IF(
     REGEXMATCH($I23,""(?i)remada""),""Remada"",
     IF(REGEXMATCH($I23,""(?i)arranco""),""Arranco"",IF(REGEXMATCH($I23,""(?i)arremesso""),""Arremesso"",""""))
    )
   )
  )
 )
),
prs!$A$18:$D$24,
4,
FALSE
)
,"""")"),"")</f>
        <v/>
      </c>
      <c r="N23" s="41"/>
      <c r="O23" s="47"/>
      <c r="P23" s="53"/>
      <c r="Q23" s="36"/>
      <c r="R23" s="36"/>
      <c r="S23" s="38"/>
      <c r="T23" s="41" t="str">
        <f>IFERROR(__xludf.DUMMYFUNCTION("IFERROR(
$S23/
VLOOKUP(
IF(
 REGEXMATCH($P23,""(?i)agachamento""),""Agachamento"",
 IF(
  REGEXMATCH($P23,""(?i)supino""),""Supino"",
  IF(
   REGEXMATCH($P23,""(?i)terra""),""Terra"",
   IF(
    REGEXMATCH($P23,""(?i)desenvolvimento""),""Desenvolvimento"&amp;""",
    IF(
     REGEXMATCH($P23,""(?i)remada""),""Remada"",
     IF(REGEXMATCH($P23,""(?i)arranco""),""Arranco"",IF(REGEXMATCH($P23,""(?i)arremesso""),""Arremesso"",""""))
    )
   )
  )
 )
),
prs!$A$18:$D$24,
4,
FALSE
)
,"""")"),"")</f>
        <v/>
      </c>
      <c r="U23" s="41"/>
      <c r="V23" s="47"/>
      <c r="W23" s="53"/>
      <c r="X23" s="36"/>
      <c r="Y23" s="36"/>
      <c r="Z23" s="38"/>
      <c r="AA23" s="41" t="str">
        <f>IFERROR(__xludf.DUMMYFUNCTION("IFERROR(
$Z23/
VLOOKUP(
IF(
 REGEXMATCH($W23,""(?i)agachamento""),""Agachamento"",
 IF(
  REGEXMATCH($W23,""(?i)supino""),""Supino"",
  IF(
   REGEXMATCH($W23,""(?i)terra""),""Terra"",
   IF(
    REGEXMATCH($W23,""(?i)desenvolvimento""),""Desenvolvimento"&amp;""",
    IF(
     REGEXMATCH($W23,""(?i)remada""),""Remada"",
     IF(REGEXMATCH($W23,""(?i)arranco""),""Arranco"",IF(REGEXMATCH($W23,""(?i)arremesso""),""Arremesso"",""""))
    )
   )
  )
 )
),
prs!$A$18:$D$24,
4,
FALSE
)
,"""")"),"")</f>
        <v/>
      </c>
      <c r="AB23" s="41"/>
      <c r="AC23" s="47"/>
    </row>
    <row r="24" ht="15.75" customHeight="1">
      <c r="A24" s="47"/>
      <c r="B24" s="53"/>
      <c r="C24" s="50"/>
      <c r="D24" s="50"/>
      <c r="E24" s="51"/>
      <c r="F24" s="41" t="str">
        <f>IFERROR(__xludf.DUMMYFUNCTION("IFERROR(
$E24/
VLOOKUP(
IF(
 REGEXMATCH($B24,""(?i)agachamento""),""Agachamento"",
 IF(
  REGEXMATCH($B24,""(?i)supino""),""Supino"",
  IF(
   REGEXMATCH($B24,""(?i)terra""),""Terra"",
   IF(
    REGEXMATCH($B24,""(?i)desenvolvimento""),""Desenvolvimento"&amp;""",
    IF(
     REGEXMATCH($B24,""(?i)remada""),""Remada"",
     IF(REGEXMATCH($B24,""(?i)arranco""),""Arranco"",IF(REGEXMATCH($B24,""(?i)arremesso""),""Arremesso"",""""))
    )
   )
  )
 )
),
prs!$A$18:$D$24,
4,
FALSE
)
,"""")"),"")</f>
        <v/>
      </c>
      <c r="G24" s="41"/>
      <c r="H24" s="44"/>
      <c r="I24" s="53"/>
      <c r="J24" s="50"/>
      <c r="K24" s="50"/>
      <c r="L24" s="51"/>
      <c r="M24" s="41" t="str">
        <f>IFERROR(__xludf.DUMMYFUNCTION("IFERROR(
$L24/
VLOOKUP(
IF(
 REGEXMATCH($I24,""(?i)agachamento""),""Agachamento"",
 IF(
  REGEXMATCH($I24,""(?i)supino""),""Supino"",
  IF(
   REGEXMATCH($I24,""(?i)terra""),""Terra"",
   IF(
    REGEXMATCH($I24,""(?i)desenvolvimento""),""Desenvolvimento"&amp;""",
    IF(
     REGEXMATCH($I24,""(?i)remada""),""Remada"",
     IF(REGEXMATCH($I24,""(?i)arranco""),""Arranco"",IF(REGEXMATCH($I24,""(?i)arremesso""),""Arremesso"",""""))
    )
   )
  )
 )
),
prs!$A$18:$D$24,
4,
FALSE
)
,"""")"),"")</f>
        <v/>
      </c>
      <c r="N24" s="41"/>
      <c r="O24" s="47"/>
      <c r="P24" s="53"/>
      <c r="Q24" s="50"/>
      <c r="R24" s="50"/>
      <c r="S24" s="51"/>
      <c r="T24" s="41" t="str">
        <f>IFERROR(__xludf.DUMMYFUNCTION("IFERROR(
$S24/
VLOOKUP(
IF(
 REGEXMATCH($P24,""(?i)agachamento""),""Agachamento"",
 IF(
  REGEXMATCH($P24,""(?i)supino""),""Supino"",
  IF(
   REGEXMATCH($P24,""(?i)terra""),""Terra"",
   IF(
    REGEXMATCH($P24,""(?i)desenvolvimento""),""Desenvolvimento"&amp;""",
    IF(
     REGEXMATCH($P24,""(?i)remada""),""Remada"",
     IF(REGEXMATCH($P24,""(?i)arranco""),""Arranco"",IF(REGEXMATCH($P24,""(?i)arremesso""),""Arremesso"",""""))
    )
   )
  )
 )
),
prs!$A$18:$D$24,
4,
FALSE
)
,"""")"),"")</f>
        <v/>
      </c>
      <c r="U24" s="41"/>
      <c r="V24" s="47"/>
      <c r="W24" s="53"/>
      <c r="X24" s="50"/>
      <c r="Y24" s="50"/>
      <c r="Z24" s="51"/>
      <c r="AA24" s="41" t="str">
        <f>IFERROR(__xludf.DUMMYFUNCTION("IFERROR(
$Z24/
VLOOKUP(
IF(
 REGEXMATCH($W24,""(?i)agachamento""),""Agachamento"",
 IF(
  REGEXMATCH($W24,""(?i)supino""),""Supino"",
  IF(
   REGEXMATCH($W24,""(?i)terra""),""Terra"",
   IF(
    REGEXMATCH($W24,""(?i)desenvolvimento""),""Desenvolvimento"&amp;""",
    IF(
     REGEXMATCH($W24,""(?i)remada""),""Remada"",
     IF(REGEXMATCH($W24,""(?i)arranco""),""Arranco"",IF(REGEXMATCH($W24,""(?i)arremesso""),""Arremesso"",""""))
    )
   )
  )
 )
),
prs!$A$18:$D$24,
4,
FALSE
)
,"""")"),"")</f>
        <v/>
      </c>
      <c r="AB24" s="41"/>
      <c r="AC24" s="47"/>
    </row>
    <row r="25" ht="15.75" customHeight="1">
      <c r="A25" s="47"/>
      <c r="B25" s="53"/>
      <c r="C25" s="50"/>
      <c r="D25" s="50"/>
      <c r="E25" s="51"/>
      <c r="F25" s="41" t="str">
        <f>IFERROR(__xludf.DUMMYFUNCTION("IFERROR(
$E25/
VLOOKUP(
IF(
 REGEXMATCH($B25,""(?i)agachamento""),""Agachamento"",
 IF(
  REGEXMATCH($B25,""(?i)supino""),""Supino"",
  IF(
   REGEXMATCH($B25,""(?i)terra""),""Terra"",
   IF(
    REGEXMATCH($B25,""(?i)desenvolvimento""),""Desenvolvimento"&amp;""",
    IF(
     REGEXMATCH($B25,""(?i)remada""),""Remada"",
     IF(REGEXMATCH($B25,""(?i)arranco""),""Arranco"",IF(REGEXMATCH($B25,""(?i)arremesso""),""Arremesso"",""""))
    )
   )
  )
 )
),
prs!$A$18:$D$24,
4,
FALSE
)
,"""")"),"")</f>
        <v/>
      </c>
      <c r="G25" s="41"/>
      <c r="H25" s="44"/>
      <c r="I25" s="53"/>
      <c r="J25" s="50"/>
      <c r="K25" s="50"/>
      <c r="L25" s="51"/>
      <c r="M25" s="41" t="str">
        <f>IFERROR(__xludf.DUMMYFUNCTION("IFERROR(
$L25/
VLOOKUP(
IF(
 REGEXMATCH($I25,""(?i)agachamento""),""Agachamento"",
 IF(
  REGEXMATCH($I25,""(?i)supino""),""Supino"",
  IF(
   REGEXMATCH($I25,""(?i)terra""),""Terra"",
   IF(
    REGEXMATCH($I25,""(?i)desenvolvimento""),""Desenvolvimento"&amp;""",
    IF(
     REGEXMATCH($I25,""(?i)remada""),""Remada"",
     IF(REGEXMATCH($I25,""(?i)arranco""),""Arranco"",IF(REGEXMATCH($I25,""(?i)arremesso""),""Arremesso"",""""))
    )
   )
  )
 )
),
prs!$A$18:$D$24,
4,
FALSE
)
,"""")"),"")</f>
        <v/>
      </c>
      <c r="N25" s="41"/>
      <c r="O25" s="47"/>
      <c r="P25" s="53"/>
      <c r="Q25" s="50"/>
      <c r="R25" s="50"/>
      <c r="S25" s="51"/>
      <c r="T25" s="41" t="str">
        <f>IFERROR(__xludf.DUMMYFUNCTION("IFERROR(
$S25/
VLOOKUP(
IF(
 REGEXMATCH($P25,""(?i)agachamento""),""Agachamento"",
 IF(
  REGEXMATCH($P25,""(?i)supino""),""Supino"",
  IF(
   REGEXMATCH($P25,""(?i)terra""),""Terra"",
   IF(
    REGEXMATCH($P25,""(?i)desenvolvimento""),""Desenvolvimento"&amp;""",
    IF(
     REGEXMATCH($P25,""(?i)remada""),""Remada"",
     IF(REGEXMATCH($P25,""(?i)arranco""),""Arranco"",IF(REGEXMATCH($P25,""(?i)arremesso""),""Arremesso"",""""))
    )
   )
  )
 )
),
prs!$A$18:$D$24,
4,
FALSE
)
,"""")"),"")</f>
        <v/>
      </c>
      <c r="U25" s="41"/>
      <c r="V25" s="47"/>
      <c r="W25" s="53"/>
      <c r="X25" s="50"/>
      <c r="Y25" s="50"/>
      <c r="Z25" s="51"/>
      <c r="AA25" s="41" t="str">
        <f>IFERROR(__xludf.DUMMYFUNCTION("IFERROR(
$Z25/
VLOOKUP(
IF(
 REGEXMATCH($W25,""(?i)agachamento""),""Agachamento"",
 IF(
  REGEXMATCH($W25,""(?i)supino""),""Supino"",
  IF(
   REGEXMATCH($W25,""(?i)terra""),""Terra"",
   IF(
    REGEXMATCH($W25,""(?i)desenvolvimento""),""Desenvolvimento"&amp;""",
    IF(
     REGEXMATCH($W25,""(?i)remada""),""Remada"",
     IF(REGEXMATCH($W25,""(?i)arranco""),""Arranco"",IF(REGEXMATCH($W25,""(?i)arremesso""),""Arremesso"",""""))
    )
   )
  )
 )
),
prs!$A$18:$D$24,
4,
FALSE
)
,"""")"),"")</f>
        <v/>
      </c>
      <c r="AB25" s="41"/>
      <c r="AC25" s="47"/>
    </row>
    <row r="26" ht="15.75" customHeight="1">
      <c r="A26" s="47"/>
      <c r="B26" s="53"/>
      <c r="C26" s="50"/>
      <c r="D26" s="50"/>
      <c r="E26" s="51"/>
      <c r="F26" s="41" t="str">
        <f>IFERROR(__xludf.DUMMYFUNCTION("IFERROR(
$E26/
VLOOKUP(
IF(
 REGEXMATCH($B26,""(?i)agachamento""),""Agachamento"",
 IF(
  REGEXMATCH($B26,""(?i)supino""),""Supino"",
  IF(
   REGEXMATCH($B26,""(?i)terra""),""Terra"",
   IF(
    REGEXMATCH($B26,""(?i)desenvolvimento""),""Desenvolvimento"&amp;""",
    IF(
     REGEXMATCH($B26,""(?i)remada""),""Remada"",
     IF(REGEXMATCH($B26,""(?i)arranco""),""Arranco"",IF(REGEXMATCH($B26,""(?i)arremesso""),""Arremesso"",""""))
    )
   )
  )
 )
),
prs!$A$18:$D$24,
4,
FALSE
)
,"""")"),"")</f>
        <v/>
      </c>
      <c r="G26" s="41"/>
      <c r="H26" s="44"/>
      <c r="I26" s="53"/>
      <c r="J26" s="50"/>
      <c r="K26" s="50"/>
      <c r="L26" s="51"/>
      <c r="M26" s="41" t="str">
        <f>IFERROR(__xludf.DUMMYFUNCTION("IFERROR(
$L26/
VLOOKUP(
IF(
 REGEXMATCH($I26,""(?i)agachamento""),""Agachamento"",
 IF(
  REGEXMATCH($I26,""(?i)supino""),""Supino"",
  IF(
   REGEXMATCH($I26,""(?i)terra""),""Terra"",
   IF(
    REGEXMATCH($I26,""(?i)desenvolvimento""),""Desenvolvimento"&amp;""",
    IF(
     REGEXMATCH($I26,""(?i)remada""),""Remada"",
     IF(REGEXMATCH($I26,""(?i)arranco""),""Arranco"",IF(REGEXMATCH($I26,""(?i)arremesso""),""Arremesso"",""""))
    )
   )
  )
 )
),
prs!$A$18:$D$24,
4,
FALSE
)
,"""")"),"")</f>
        <v/>
      </c>
      <c r="N26" s="41"/>
      <c r="O26" s="47"/>
      <c r="P26" s="53"/>
      <c r="Q26" s="50"/>
      <c r="R26" s="50"/>
      <c r="S26" s="51"/>
      <c r="T26" s="41" t="str">
        <f>IFERROR(__xludf.DUMMYFUNCTION("IFERROR(
$S26/
VLOOKUP(
IF(
 REGEXMATCH($P26,""(?i)agachamento""),""Agachamento"",
 IF(
  REGEXMATCH($P26,""(?i)supino""),""Supino"",
  IF(
   REGEXMATCH($P26,""(?i)terra""),""Terra"",
   IF(
    REGEXMATCH($P26,""(?i)desenvolvimento""),""Desenvolvimento"&amp;""",
    IF(
     REGEXMATCH($P26,""(?i)remada""),""Remada"",
     IF(REGEXMATCH($P26,""(?i)arranco""),""Arranco"",IF(REGEXMATCH($P26,""(?i)arremesso""),""Arremesso"",""""))
    )
   )
  )
 )
),
prs!$A$18:$D$24,
4,
FALSE
)
,"""")"),"")</f>
        <v/>
      </c>
      <c r="U26" s="41"/>
      <c r="V26" s="47"/>
      <c r="W26" s="53"/>
      <c r="X26" s="50"/>
      <c r="Y26" s="50"/>
      <c r="Z26" s="51"/>
      <c r="AA26" s="41" t="str">
        <f>IFERROR(__xludf.DUMMYFUNCTION("IFERROR(
$Z26/
VLOOKUP(
IF(
 REGEXMATCH($W26,""(?i)agachamento""),""Agachamento"",
 IF(
  REGEXMATCH($W26,""(?i)supino""),""Supino"",
  IF(
   REGEXMATCH($W26,""(?i)terra""),""Terra"",
   IF(
    REGEXMATCH($W26,""(?i)desenvolvimento""),""Desenvolvimento"&amp;""",
    IF(
     REGEXMATCH($W26,""(?i)remada""),""Remada"",
     IF(REGEXMATCH($W26,""(?i)arranco""),""Arranco"",IF(REGEXMATCH($W26,""(?i)arremesso""),""Arremesso"",""""))
    )
   )
  )
 )
),
prs!$A$18:$D$24,
4,
FALSE
)
,"""")"),"")</f>
        <v/>
      </c>
      <c r="AB26" s="41"/>
      <c r="AC26" s="47"/>
    </row>
    <row r="27" ht="15.75" customHeight="1">
      <c r="A27" s="47"/>
      <c r="B27" s="53"/>
      <c r="C27" s="50"/>
      <c r="D27" s="50"/>
      <c r="E27" s="51"/>
      <c r="F27" s="41" t="str">
        <f>IFERROR(__xludf.DUMMYFUNCTION("IFERROR(
$E27/
VLOOKUP(
IF(
 REGEXMATCH($B27,""(?i)agachamento""),""Agachamento"",
 IF(
  REGEXMATCH($B27,""(?i)supino""),""Supino"",
  IF(
   REGEXMATCH($B27,""(?i)terra""),""Terra"",
   IF(
    REGEXMATCH($B27,""(?i)desenvolvimento""),""Desenvolvimento"&amp;""",
    IF(
     REGEXMATCH($B27,""(?i)remada""),""Remada"",
     IF(REGEXMATCH($B27,""(?i)arranco""),""Arranco"",IF(REGEXMATCH($B27,""(?i)arremesso""),""Arremesso"",""""))
    )
   )
  )
 )
),
prs!$A$18:$D$24,
4,
FALSE
)
,"""")"),"")</f>
        <v/>
      </c>
      <c r="G27" s="41"/>
      <c r="H27" s="44"/>
      <c r="I27" s="53"/>
      <c r="J27" s="50"/>
      <c r="K27" s="50"/>
      <c r="L27" s="51"/>
      <c r="M27" s="41" t="str">
        <f>IFERROR(__xludf.DUMMYFUNCTION("IFERROR(
$L27/
VLOOKUP(
IF(
 REGEXMATCH($I27,""(?i)agachamento""),""Agachamento"",
 IF(
  REGEXMATCH($I27,""(?i)supino""),""Supino"",
  IF(
   REGEXMATCH($I27,""(?i)terra""),""Terra"",
   IF(
    REGEXMATCH($I27,""(?i)desenvolvimento""),""Desenvolvimento"&amp;""",
    IF(
     REGEXMATCH($I27,""(?i)remada""),""Remada"",
     IF(REGEXMATCH($I27,""(?i)arranco""),""Arranco"",IF(REGEXMATCH($I27,""(?i)arremesso""),""Arremesso"",""""))
    )
   )
  )
 )
),
prs!$A$18:$D$24,
4,
FALSE
)
,"""")"),"")</f>
        <v/>
      </c>
      <c r="N27" s="41"/>
      <c r="O27" s="47"/>
      <c r="P27" s="53"/>
      <c r="Q27" s="50"/>
      <c r="R27" s="50"/>
      <c r="S27" s="51"/>
      <c r="T27" s="41" t="str">
        <f>IFERROR(__xludf.DUMMYFUNCTION("IFERROR(
$S27/
VLOOKUP(
IF(
 REGEXMATCH($P27,""(?i)agachamento""),""Agachamento"",
 IF(
  REGEXMATCH($P27,""(?i)supino""),""Supino"",
  IF(
   REGEXMATCH($P27,""(?i)terra""),""Terra"",
   IF(
    REGEXMATCH($P27,""(?i)desenvolvimento""),""Desenvolvimento"&amp;""",
    IF(
     REGEXMATCH($P27,""(?i)remada""),""Remada"",
     IF(REGEXMATCH($P27,""(?i)arranco""),""Arranco"",IF(REGEXMATCH($P27,""(?i)arremesso""),""Arremesso"",""""))
    )
   )
  )
 )
),
prs!$A$18:$D$24,
4,
FALSE
)
,"""")"),"")</f>
        <v/>
      </c>
      <c r="U27" s="41"/>
      <c r="V27" s="47"/>
      <c r="W27" s="53"/>
      <c r="X27" s="50"/>
      <c r="Y27" s="50"/>
      <c r="Z27" s="51"/>
      <c r="AA27" s="41" t="str">
        <f>IFERROR(__xludf.DUMMYFUNCTION("IFERROR(
$Z27/
VLOOKUP(
IF(
 REGEXMATCH($W27,""(?i)agachamento""),""Agachamento"",
 IF(
  REGEXMATCH($W27,""(?i)supino""),""Supino"",
  IF(
   REGEXMATCH($W27,""(?i)terra""),""Terra"",
   IF(
    REGEXMATCH($W27,""(?i)desenvolvimento""),""Desenvolvimento"&amp;""",
    IF(
     REGEXMATCH($W27,""(?i)remada""),""Remada"",
     IF(REGEXMATCH($W27,""(?i)arranco""),""Arranco"",IF(REGEXMATCH($W27,""(?i)arremesso""),""Arremesso"",""""))
    )
   )
  )
 )
),
prs!$A$18:$D$24,
4,
FALSE
)
,"""")"),"")</f>
        <v/>
      </c>
      <c r="AB27" s="41"/>
      <c r="AC27" s="47"/>
    </row>
    <row r="28" ht="15.75" customHeight="1">
      <c r="A28" s="47"/>
      <c r="B28" s="53"/>
      <c r="C28" s="50"/>
      <c r="D28" s="50"/>
      <c r="E28" s="51"/>
      <c r="F28" s="41" t="str">
        <f>IFERROR(__xludf.DUMMYFUNCTION("IFERROR(
$E28/
VLOOKUP(
IF(
 REGEXMATCH($B28,""(?i)agachamento""),""Agachamento"",
 IF(
  REGEXMATCH($B28,""(?i)supino""),""Supino"",
  IF(
   REGEXMATCH($B28,""(?i)terra""),""Terra"",
   IF(
    REGEXMATCH($B28,""(?i)desenvolvimento""),""Desenvolvimento"&amp;""",
    IF(
     REGEXMATCH($B28,""(?i)remada""),""Remada"",
     IF(REGEXMATCH($B28,""(?i)arranco""),""Arranco"",IF(REGEXMATCH($B28,""(?i)arremesso""),""Arremesso"",""""))
    )
   )
  )
 )
),
prs!$A$18:$D$24,
4,
FALSE
)
,"""")"),"")</f>
        <v/>
      </c>
      <c r="G28" s="41"/>
      <c r="H28" s="44"/>
      <c r="I28" s="53"/>
      <c r="J28" s="50"/>
      <c r="K28" s="50"/>
      <c r="L28" s="51"/>
      <c r="M28" s="41" t="str">
        <f>IFERROR(__xludf.DUMMYFUNCTION("IFERROR(
$L28/
VLOOKUP(
IF(
 REGEXMATCH($I28,""(?i)agachamento""),""Agachamento"",
 IF(
  REGEXMATCH($I28,""(?i)supino""),""Supino"",
  IF(
   REGEXMATCH($I28,""(?i)terra""),""Terra"",
   IF(
    REGEXMATCH($I28,""(?i)desenvolvimento""),""Desenvolvimento"&amp;""",
    IF(
     REGEXMATCH($I28,""(?i)remada""),""Remada"",
     IF(REGEXMATCH($I28,""(?i)arranco""),""Arranco"",IF(REGEXMATCH($I28,""(?i)arremesso""),""Arremesso"",""""))
    )
   )
  )
 )
),
prs!$A$18:$D$24,
4,
FALSE
)
,"""")"),"")</f>
        <v/>
      </c>
      <c r="N28" s="41"/>
      <c r="O28" s="47"/>
      <c r="P28" s="53"/>
      <c r="Q28" s="50"/>
      <c r="R28" s="50"/>
      <c r="S28" s="51"/>
      <c r="T28" s="41" t="str">
        <f>IFERROR(__xludf.DUMMYFUNCTION("IFERROR(
$S28/
VLOOKUP(
IF(
 REGEXMATCH($P28,""(?i)agachamento""),""Agachamento"",
 IF(
  REGEXMATCH($P28,""(?i)supino""),""Supino"",
  IF(
   REGEXMATCH($P28,""(?i)terra""),""Terra"",
   IF(
    REGEXMATCH($P28,""(?i)desenvolvimento""),""Desenvolvimento"&amp;""",
    IF(
     REGEXMATCH($P28,""(?i)remada""),""Remada"",
     IF(REGEXMATCH($P28,""(?i)arranco""),""Arranco"",IF(REGEXMATCH($P28,""(?i)arremesso""),""Arremesso"",""""))
    )
   )
  )
 )
),
prs!$A$18:$D$24,
4,
FALSE
)
,"""")"),"")</f>
        <v/>
      </c>
      <c r="U28" s="41"/>
      <c r="V28" s="47"/>
      <c r="W28" s="53"/>
      <c r="X28" s="50"/>
      <c r="Y28" s="50"/>
      <c r="Z28" s="51"/>
      <c r="AA28" s="41" t="str">
        <f>IFERROR(__xludf.DUMMYFUNCTION("IFERROR(
$Z28/
VLOOKUP(
IF(
 REGEXMATCH($W28,""(?i)agachamento""),""Agachamento"",
 IF(
  REGEXMATCH($W28,""(?i)supino""),""Supino"",
  IF(
   REGEXMATCH($W28,""(?i)terra""),""Terra"",
   IF(
    REGEXMATCH($W28,""(?i)desenvolvimento""),""Desenvolvimento"&amp;""",
    IF(
     REGEXMATCH($W28,""(?i)remada""),""Remada"",
     IF(REGEXMATCH($W28,""(?i)arranco""),""Arranco"",IF(REGEXMATCH($W28,""(?i)arremesso""),""Arremesso"",""""))
    )
   )
  )
 )
),
prs!$A$18:$D$24,
4,
FALSE
)
,"""")"),"")</f>
        <v/>
      </c>
      <c r="AB28" s="41"/>
      <c r="AC28" s="47"/>
    </row>
    <row r="29" ht="15.75" customHeight="1">
      <c r="A29" s="47"/>
      <c r="B29" s="53"/>
      <c r="C29" s="50"/>
      <c r="D29" s="50"/>
      <c r="E29" s="51"/>
      <c r="F29" s="41" t="str">
        <f>IFERROR(__xludf.DUMMYFUNCTION("IFERROR(
$E29/
VLOOKUP(
IF(
 REGEXMATCH($B29,""(?i)agachamento""),""Agachamento"",
 IF(
  REGEXMATCH($B29,""(?i)supino""),""Supino"",
  IF(
   REGEXMATCH($B29,""(?i)terra""),""Terra"",
   IF(
    REGEXMATCH($B29,""(?i)desenvolvimento""),""Desenvolvimento"&amp;""",
    IF(
     REGEXMATCH($B29,""(?i)remada""),""Remada"",
     IF(REGEXMATCH($B29,""(?i)arranco""),""Arranco"",IF(REGEXMATCH($B29,""(?i)arremesso""),""Arremesso"",""""))
    )
   )
  )
 )
),
prs!$A$18:$D$24,
4,
FALSE
)
,"""")"),"")</f>
        <v/>
      </c>
      <c r="G29" s="41"/>
      <c r="H29" s="44"/>
      <c r="I29" s="53"/>
      <c r="J29" s="50"/>
      <c r="K29" s="50"/>
      <c r="L29" s="51"/>
      <c r="M29" s="41" t="str">
        <f>IFERROR(__xludf.DUMMYFUNCTION("IFERROR(
$L29/
VLOOKUP(
IF(
 REGEXMATCH($I29,""(?i)agachamento""),""Agachamento"",
 IF(
  REGEXMATCH($I29,""(?i)supino""),""Supino"",
  IF(
   REGEXMATCH($I29,""(?i)terra""),""Terra"",
   IF(
    REGEXMATCH($I29,""(?i)desenvolvimento""),""Desenvolvimento"&amp;""",
    IF(
     REGEXMATCH($I29,""(?i)remada""),""Remada"",
     IF(REGEXMATCH($I29,""(?i)arranco""),""Arranco"",IF(REGEXMATCH($I29,""(?i)arremesso""),""Arremesso"",""""))
    )
   )
  )
 )
),
prs!$A$18:$D$24,
4,
FALSE
)
,"""")"),"")</f>
        <v/>
      </c>
      <c r="N29" s="41"/>
      <c r="O29" s="47"/>
      <c r="P29" s="53"/>
      <c r="Q29" s="50"/>
      <c r="R29" s="50"/>
      <c r="S29" s="51"/>
      <c r="T29" s="41" t="str">
        <f>IFERROR(__xludf.DUMMYFUNCTION("IFERROR(
$S29/
VLOOKUP(
IF(
 REGEXMATCH($P29,""(?i)agachamento""),""Agachamento"",
 IF(
  REGEXMATCH($P29,""(?i)supino""),""Supino"",
  IF(
   REGEXMATCH($P29,""(?i)terra""),""Terra"",
   IF(
    REGEXMATCH($P29,""(?i)desenvolvimento""),""Desenvolvimento"&amp;""",
    IF(
     REGEXMATCH($P29,""(?i)remada""),""Remada"",
     IF(REGEXMATCH($P29,""(?i)arranco""),""Arranco"",IF(REGEXMATCH($P29,""(?i)arremesso""),""Arremesso"",""""))
    )
   )
  )
 )
),
prs!$A$18:$D$24,
4,
FALSE
)
,"""")"),"")</f>
        <v/>
      </c>
      <c r="U29" s="41"/>
      <c r="V29" s="47"/>
      <c r="W29" s="53"/>
      <c r="X29" s="50"/>
      <c r="Y29" s="50"/>
      <c r="Z29" s="51"/>
      <c r="AA29" s="41" t="str">
        <f>IFERROR(__xludf.DUMMYFUNCTION("IFERROR(
$Z29/
VLOOKUP(
IF(
 REGEXMATCH($W29,""(?i)agachamento""),""Agachamento"",
 IF(
  REGEXMATCH($W29,""(?i)supino""),""Supino"",
  IF(
   REGEXMATCH($W29,""(?i)terra""),""Terra"",
   IF(
    REGEXMATCH($W29,""(?i)desenvolvimento""),""Desenvolvimento"&amp;""",
    IF(
     REGEXMATCH($W29,""(?i)remada""),""Remada"",
     IF(REGEXMATCH($W29,""(?i)arranco""),""Arranco"",IF(REGEXMATCH($W29,""(?i)arremesso""),""Arremesso"",""""))
    )
   )
  )
 )
),
prs!$A$18:$D$24,
4,
FALSE
)
,"""")"),"")</f>
        <v/>
      </c>
      <c r="AB29" s="41"/>
      <c r="AC29" s="47"/>
    </row>
    <row r="30" ht="15.75" customHeight="1">
      <c r="A30" s="47"/>
      <c r="B30" s="53"/>
      <c r="C30" s="50"/>
      <c r="D30" s="50"/>
      <c r="E30" s="51"/>
      <c r="F30" s="41" t="str">
        <f>IFERROR(__xludf.DUMMYFUNCTION("IFERROR(
$E30/
VLOOKUP(
IF(
 REGEXMATCH($B30,""(?i)agachamento""),""Agachamento"",
 IF(
  REGEXMATCH($B30,""(?i)supino""),""Supino"",
  IF(
   REGEXMATCH($B30,""(?i)terra""),""Terra"",
   IF(
    REGEXMATCH($B30,""(?i)desenvolvimento""),""Desenvolvimento"&amp;""",
    IF(
     REGEXMATCH($B30,""(?i)remada""),""Remada"",
     IF(REGEXMATCH($B30,""(?i)arranco""),""Arranco"",IF(REGEXMATCH($B30,""(?i)arremesso""),""Arremesso"",""""))
    )
   )
  )
 )
),
prs!$A$18:$D$24,
4,
FALSE
)
,"""")"),"")</f>
        <v/>
      </c>
      <c r="G30" s="41"/>
      <c r="H30" s="44"/>
      <c r="I30" s="53"/>
      <c r="J30" s="50"/>
      <c r="K30" s="50"/>
      <c r="L30" s="51"/>
      <c r="M30" s="41" t="str">
        <f>IFERROR(__xludf.DUMMYFUNCTION("IFERROR(
$L30/
VLOOKUP(
IF(
 REGEXMATCH($I30,""(?i)agachamento""),""Agachamento"",
 IF(
  REGEXMATCH($I30,""(?i)supino""),""Supino"",
  IF(
   REGEXMATCH($I30,""(?i)terra""),""Terra"",
   IF(
    REGEXMATCH($I30,""(?i)desenvolvimento""),""Desenvolvimento"&amp;""",
    IF(
     REGEXMATCH($I30,""(?i)remada""),""Remada"",
     IF(REGEXMATCH($I30,""(?i)arranco""),""Arranco"",IF(REGEXMATCH($I30,""(?i)arremesso""),""Arremesso"",""""))
    )
   )
  )
 )
),
prs!$A$18:$D$24,
4,
FALSE
)
,"""")"),"")</f>
        <v/>
      </c>
      <c r="N30" s="41"/>
      <c r="O30" s="47"/>
      <c r="P30" s="53"/>
      <c r="Q30" s="50"/>
      <c r="R30" s="50"/>
      <c r="S30" s="51"/>
      <c r="T30" s="41" t="str">
        <f>IFERROR(__xludf.DUMMYFUNCTION("IFERROR(
$S30/
VLOOKUP(
IF(
 REGEXMATCH($P30,""(?i)agachamento""),""Agachamento"",
 IF(
  REGEXMATCH($P30,""(?i)supino""),""Supino"",
  IF(
   REGEXMATCH($P30,""(?i)terra""),""Terra"",
   IF(
    REGEXMATCH($P30,""(?i)desenvolvimento""),""Desenvolvimento"&amp;""",
    IF(
     REGEXMATCH($P30,""(?i)remada""),""Remada"",
     IF(REGEXMATCH($P30,""(?i)arranco""),""Arranco"",IF(REGEXMATCH($P30,""(?i)arremesso""),""Arremesso"",""""))
    )
   )
  )
 )
),
prs!$A$18:$D$24,
4,
FALSE
)
,"""")"),"")</f>
        <v/>
      </c>
      <c r="U30" s="41"/>
      <c r="V30" s="47"/>
      <c r="W30" s="53"/>
      <c r="X30" s="50"/>
      <c r="Y30" s="50"/>
      <c r="Z30" s="51"/>
      <c r="AA30" s="41" t="str">
        <f>IFERROR(__xludf.DUMMYFUNCTION("IFERROR(
$Z30/
VLOOKUP(
IF(
 REGEXMATCH($W30,""(?i)agachamento""),""Agachamento"",
 IF(
  REGEXMATCH($W30,""(?i)supino""),""Supino"",
  IF(
   REGEXMATCH($W30,""(?i)terra""),""Terra"",
   IF(
    REGEXMATCH($W30,""(?i)desenvolvimento""),""Desenvolvimento"&amp;""",
    IF(
     REGEXMATCH($W30,""(?i)remada""),""Remada"",
     IF(REGEXMATCH($W30,""(?i)arranco""),""Arranco"",IF(REGEXMATCH($W30,""(?i)arremesso""),""Arremesso"",""""))
    )
   )
  )
 )
),
prs!$A$18:$D$24,
4,
FALSE
)
,"""")"),"")</f>
        <v/>
      </c>
      <c r="AB30" s="41"/>
      <c r="AC30" s="47"/>
    </row>
    <row r="31" ht="15.75" customHeight="1">
      <c r="A31" s="52"/>
      <c r="B31" s="52"/>
      <c r="C31" s="37" t="s">
        <v>20</v>
      </c>
      <c r="H31" s="18"/>
      <c r="I31" s="52"/>
      <c r="J31" s="37" t="s">
        <v>23</v>
      </c>
      <c r="O31" s="18"/>
      <c r="P31" s="52"/>
      <c r="Q31" s="37" t="s">
        <v>24</v>
      </c>
      <c r="V31" s="18"/>
      <c r="W31" s="52"/>
      <c r="X31" s="37" t="s">
        <v>25</v>
      </c>
      <c r="AC31" s="44"/>
    </row>
    <row r="32" ht="15.75" customHeight="1">
      <c r="A32" s="11"/>
      <c r="B32" s="54"/>
      <c r="C32" s="11"/>
      <c r="D32" s="11"/>
      <c r="H32" s="11"/>
      <c r="I32" s="54"/>
      <c r="J32" s="11"/>
      <c r="K32" s="11"/>
      <c r="O32" s="11"/>
      <c r="P32" s="54"/>
      <c r="Q32" s="11"/>
      <c r="R32" s="11"/>
      <c r="V32" s="11"/>
      <c r="W32" s="54"/>
      <c r="X32" s="11"/>
      <c r="Y32" s="11"/>
      <c r="AC32" s="11"/>
    </row>
    <row r="33" ht="15.75" customHeight="1">
      <c r="A33" s="2" t="s">
        <v>26</v>
      </c>
      <c r="B33" s="13"/>
      <c r="C33" s="37"/>
      <c r="H33" s="18"/>
      <c r="I33" s="13"/>
      <c r="J33" s="37"/>
      <c r="O33" s="18"/>
      <c r="P33" s="13"/>
      <c r="Q33" s="37"/>
      <c r="V33" s="18"/>
      <c r="W33" s="13"/>
      <c r="X33" s="37"/>
      <c r="AC33" s="11"/>
    </row>
    <row r="34" ht="15.75" customHeight="1">
      <c r="A34" s="2"/>
      <c r="B34" s="2"/>
      <c r="C34" s="5" t="s">
        <v>10</v>
      </c>
      <c r="D34" s="5" t="s">
        <v>12</v>
      </c>
      <c r="E34" s="5" t="s">
        <v>13</v>
      </c>
      <c r="F34" s="5" t="s">
        <v>14</v>
      </c>
      <c r="G34" s="5" t="s">
        <v>15</v>
      </c>
      <c r="H34" s="18"/>
      <c r="I34" s="2"/>
      <c r="J34" s="5" t="s">
        <v>10</v>
      </c>
      <c r="K34" s="5" t="s">
        <v>12</v>
      </c>
      <c r="L34" s="5" t="s">
        <v>13</v>
      </c>
      <c r="M34" s="5" t="s">
        <v>14</v>
      </c>
      <c r="N34" s="5" t="s">
        <v>15</v>
      </c>
      <c r="O34" s="18"/>
      <c r="P34" s="2"/>
      <c r="Q34" s="5" t="s">
        <v>10</v>
      </c>
      <c r="R34" s="5" t="s">
        <v>12</v>
      </c>
      <c r="S34" s="5" t="s">
        <v>13</v>
      </c>
      <c r="T34" s="5" t="s">
        <v>14</v>
      </c>
      <c r="U34" s="5" t="s">
        <v>15</v>
      </c>
      <c r="V34" s="18"/>
      <c r="W34" s="2"/>
      <c r="X34" s="5" t="s">
        <v>10</v>
      </c>
      <c r="Y34" s="5" t="s">
        <v>12</v>
      </c>
      <c r="Z34" s="5" t="s">
        <v>13</v>
      </c>
      <c r="AA34" s="5" t="s">
        <v>14</v>
      </c>
      <c r="AB34" s="5" t="s">
        <v>15</v>
      </c>
      <c r="AC34" s="18"/>
    </row>
    <row r="35" ht="15.75" customHeight="1">
      <c r="A35" s="2"/>
      <c r="B35" s="2" t="s">
        <v>16</v>
      </c>
      <c r="C35" s="29"/>
      <c r="D35" s="5"/>
      <c r="E35" s="5"/>
      <c r="F35" s="5" t="s">
        <v>17</v>
      </c>
      <c r="G35" s="5"/>
      <c r="H35" s="18"/>
      <c r="I35" s="2" t="s">
        <v>16</v>
      </c>
      <c r="J35" s="29"/>
      <c r="K35" s="5"/>
      <c r="L35" s="5"/>
      <c r="M35" s="5" t="s">
        <v>17</v>
      </c>
      <c r="N35" s="5"/>
      <c r="O35" s="18"/>
      <c r="P35" s="2" t="s">
        <v>16</v>
      </c>
      <c r="Q35" s="29"/>
      <c r="R35" s="5"/>
      <c r="S35" s="5"/>
      <c r="T35" s="5" t="s">
        <v>17</v>
      </c>
      <c r="U35" s="5"/>
      <c r="V35" s="18"/>
      <c r="W35" s="2" t="s">
        <v>16</v>
      </c>
      <c r="X35" s="29"/>
      <c r="Y35" s="5"/>
      <c r="Z35" s="5"/>
      <c r="AA35" s="5" t="s">
        <v>17</v>
      </c>
      <c r="AB35" s="5"/>
      <c r="AC35" s="18"/>
    </row>
    <row r="36" ht="15.75" customHeight="1">
      <c r="A36" s="32"/>
      <c r="B36" s="35"/>
      <c r="C36" s="36"/>
      <c r="D36" s="36"/>
      <c r="E36" s="38"/>
      <c r="F36" s="41" t="str">
        <f>IFERROR(__xludf.DUMMYFUNCTION("IFERROR(
$E36/
VLOOKUP(
IF(
 REGEXMATCH($B36,""(?i)agachamento""),""Agachamento"",
 IF(
  REGEXMATCH($B36,""(?i)supino""),""Supino"",
  IF(
   REGEXMATCH($B36,""(?i)terra""),""Terra"",
   IF(
    REGEXMATCH($B36,""(?i)desenvolvimento""),""Desenvolvimento"&amp;""",
    IF(
     REGEXMATCH($B36,""(?i)remada""),""Remada"",
     IF(REGEXMATCH($B36,""(?i)arranco""),""Arranco"",IF(REGEXMATCH($B36,""(?i)arremesso""),""Arremesso"",""""))
    )
   )
  )
 )
),
prs!$A$18:$D$24,
4,
FALSE
)
,"""")"),"")</f>
        <v/>
      </c>
      <c r="G36" s="41"/>
      <c r="H36" s="44"/>
      <c r="I36" s="35"/>
      <c r="J36" s="36"/>
      <c r="K36" s="36"/>
      <c r="L36" s="38"/>
      <c r="M36" s="41" t="str">
        <f>IFERROR(__xludf.DUMMYFUNCTION("IFERROR(
$L36/
VLOOKUP(
IF(
 REGEXMATCH($I36,""(?i)agachamento""),""Agachamento"",
 IF(
  REGEXMATCH($I36,""(?i)supino""),""Supino"",
  IF(
   REGEXMATCH($I36,""(?i)terra""),""Terra"",
   IF(
    REGEXMATCH($I36,""(?i)desenvolvimento""),""Desenvolvimento"&amp;""",
    IF(
     REGEXMATCH($I36,""(?i)remada""),""Remada"",
     IF(REGEXMATCH($I36,""(?i)arranco""),""Arranco"",IF(REGEXMATCH($I36,""(?i)arremesso""),""Arremesso"",""""))
    )
   )
  )
 )
),
prs!$A$18:$D$24,
4,
FALSE
)
,"""")"),"")</f>
        <v/>
      </c>
      <c r="N36" s="41"/>
      <c r="O36" s="47"/>
      <c r="P36" s="35"/>
      <c r="Q36" s="36"/>
      <c r="R36" s="36"/>
      <c r="S36" s="38"/>
      <c r="T36" s="41" t="str">
        <f>IFERROR(__xludf.DUMMYFUNCTION("IFERROR(
$S36/
VLOOKUP(
IF(
 REGEXMATCH($P36,""(?i)agachamento""),""Agachamento"",
 IF(
  REGEXMATCH($P36,""(?i)supino""),""Supino"",
  IF(
   REGEXMATCH($P36,""(?i)terra""),""Terra"",
   IF(
    REGEXMATCH($P36,""(?i)desenvolvimento""),""Desenvolvimento"&amp;""",
    IF(
     REGEXMATCH($P36,""(?i)remada""),""Remada"",
     IF(REGEXMATCH($P36,""(?i)arranco""),""Arranco"",IF(REGEXMATCH($P36,""(?i)arremesso""),""Arremesso"",""""))
    )
   )
  )
 )
),
prs!$A$18:$D$24,
4,
FALSE
)
,"""")"),"")</f>
        <v/>
      </c>
      <c r="U36" s="41"/>
      <c r="V36" s="47"/>
      <c r="W36" s="35"/>
      <c r="X36" s="36"/>
      <c r="Y36" s="36"/>
      <c r="Z36" s="38"/>
      <c r="AA36" s="41" t="str">
        <f>IFERROR(__xludf.DUMMYFUNCTION("IFERROR(
$Z36/
VLOOKUP(
IF(
 REGEXMATCH($W36,""(?i)agachamento""),""Agachamento"",
 IF(
  REGEXMATCH($W36,""(?i)supino""),""Supino"",
  IF(
   REGEXMATCH($W36,""(?i)terra""),""Terra"",
   IF(
    REGEXMATCH($W36,""(?i)desenvolvimento""),""Desenvolvimento"&amp;""",
    IF(
     REGEXMATCH($W36,""(?i)remada""),""Remada"",
     IF(REGEXMATCH($W36,""(?i)arranco""),""Arranco"",IF(REGEXMATCH($W36,""(?i)arremesso""),""Arremesso"",""""))
    )
   )
  )
 )
),
prs!$A$18:$D$24,
4,
FALSE
)
,"""")"),"")</f>
        <v/>
      </c>
      <c r="AB36" s="41"/>
      <c r="AC36" s="32"/>
    </row>
    <row r="37" ht="15.75" customHeight="1">
      <c r="A37" s="32"/>
      <c r="B37" s="35"/>
      <c r="C37" s="36"/>
      <c r="D37" s="36"/>
      <c r="E37" s="38"/>
      <c r="F37" s="41" t="str">
        <f>IFERROR(__xludf.DUMMYFUNCTION("IFERROR(
$E37/
VLOOKUP(
IF(
 REGEXMATCH($B37,""(?i)agachamento""),""Agachamento"",
 IF(
  REGEXMATCH($B37,""(?i)supino""),""Supino"",
  IF(
   REGEXMATCH($B37,""(?i)terra""),""Terra"",
   IF(
    REGEXMATCH($B37,""(?i)desenvolvimento""),""Desenvolvimento"&amp;""",
    IF(
     REGEXMATCH($B37,""(?i)remada""),""Remada"",
     IF(REGEXMATCH($B37,""(?i)arranco""),""Arranco"",IF(REGEXMATCH($B37,""(?i)arremesso""),""Arremesso"",""""))
    )
   )
  )
 )
),
prs!$A$18:$D$24,
4,
FALSE
)
,"""")"),"")</f>
        <v/>
      </c>
      <c r="G37" s="41"/>
      <c r="H37" s="44"/>
      <c r="I37" s="35"/>
      <c r="J37" s="36"/>
      <c r="K37" s="36"/>
      <c r="L37" s="38"/>
      <c r="M37" s="41" t="str">
        <f>IFERROR(__xludf.DUMMYFUNCTION("IFERROR(
$L37/
VLOOKUP(
IF(
 REGEXMATCH($I37,""(?i)agachamento""),""Agachamento"",
 IF(
  REGEXMATCH($I37,""(?i)supino""),""Supino"",
  IF(
   REGEXMATCH($I37,""(?i)terra""),""Terra"",
   IF(
    REGEXMATCH($I37,""(?i)desenvolvimento""),""Desenvolvimento"&amp;""",
    IF(
     REGEXMATCH($I37,""(?i)remada""),""Remada"",
     IF(REGEXMATCH($I37,""(?i)arranco""),""Arranco"",IF(REGEXMATCH($I37,""(?i)arremesso""),""Arremesso"",""""))
    )
   )
  )
 )
),
prs!$A$18:$D$24,
4,
FALSE
)
,"""")"),"")</f>
        <v/>
      </c>
      <c r="N37" s="41"/>
      <c r="O37" s="47"/>
      <c r="P37" s="35"/>
      <c r="Q37" s="36"/>
      <c r="R37" s="36"/>
      <c r="S37" s="38"/>
      <c r="T37" s="41" t="str">
        <f>IFERROR(__xludf.DUMMYFUNCTION("IFERROR(
$S37/
VLOOKUP(
IF(
 REGEXMATCH($P37,""(?i)agachamento""),""Agachamento"",
 IF(
  REGEXMATCH($P37,""(?i)supino""),""Supino"",
  IF(
   REGEXMATCH($P37,""(?i)terra""),""Terra"",
   IF(
    REGEXMATCH($P37,""(?i)desenvolvimento""),""Desenvolvimento"&amp;""",
    IF(
     REGEXMATCH($P37,""(?i)remada""),""Remada"",
     IF(REGEXMATCH($P37,""(?i)arranco""),""Arranco"",IF(REGEXMATCH($P37,""(?i)arremesso""),""Arremesso"",""""))
    )
   )
  )
 )
),
prs!$A$18:$D$24,
4,
FALSE
)
,"""")"),"")</f>
        <v/>
      </c>
      <c r="U37" s="41"/>
      <c r="V37" s="47"/>
      <c r="W37" s="35"/>
      <c r="X37" s="36"/>
      <c r="Y37" s="36"/>
      <c r="Z37" s="38"/>
      <c r="AA37" s="41" t="str">
        <f>IFERROR(__xludf.DUMMYFUNCTION("IFERROR(
$Z37/
VLOOKUP(
IF(
 REGEXMATCH($W37,""(?i)agachamento""),""Agachamento"",
 IF(
  REGEXMATCH($W37,""(?i)supino""),""Supino"",
  IF(
   REGEXMATCH($W37,""(?i)terra""),""Terra"",
   IF(
    REGEXMATCH($W37,""(?i)desenvolvimento""),""Desenvolvimento"&amp;""",
    IF(
     REGEXMATCH($W37,""(?i)remada""),""Remada"",
     IF(REGEXMATCH($W37,""(?i)arranco""),""Arranco"",IF(REGEXMATCH($W37,""(?i)arremesso""),""Arremesso"",""""))
    )
   )
  )
 )
),
prs!$A$18:$D$24,
4,
FALSE
)
,"""")"),"")</f>
        <v/>
      </c>
      <c r="AB37" s="41"/>
      <c r="AC37" s="32"/>
    </row>
    <row r="38" ht="15.75" customHeight="1">
      <c r="A38" s="32"/>
      <c r="B38" s="35"/>
      <c r="C38" s="36"/>
      <c r="D38" s="36"/>
      <c r="E38" s="38"/>
      <c r="F38" s="41" t="str">
        <f>IFERROR(__xludf.DUMMYFUNCTION("IFERROR(
$E38/
VLOOKUP(
IF(
 REGEXMATCH($B38,""(?i)agachamento""),""Agachamento"",
 IF(
  REGEXMATCH($B38,""(?i)supino""),""Supino"",
  IF(
   REGEXMATCH($B38,""(?i)terra""),""Terra"",
   IF(
    REGEXMATCH($B38,""(?i)desenvolvimento""),""Desenvolvimento"&amp;""",
    IF(
     REGEXMATCH($B38,""(?i)remada""),""Remada"",
     IF(REGEXMATCH($B38,""(?i)arranco""),""Arranco"",IF(REGEXMATCH($B38,""(?i)arremesso""),""Arremesso"",""""))
    )
   )
  )
 )
),
prs!$A$18:$D$24,
4,
FALSE
)
,"""")"),"")</f>
        <v/>
      </c>
      <c r="G38" s="41"/>
      <c r="H38" s="44"/>
      <c r="I38" s="35"/>
      <c r="J38" s="36"/>
      <c r="K38" s="36"/>
      <c r="L38" s="38"/>
      <c r="M38" s="41" t="str">
        <f>IFERROR(__xludf.DUMMYFUNCTION("IFERROR(
$L38/
VLOOKUP(
IF(
 REGEXMATCH($I38,""(?i)agachamento""),""Agachamento"",
 IF(
  REGEXMATCH($I38,""(?i)supino""),""Supino"",
  IF(
   REGEXMATCH($I38,""(?i)terra""),""Terra"",
   IF(
    REGEXMATCH($I38,""(?i)desenvolvimento""),""Desenvolvimento"&amp;""",
    IF(
     REGEXMATCH($I38,""(?i)remada""),""Remada"",
     IF(REGEXMATCH($I38,""(?i)arranco""),""Arranco"",IF(REGEXMATCH($I38,""(?i)arremesso""),""Arremesso"",""""))
    )
   )
  )
 )
),
prs!$A$18:$D$24,
4,
FALSE
)
,"""")"),"")</f>
        <v/>
      </c>
      <c r="N38" s="41"/>
      <c r="O38" s="47"/>
      <c r="P38" s="35"/>
      <c r="Q38" s="36"/>
      <c r="R38" s="36"/>
      <c r="S38" s="38"/>
      <c r="T38" s="41" t="str">
        <f>IFERROR(__xludf.DUMMYFUNCTION("IFERROR(
$S38/
VLOOKUP(
IF(
 REGEXMATCH($P38,""(?i)agachamento""),""Agachamento"",
 IF(
  REGEXMATCH($P38,""(?i)supino""),""Supino"",
  IF(
   REGEXMATCH($P38,""(?i)terra""),""Terra"",
   IF(
    REGEXMATCH($P38,""(?i)desenvolvimento""),""Desenvolvimento"&amp;""",
    IF(
     REGEXMATCH($P38,""(?i)remada""),""Remada"",
     IF(REGEXMATCH($P38,""(?i)arranco""),""Arranco"",IF(REGEXMATCH($P38,""(?i)arremesso""),""Arremesso"",""""))
    )
   )
  )
 )
),
prs!$A$18:$D$24,
4,
FALSE
)
,"""")"),"")</f>
        <v/>
      </c>
      <c r="U38" s="41"/>
      <c r="V38" s="47"/>
      <c r="W38" s="35"/>
      <c r="X38" s="36"/>
      <c r="Y38" s="36"/>
      <c r="Z38" s="38"/>
      <c r="AA38" s="41" t="str">
        <f>IFERROR(__xludf.DUMMYFUNCTION("IFERROR(
$Z38/
VLOOKUP(
IF(
 REGEXMATCH($W38,""(?i)agachamento""),""Agachamento"",
 IF(
  REGEXMATCH($W38,""(?i)supino""),""Supino"",
  IF(
   REGEXMATCH($W38,""(?i)terra""),""Terra"",
   IF(
    REGEXMATCH($W38,""(?i)desenvolvimento""),""Desenvolvimento"&amp;""",
    IF(
     REGEXMATCH($W38,""(?i)remada""),""Remada"",
     IF(REGEXMATCH($W38,""(?i)arranco""),""Arranco"",IF(REGEXMATCH($W38,""(?i)arremesso""),""Arremesso"",""""))
    )
   )
  )
 )
),
prs!$A$18:$D$24,
4,
FALSE
)
,"""")"),"")</f>
        <v/>
      </c>
      <c r="AB38" s="41"/>
      <c r="AC38" s="32"/>
    </row>
    <row r="39" ht="15.75" customHeight="1">
      <c r="A39" s="32"/>
      <c r="B39" s="35"/>
      <c r="C39" s="50"/>
      <c r="D39" s="50"/>
      <c r="E39" s="51"/>
      <c r="F39" s="41" t="str">
        <f>IFERROR(__xludf.DUMMYFUNCTION("IFERROR(
$E39/
VLOOKUP(
IF(
 REGEXMATCH($B39,""(?i)agachamento""),""Agachamento"",
 IF(
  REGEXMATCH($B39,""(?i)supino""),""Supino"",
  IF(
   REGEXMATCH($B39,""(?i)terra""),""Terra"",
   IF(
    REGEXMATCH($B39,""(?i)desenvolvimento""),""Desenvolvimento"&amp;""",
    IF(
     REGEXMATCH($B39,""(?i)remada""),""Remada"",
     IF(REGEXMATCH($B39,""(?i)arranco""),""Arranco"",IF(REGEXMATCH($B39,""(?i)arremesso""),""Arremesso"",""""))
    )
   )
  )
 )
),
prs!$A$18:$D$24,
4,
FALSE
)
,"""")"),"")</f>
        <v/>
      </c>
      <c r="G39" s="41"/>
      <c r="H39" s="44"/>
      <c r="I39" s="35"/>
      <c r="J39" s="50"/>
      <c r="K39" s="50"/>
      <c r="L39" s="51"/>
      <c r="M39" s="41" t="str">
        <f>IFERROR(__xludf.DUMMYFUNCTION("IFERROR(
$L39/
VLOOKUP(
IF(
 REGEXMATCH($I39,""(?i)agachamento""),""Agachamento"",
 IF(
  REGEXMATCH($I39,""(?i)supino""),""Supino"",
  IF(
   REGEXMATCH($I39,""(?i)terra""),""Terra"",
   IF(
    REGEXMATCH($I39,""(?i)desenvolvimento""),""Desenvolvimento"&amp;""",
    IF(
     REGEXMATCH($I39,""(?i)remada""),""Remada"",
     IF(REGEXMATCH($I39,""(?i)arranco""),""Arranco"",IF(REGEXMATCH($I39,""(?i)arremesso""),""Arremesso"",""""))
    )
   )
  )
 )
),
prs!$A$18:$D$24,
4,
FALSE
)
,"""")"),"")</f>
        <v/>
      </c>
      <c r="N39" s="41"/>
      <c r="O39" s="47"/>
      <c r="P39" s="35"/>
      <c r="Q39" s="50"/>
      <c r="R39" s="50"/>
      <c r="S39" s="51"/>
      <c r="T39" s="41" t="str">
        <f>IFERROR(__xludf.DUMMYFUNCTION("IFERROR(
$S39/
VLOOKUP(
IF(
 REGEXMATCH($P39,""(?i)agachamento""),""Agachamento"",
 IF(
  REGEXMATCH($P39,""(?i)supino""),""Supino"",
  IF(
   REGEXMATCH($P39,""(?i)terra""),""Terra"",
   IF(
    REGEXMATCH($P39,""(?i)desenvolvimento""),""Desenvolvimento"&amp;""",
    IF(
     REGEXMATCH($P39,""(?i)remada""),""Remada"",
     IF(REGEXMATCH($P39,""(?i)arranco""),""Arranco"",IF(REGEXMATCH($P39,""(?i)arremesso""),""Arremesso"",""""))
    )
   )
  )
 )
),
prs!$A$18:$D$24,
4,
FALSE
)
,"""")"),"")</f>
        <v/>
      </c>
      <c r="U39" s="41"/>
      <c r="V39" s="47"/>
      <c r="W39" s="35"/>
      <c r="X39" s="50"/>
      <c r="Y39" s="50"/>
      <c r="Z39" s="51"/>
      <c r="AA39" s="41" t="str">
        <f>IFERROR(__xludf.DUMMYFUNCTION("IFERROR(
$Z39/
VLOOKUP(
IF(
 REGEXMATCH($W39,""(?i)agachamento""),""Agachamento"",
 IF(
  REGEXMATCH($W39,""(?i)supino""),""Supino"",
  IF(
   REGEXMATCH($W39,""(?i)terra""),""Terra"",
   IF(
    REGEXMATCH($W39,""(?i)desenvolvimento""),""Desenvolvimento"&amp;""",
    IF(
     REGEXMATCH($W39,""(?i)remada""),""Remada"",
     IF(REGEXMATCH($W39,""(?i)arranco""),""Arranco"",IF(REGEXMATCH($W39,""(?i)arremesso""),""Arremesso"",""""))
    )
   )
  )
 )
),
prs!$A$18:$D$24,
4,
FALSE
)
,"""")"),"")</f>
        <v/>
      </c>
      <c r="AB39" s="41"/>
      <c r="AC39" s="32"/>
    </row>
    <row r="40" ht="15.75" customHeight="1">
      <c r="A40" s="32"/>
      <c r="B40" s="35"/>
      <c r="C40" s="50"/>
      <c r="D40" s="50"/>
      <c r="E40" s="51"/>
      <c r="F40" s="41" t="str">
        <f>IFERROR(__xludf.DUMMYFUNCTION("IFERROR(
$E40/
VLOOKUP(
IF(
 REGEXMATCH($B40,""(?i)agachamento""),""Agachamento"",
 IF(
  REGEXMATCH($B40,""(?i)supino""),""Supino"",
  IF(
   REGEXMATCH($B40,""(?i)terra""),""Terra"",
   IF(
    REGEXMATCH($B40,""(?i)desenvolvimento""),""Desenvolvimento"&amp;""",
    IF(
     REGEXMATCH($B40,""(?i)remada""),""Remada"",
     IF(REGEXMATCH($B40,""(?i)arranco""),""Arranco"",IF(REGEXMATCH($B40,""(?i)arremesso""),""Arremesso"",""""))
    )
   )
  )
 )
),
prs!$A$18:$D$24,
4,
FALSE
)
,"""")"),"")</f>
        <v/>
      </c>
      <c r="G40" s="41"/>
      <c r="H40" s="44"/>
      <c r="I40" s="35"/>
      <c r="J40" s="50"/>
      <c r="K40" s="50"/>
      <c r="L40" s="51"/>
      <c r="M40" s="41" t="str">
        <f>IFERROR(__xludf.DUMMYFUNCTION("IFERROR(
$L40/
VLOOKUP(
IF(
 REGEXMATCH($I40,""(?i)agachamento""),""Agachamento"",
 IF(
  REGEXMATCH($I40,""(?i)supino""),""Supino"",
  IF(
   REGEXMATCH($I40,""(?i)terra""),""Terra"",
   IF(
    REGEXMATCH($I40,""(?i)desenvolvimento""),""Desenvolvimento"&amp;""",
    IF(
     REGEXMATCH($I40,""(?i)remada""),""Remada"",
     IF(REGEXMATCH($I40,""(?i)arranco""),""Arranco"",IF(REGEXMATCH($I40,""(?i)arremesso""),""Arremesso"",""""))
    )
   )
  )
 )
),
prs!$A$18:$D$24,
4,
FALSE
)
,"""")"),"")</f>
        <v/>
      </c>
      <c r="N40" s="41"/>
      <c r="O40" s="47"/>
      <c r="P40" s="35"/>
      <c r="Q40" s="50"/>
      <c r="R40" s="50"/>
      <c r="S40" s="51"/>
      <c r="T40" s="41" t="str">
        <f>IFERROR(__xludf.DUMMYFUNCTION("IFERROR(
$S40/
VLOOKUP(
IF(
 REGEXMATCH($P40,""(?i)agachamento""),""Agachamento"",
 IF(
  REGEXMATCH($P40,""(?i)supino""),""Supino"",
  IF(
   REGEXMATCH($P40,""(?i)terra""),""Terra"",
   IF(
    REGEXMATCH($P40,""(?i)desenvolvimento""),""Desenvolvimento"&amp;""",
    IF(
     REGEXMATCH($P40,""(?i)remada""),""Remada"",
     IF(REGEXMATCH($P40,""(?i)arranco""),""Arranco"",IF(REGEXMATCH($P40,""(?i)arremesso""),""Arremesso"",""""))
    )
   )
  )
 )
),
prs!$A$18:$D$24,
4,
FALSE
)
,"""")"),"")</f>
        <v/>
      </c>
      <c r="U40" s="41"/>
      <c r="V40" s="47"/>
      <c r="W40" s="35"/>
      <c r="X40" s="50"/>
      <c r="Y40" s="50"/>
      <c r="Z40" s="51"/>
      <c r="AA40" s="41" t="str">
        <f>IFERROR(__xludf.DUMMYFUNCTION("IFERROR(
$Z40/
VLOOKUP(
IF(
 REGEXMATCH($W40,""(?i)agachamento""),""Agachamento"",
 IF(
  REGEXMATCH($W40,""(?i)supino""),""Supino"",
  IF(
   REGEXMATCH($W40,""(?i)terra""),""Terra"",
   IF(
    REGEXMATCH($W40,""(?i)desenvolvimento""),""Desenvolvimento"&amp;""",
    IF(
     REGEXMATCH($W40,""(?i)remada""),""Remada"",
     IF(REGEXMATCH($W40,""(?i)arranco""),""Arranco"",IF(REGEXMATCH($W40,""(?i)arremesso""),""Arremesso"",""""))
    )
   )
  )
 )
),
prs!$A$18:$D$24,
4,
FALSE
)
,"""")"),"")</f>
        <v/>
      </c>
      <c r="AB40" s="41"/>
      <c r="AC40" s="32"/>
    </row>
    <row r="41" ht="15.75" customHeight="1">
      <c r="A41" s="32"/>
      <c r="B41" s="35"/>
      <c r="C41" s="50"/>
      <c r="D41" s="50"/>
      <c r="E41" s="51"/>
      <c r="F41" s="41" t="str">
        <f>IFERROR(__xludf.DUMMYFUNCTION("IFERROR(
$E41/
VLOOKUP(
IF(
 REGEXMATCH($B41,""(?i)agachamento""),""Agachamento"",
 IF(
  REGEXMATCH($B41,""(?i)supino""),""Supino"",
  IF(
   REGEXMATCH($B41,""(?i)terra""),""Terra"",
   IF(
    REGEXMATCH($B41,""(?i)desenvolvimento""),""Desenvolvimento"&amp;""",
    IF(
     REGEXMATCH($B41,""(?i)remada""),""Remada"",
     IF(REGEXMATCH($B41,""(?i)arranco""),""Arranco"",IF(REGEXMATCH($B41,""(?i)arremesso""),""Arremesso"",""""))
    )
   )
  )
 )
),
prs!$A$18:$D$24,
4,
FALSE
)
,"""")"),"")</f>
        <v/>
      </c>
      <c r="G41" s="41"/>
      <c r="H41" s="44"/>
      <c r="I41" s="35"/>
      <c r="J41" s="50"/>
      <c r="K41" s="50"/>
      <c r="L41" s="51"/>
      <c r="M41" s="41" t="str">
        <f>IFERROR(__xludf.DUMMYFUNCTION("IFERROR(
$L41/
VLOOKUP(
IF(
 REGEXMATCH($I41,""(?i)agachamento""),""Agachamento"",
 IF(
  REGEXMATCH($I41,""(?i)supino""),""Supino"",
  IF(
   REGEXMATCH($I41,""(?i)terra""),""Terra"",
   IF(
    REGEXMATCH($I41,""(?i)desenvolvimento""),""Desenvolvimento"&amp;""",
    IF(
     REGEXMATCH($I41,""(?i)remada""),""Remada"",
     IF(REGEXMATCH($I41,""(?i)arranco""),""Arranco"",IF(REGEXMATCH($I41,""(?i)arremesso""),""Arremesso"",""""))
    )
   )
  )
 )
),
prs!$A$18:$D$24,
4,
FALSE
)
,"""")"),"")</f>
        <v/>
      </c>
      <c r="N41" s="41"/>
      <c r="O41" s="47"/>
      <c r="P41" s="35"/>
      <c r="Q41" s="50"/>
      <c r="R41" s="50"/>
      <c r="S41" s="51"/>
      <c r="T41" s="41" t="str">
        <f>IFERROR(__xludf.DUMMYFUNCTION("IFERROR(
$S41/
VLOOKUP(
IF(
 REGEXMATCH($P41,""(?i)agachamento""),""Agachamento"",
 IF(
  REGEXMATCH($P41,""(?i)supino""),""Supino"",
  IF(
   REGEXMATCH($P41,""(?i)terra""),""Terra"",
   IF(
    REGEXMATCH($P41,""(?i)desenvolvimento""),""Desenvolvimento"&amp;""",
    IF(
     REGEXMATCH($P41,""(?i)remada""),""Remada"",
     IF(REGEXMATCH($P41,""(?i)arranco""),""Arranco"",IF(REGEXMATCH($P41,""(?i)arremesso""),""Arremesso"",""""))
    )
   )
  )
 )
),
prs!$A$18:$D$24,
4,
FALSE
)
,"""")"),"")</f>
        <v/>
      </c>
      <c r="U41" s="41"/>
      <c r="V41" s="47"/>
      <c r="W41" s="35"/>
      <c r="X41" s="50"/>
      <c r="Y41" s="50"/>
      <c r="Z41" s="51"/>
      <c r="AA41" s="41" t="str">
        <f>IFERROR(__xludf.DUMMYFUNCTION("IFERROR(
$Z41/
VLOOKUP(
IF(
 REGEXMATCH($W41,""(?i)agachamento""),""Agachamento"",
 IF(
  REGEXMATCH($W41,""(?i)supino""),""Supino"",
  IF(
   REGEXMATCH($W41,""(?i)terra""),""Terra"",
   IF(
    REGEXMATCH($W41,""(?i)desenvolvimento""),""Desenvolvimento"&amp;""",
    IF(
     REGEXMATCH($W41,""(?i)remada""),""Remada"",
     IF(REGEXMATCH($W41,""(?i)arranco""),""Arranco"",IF(REGEXMATCH($W41,""(?i)arremesso""),""Arremesso"",""""))
    )
   )
  )
 )
),
prs!$A$18:$D$24,
4,
FALSE
)
,"""")"),"")</f>
        <v/>
      </c>
      <c r="AB41" s="41"/>
      <c r="AC41" s="32"/>
    </row>
    <row r="42" ht="15.75" customHeight="1">
      <c r="A42" s="32"/>
      <c r="B42" s="35"/>
      <c r="C42" s="50"/>
      <c r="D42" s="50"/>
      <c r="E42" s="51"/>
      <c r="F42" s="41" t="str">
        <f>IFERROR(__xludf.DUMMYFUNCTION("IFERROR(
$E42/
VLOOKUP(
IF(
 REGEXMATCH($B42,""(?i)agachamento""),""Agachamento"",
 IF(
  REGEXMATCH($B42,""(?i)supino""),""Supino"",
  IF(
   REGEXMATCH($B42,""(?i)terra""),""Terra"",
   IF(
    REGEXMATCH($B42,""(?i)desenvolvimento""),""Desenvolvimento"&amp;""",
    IF(
     REGEXMATCH($B42,""(?i)remada""),""Remada"",
     IF(REGEXMATCH($B42,""(?i)arranco""),""Arranco"",IF(REGEXMATCH($B42,""(?i)arremesso""),""Arremesso"",""""))
    )
   )
  )
 )
),
prs!$A$18:$D$24,
4,
FALSE
)
,"""")"),"")</f>
        <v/>
      </c>
      <c r="G42" s="41"/>
      <c r="H42" s="44"/>
      <c r="I42" s="35"/>
      <c r="J42" s="50"/>
      <c r="K42" s="50"/>
      <c r="L42" s="51"/>
      <c r="M42" s="41" t="str">
        <f>IFERROR(__xludf.DUMMYFUNCTION("IFERROR(
$L42/
VLOOKUP(
IF(
 REGEXMATCH($I42,""(?i)agachamento""),""Agachamento"",
 IF(
  REGEXMATCH($I42,""(?i)supino""),""Supino"",
  IF(
   REGEXMATCH($I42,""(?i)terra""),""Terra"",
   IF(
    REGEXMATCH($I42,""(?i)desenvolvimento""),""Desenvolvimento"&amp;""",
    IF(
     REGEXMATCH($I42,""(?i)remada""),""Remada"",
     IF(REGEXMATCH($I42,""(?i)arranco""),""Arranco"",IF(REGEXMATCH($I42,""(?i)arremesso""),""Arremesso"",""""))
    )
   )
  )
 )
),
prs!$A$18:$D$24,
4,
FALSE
)
,"""")"),"")</f>
        <v/>
      </c>
      <c r="N42" s="41"/>
      <c r="O42" s="47"/>
      <c r="P42" s="35"/>
      <c r="Q42" s="50"/>
      <c r="R42" s="50"/>
      <c r="S42" s="51"/>
      <c r="T42" s="41" t="str">
        <f>IFERROR(__xludf.DUMMYFUNCTION("IFERROR(
$S42/
VLOOKUP(
IF(
 REGEXMATCH($P42,""(?i)agachamento""),""Agachamento"",
 IF(
  REGEXMATCH($P42,""(?i)supino""),""Supino"",
  IF(
   REGEXMATCH($P42,""(?i)terra""),""Terra"",
   IF(
    REGEXMATCH($P42,""(?i)desenvolvimento""),""Desenvolvimento"&amp;""",
    IF(
     REGEXMATCH($P42,""(?i)remada""),""Remada"",
     IF(REGEXMATCH($P42,""(?i)arranco""),""Arranco"",IF(REGEXMATCH($P42,""(?i)arremesso""),""Arremesso"",""""))
    )
   )
  )
 )
),
prs!$A$18:$D$24,
4,
FALSE
)
,"""")"),"")</f>
        <v/>
      </c>
      <c r="U42" s="41"/>
      <c r="V42" s="47"/>
      <c r="W42" s="35"/>
      <c r="X42" s="50"/>
      <c r="Y42" s="50"/>
      <c r="Z42" s="51"/>
      <c r="AA42" s="41" t="str">
        <f>IFERROR(__xludf.DUMMYFUNCTION("IFERROR(
$Z42/
VLOOKUP(
IF(
 REGEXMATCH($W42,""(?i)agachamento""),""Agachamento"",
 IF(
  REGEXMATCH($W42,""(?i)supino""),""Supino"",
  IF(
   REGEXMATCH($W42,""(?i)terra""),""Terra"",
   IF(
    REGEXMATCH($W42,""(?i)desenvolvimento""),""Desenvolvimento"&amp;""",
    IF(
     REGEXMATCH($W42,""(?i)remada""),""Remada"",
     IF(REGEXMATCH($W42,""(?i)arranco""),""Arranco"",IF(REGEXMATCH($W42,""(?i)arremesso""),""Arremesso"",""""))
    )
   )
  )
 )
),
prs!$A$18:$D$24,
4,
FALSE
)
,"""")"),"")</f>
        <v/>
      </c>
      <c r="AB42" s="41"/>
      <c r="AC42" s="32"/>
    </row>
    <row r="43" ht="15.75" customHeight="1">
      <c r="A43" s="32"/>
      <c r="B43" s="35"/>
      <c r="C43" s="50"/>
      <c r="D43" s="50"/>
      <c r="E43" s="51"/>
      <c r="F43" s="41" t="str">
        <f>IFERROR(__xludf.DUMMYFUNCTION("IFERROR(
$E43/
VLOOKUP(
IF(
 REGEXMATCH($B43,""(?i)agachamento""),""Agachamento"",
 IF(
  REGEXMATCH($B43,""(?i)supino""),""Supino"",
  IF(
   REGEXMATCH($B43,""(?i)terra""),""Terra"",
   IF(
    REGEXMATCH($B43,""(?i)desenvolvimento""),""Desenvolvimento"&amp;""",
    IF(
     REGEXMATCH($B43,""(?i)remada""),""Remada"",
     IF(REGEXMATCH($B43,""(?i)arranco""),""Arranco"",IF(REGEXMATCH($B43,""(?i)arremesso""),""Arremesso"",""""))
    )
   )
  )
 )
),
prs!$A$18:$D$24,
4,
FALSE
)
,"""")"),"")</f>
        <v/>
      </c>
      <c r="G43" s="41"/>
      <c r="H43" s="44"/>
      <c r="I43" s="35"/>
      <c r="J43" s="50"/>
      <c r="K43" s="50"/>
      <c r="L43" s="51"/>
      <c r="M43" s="41" t="str">
        <f>IFERROR(__xludf.DUMMYFUNCTION("IFERROR(
$L43/
VLOOKUP(
IF(
 REGEXMATCH($I43,""(?i)agachamento""),""Agachamento"",
 IF(
  REGEXMATCH($I43,""(?i)supino""),""Supino"",
  IF(
   REGEXMATCH($I43,""(?i)terra""),""Terra"",
   IF(
    REGEXMATCH($I43,""(?i)desenvolvimento""),""Desenvolvimento"&amp;""",
    IF(
     REGEXMATCH($I43,""(?i)remada""),""Remada"",
     IF(REGEXMATCH($I43,""(?i)arranco""),""Arranco"",IF(REGEXMATCH($I43,""(?i)arremesso""),""Arremesso"",""""))
    )
   )
  )
 )
),
prs!$A$18:$D$24,
4,
FALSE
)
,"""")"),"")</f>
        <v/>
      </c>
      <c r="N43" s="41"/>
      <c r="O43" s="47"/>
      <c r="P43" s="35"/>
      <c r="Q43" s="50"/>
      <c r="R43" s="50"/>
      <c r="S43" s="51"/>
      <c r="T43" s="41" t="str">
        <f>IFERROR(__xludf.DUMMYFUNCTION("IFERROR(
$S43/
VLOOKUP(
IF(
 REGEXMATCH($P43,""(?i)agachamento""),""Agachamento"",
 IF(
  REGEXMATCH($P43,""(?i)supino""),""Supino"",
  IF(
   REGEXMATCH($P43,""(?i)terra""),""Terra"",
   IF(
    REGEXMATCH($P43,""(?i)desenvolvimento""),""Desenvolvimento"&amp;""",
    IF(
     REGEXMATCH($P43,""(?i)remada""),""Remada"",
     IF(REGEXMATCH($P43,""(?i)arranco""),""Arranco"",IF(REGEXMATCH($P43,""(?i)arremesso""),""Arremesso"",""""))
    )
   )
  )
 )
),
prs!$A$18:$D$24,
4,
FALSE
)
,"""")"),"")</f>
        <v/>
      </c>
      <c r="U43" s="41"/>
      <c r="V43" s="47"/>
      <c r="W43" s="35"/>
      <c r="X43" s="50"/>
      <c r="Y43" s="50"/>
      <c r="Z43" s="51"/>
      <c r="AA43" s="41" t="str">
        <f>IFERROR(__xludf.DUMMYFUNCTION("IFERROR(
$Z43/
VLOOKUP(
IF(
 REGEXMATCH($W43,""(?i)agachamento""),""Agachamento"",
 IF(
  REGEXMATCH($W43,""(?i)supino""),""Supino"",
  IF(
   REGEXMATCH($W43,""(?i)terra""),""Terra"",
   IF(
    REGEXMATCH($W43,""(?i)desenvolvimento""),""Desenvolvimento"&amp;""",
    IF(
     REGEXMATCH($W43,""(?i)remada""),""Remada"",
     IF(REGEXMATCH($W43,""(?i)arranco""),""Arranco"",IF(REGEXMATCH($W43,""(?i)arremesso""),""Arremesso"",""""))
    )
   )
  )
 )
),
prs!$A$18:$D$24,
4,
FALSE
)
,"""")"),"")</f>
        <v/>
      </c>
      <c r="AB43" s="41"/>
      <c r="AC43" s="32"/>
    </row>
    <row r="44" ht="15.75" customHeight="1">
      <c r="A44" s="32"/>
      <c r="B44" s="35"/>
      <c r="C44" s="50"/>
      <c r="D44" s="50"/>
      <c r="E44" s="51"/>
      <c r="F44" s="41" t="str">
        <f>IFERROR(__xludf.DUMMYFUNCTION("IFERROR(
$E44/
VLOOKUP(
IF(
 REGEXMATCH($B44,""(?i)agachamento""),""Agachamento"",
 IF(
  REGEXMATCH($B44,""(?i)supino""),""Supino"",
  IF(
   REGEXMATCH($B44,""(?i)terra""),""Terra"",
   IF(
    REGEXMATCH($B44,""(?i)desenvolvimento""),""Desenvolvimento"&amp;""",
    IF(
     REGEXMATCH($B44,""(?i)remada""),""Remada"",
     IF(REGEXMATCH($B44,""(?i)arranco""),""Arranco"",IF(REGEXMATCH($B44,""(?i)arremesso""),""Arremesso"",""""))
    )
   )
  )
 )
),
prs!$A$18:$D$24,
4,
FALSE
)
,"""")"),"")</f>
        <v/>
      </c>
      <c r="G44" s="41"/>
      <c r="H44" s="44"/>
      <c r="I44" s="35"/>
      <c r="J44" s="50"/>
      <c r="K44" s="50"/>
      <c r="L44" s="51"/>
      <c r="M44" s="41" t="str">
        <f>IFERROR(__xludf.DUMMYFUNCTION("IFERROR(
$L44/
VLOOKUP(
IF(
 REGEXMATCH($I44,""(?i)agachamento""),""Agachamento"",
 IF(
  REGEXMATCH($I44,""(?i)supino""),""Supino"",
  IF(
   REGEXMATCH($I44,""(?i)terra""),""Terra"",
   IF(
    REGEXMATCH($I44,""(?i)desenvolvimento""),""Desenvolvimento"&amp;""",
    IF(
     REGEXMATCH($I44,""(?i)remada""),""Remada"",
     IF(REGEXMATCH($I44,""(?i)arranco""),""Arranco"",IF(REGEXMATCH($I44,""(?i)arremesso""),""Arremesso"",""""))
    )
   )
  )
 )
),
prs!$A$18:$D$24,
4,
FALSE
)
,"""")"),"")</f>
        <v/>
      </c>
      <c r="N44" s="41"/>
      <c r="O44" s="47"/>
      <c r="P44" s="35"/>
      <c r="Q44" s="50"/>
      <c r="R44" s="50"/>
      <c r="S44" s="51"/>
      <c r="T44" s="41" t="str">
        <f>IFERROR(__xludf.DUMMYFUNCTION("IFERROR(
$S44/
VLOOKUP(
IF(
 REGEXMATCH($P44,""(?i)agachamento""),""Agachamento"",
 IF(
  REGEXMATCH($P44,""(?i)supino""),""Supino"",
  IF(
   REGEXMATCH($P44,""(?i)terra""),""Terra"",
   IF(
    REGEXMATCH($P44,""(?i)desenvolvimento""),""Desenvolvimento"&amp;""",
    IF(
     REGEXMATCH($P44,""(?i)remada""),""Remada"",
     IF(REGEXMATCH($P44,""(?i)arranco""),""Arranco"",IF(REGEXMATCH($P44,""(?i)arremesso""),""Arremesso"",""""))
    )
   )
  )
 )
),
prs!$A$18:$D$24,
4,
FALSE
)
,"""")"),"")</f>
        <v/>
      </c>
      <c r="U44" s="41"/>
      <c r="V44" s="47"/>
      <c r="W44" s="35"/>
      <c r="X44" s="50"/>
      <c r="Y44" s="50"/>
      <c r="Z44" s="51"/>
      <c r="AA44" s="41" t="str">
        <f>IFERROR(__xludf.DUMMYFUNCTION("IFERROR(
$Z44/
VLOOKUP(
IF(
 REGEXMATCH($W44,""(?i)agachamento""),""Agachamento"",
 IF(
  REGEXMATCH($W44,""(?i)supino""),""Supino"",
  IF(
   REGEXMATCH($W44,""(?i)terra""),""Terra"",
   IF(
    REGEXMATCH($W44,""(?i)desenvolvimento""),""Desenvolvimento"&amp;""",
    IF(
     REGEXMATCH($W44,""(?i)remada""),""Remada"",
     IF(REGEXMATCH($W44,""(?i)arranco""),""Arranco"",IF(REGEXMATCH($W44,""(?i)arremesso""),""Arremesso"",""""))
    )
   )
  )
 )
),
prs!$A$18:$D$24,
4,
FALSE
)
,"""")"),"")</f>
        <v/>
      </c>
      <c r="AB44" s="41"/>
      <c r="AC44" s="32"/>
    </row>
    <row r="45" ht="15.75" customHeight="1">
      <c r="A45" s="32"/>
      <c r="B45" s="35"/>
      <c r="C45" s="50"/>
      <c r="D45" s="50"/>
      <c r="E45" s="51"/>
      <c r="F45" s="41" t="str">
        <f>IFERROR(__xludf.DUMMYFUNCTION("IFERROR(
$E45/
VLOOKUP(
IF(
 REGEXMATCH($B45,""(?i)agachamento""),""Agachamento"",
 IF(
  REGEXMATCH($B45,""(?i)supino""),""Supino"",
  IF(
   REGEXMATCH($B45,""(?i)terra""),""Terra"",
   IF(
    REGEXMATCH($B45,""(?i)desenvolvimento""),""Desenvolvimento"&amp;""",
    IF(
     REGEXMATCH($B45,""(?i)remada""),""Remada"",
     IF(REGEXMATCH($B45,""(?i)arranco""),""Arranco"",IF(REGEXMATCH($B45,""(?i)arremesso""),""Arremesso"",""""))
    )
   )
  )
 )
),
prs!$A$18:$D$24,
4,
FALSE
)
,"""")"),"")</f>
        <v/>
      </c>
      <c r="G45" s="41"/>
      <c r="H45" s="44"/>
      <c r="I45" s="35"/>
      <c r="J45" s="50"/>
      <c r="K45" s="50"/>
      <c r="L45" s="51"/>
      <c r="M45" s="41" t="str">
        <f>IFERROR(__xludf.DUMMYFUNCTION("IFERROR(
$L45/
VLOOKUP(
IF(
 REGEXMATCH($I45,""(?i)agachamento""),""Agachamento"",
 IF(
  REGEXMATCH($I45,""(?i)supino""),""Supino"",
  IF(
   REGEXMATCH($I45,""(?i)terra""),""Terra"",
   IF(
    REGEXMATCH($I45,""(?i)desenvolvimento""),""Desenvolvimento"&amp;""",
    IF(
     REGEXMATCH($I45,""(?i)remada""),""Remada"",
     IF(REGEXMATCH($I45,""(?i)arranco""),""Arranco"",IF(REGEXMATCH($I45,""(?i)arremesso""),""Arremesso"",""""))
    )
   )
  )
 )
),
prs!$A$18:$D$24,
4,
FALSE
)
,"""")"),"")</f>
        <v/>
      </c>
      <c r="N45" s="41"/>
      <c r="O45" s="47"/>
      <c r="P45" s="35"/>
      <c r="Q45" s="50"/>
      <c r="R45" s="50"/>
      <c r="S45" s="51"/>
      <c r="T45" s="41" t="str">
        <f>IFERROR(__xludf.DUMMYFUNCTION("IFERROR(
$S45/
VLOOKUP(
IF(
 REGEXMATCH($P45,""(?i)agachamento""),""Agachamento"",
 IF(
  REGEXMATCH($P45,""(?i)supino""),""Supino"",
  IF(
   REGEXMATCH($P45,""(?i)terra""),""Terra"",
   IF(
    REGEXMATCH($P45,""(?i)desenvolvimento""),""Desenvolvimento"&amp;""",
    IF(
     REGEXMATCH($P45,""(?i)remada""),""Remada"",
     IF(REGEXMATCH($P45,""(?i)arranco""),""Arranco"",IF(REGEXMATCH($P45,""(?i)arremesso""),""Arremesso"",""""))
    )
   )
  )
 )
),
prs!$A$18:$D$24,
4,
FALSE
)
,"""")"),"")</f>
        <v/>
      </c>
      <c r="U45" s="41"/>
      <c r="V45" s="47"/>
      <c r="W45" s="35"/>
      <c r="X45" s="50"/>
      <c r="Y45" s="50"/>
      <c r="Z45" s="51"/>
      <c r="AA45" s="41" t="str">
        <f>IFERROR(__xludf.DUMMYFUNCTION("IFERROR(
$Z45/
VLOOKUP(
IF(
 REGEXMATCH($W45,""(?i)agachamento""),""Agachamento"",
 IF(
  REGEXMATCH($W45,""(?i)supino""),""Supino"",
  IF(
   REGEXMATCH($W45,""(?i)terra""),""Terra"",
   IF(
    REGEXMATCH($W45,""(?i)desenvolvimento""),""Desenvolvimento"&amp;""",
    IF(
     REGEXMATCH($W45,""(?i)remada""),""Remada"",
     IF(REGEXMATCH($W45,""(?i)arranco""),""Arranco"",IF(REGEXMATCH($W45,""(?i)arremesso""),""Arremesso"",""""))
    )
   )
  )
 )
),
prs!$A$18:$D$24,
4,
FALSE
)
,"""")"),"")</f>
        <v/>
      </c>
      <c r="AB45" s="41"/>
      <c r="AC45" s="32"/>
    </row>
    <row r="46" ht="15.75" customHeight="1">
      <c r="A46" s="33"/>
      <c r="B46" s="52"/>
      <c r="C46" s="37" t="s">
        <v>20</v>
      </c>
      <c r="H46" s="18"/>
      <c r="I46" s="52"/>
      <c r="J46" s="37" t="s">
        <v>23</v>
      </c>
      <c r="O46" s="18"/>
      <c r="P46" s="52"/>
      <c r="Q46" s="37" t="s">
        <v>24</v>
      </c>
      <c r="V46" s="18"/>
      <c r="W46" s="52"/>
      <c r="X46" s="37" t="s">
        <v>25</v>
      </c>
      <c r="AC46" s="18"/>
    </row>
    <row r="47" ht="15.75" customHeight="1">
      <c r="A47" s="44"/>
      <c r="B47" s="44"/>
      <c r="C47" s="44"/>
      <c r="D47" s="44"/>
      <c r="H47" s="44"/>
      <c r="I47" s="44"/>
      <c r="J47" s="44"/>
      <c r="K47" s="44"/>
      <c r="O47" s="44"/>
      <c r="P47" s="44"/>
      <c r="Q47" s="44"/>
      <c r="R47" s="44"/>
      <c r="V47" s="44"/>
      <c r="W47" s="44"/>
      <c r="X47" s="44"/>
      <c r="Y47" s="44"/>
      <c r="AC47" s="44"/>
    </row>
    <row r="48" ht="15.75" customHeight="1">
      <c r="A48" s="12"/>
      <c r="B48" s="12"/>
      <c r="C48" s="12"/>
      <c r="D48" s="12"/>
      <c r="E48" s="12"/>
      <c r="F48" s="12"/>
      <c r="G48" s="12"/>
      <c r="H48" s="12"/>
      <c r="I48" s="12"/>
      <c r="J48" s="12"/>
      <c r="K48" s="12"/>
      <c r="L48" s="12"/>
      <c r="M48" s="12"/>
      <c r="N48" s="12"/>
      <c r="O48" s="12"/>
      <c r="P48" s="12"/>
      <c r="Q48" s="12"/>
      <c r="R48" s="12"/>
      <c r="S48" s="12"/>
      <c r="T48" s="12"/>
      <c r="U48" s="12"/>
      <c r="V48" s="12"/>
      <c r="W48" s="12"/>
      <c r="X48" s="12"/>
      <c r="Y48" s="12"/>
      <c r="Z48" s="12"/>
      <c r="AA48" s="12"/>
      <c r="AB48" s="12"/>
      <c r="AC48" s="12"/>
    </row>
    <row r="49" ht="15.75" customHeight="1">
      <c r="A49" s="12"/>
      <c r="B49" s="12"/>
      <c r="C49" s="12"/>
      <c r="D49" s="12"/>
      <c r="E49" s="12"/>
      <c r="F49" s="12"/>
      <c r="G49" s="12"/>
      <c r="H49" s="12"/>
      <c r="I49" s="12"/>
      <c r="J49" s="12"/>
      <c r="K49" s="12"/>
      <c r="L49" s="12"/>
      <c r="M49" s="12"/>
      <c r="N49" s="12"/>
      <c r="O49" s="12"/>
      <c r="P49" s="12"/>
      <c r="Q49" s="12"/>
      <c r="R49" s="12"/>
      <c r="S49" s="12"/>
      <c r="T49" s="12"/>
      <c r="U49" s="12"/>
      <c r="V49" s="12"/>
      <c r="W49" s="12"/>
      <c r="X49" s="12"/>
      <c r="Y49" s="12"/>
      <c r="Z49" s="12"/>
      <c r="AA49" s="12"/>
      <c r="AB49" s="12"/>
      <c r="AC49" s="12"/>
    </row>
    <row r="50" ht="15.75" customHeight="1">
      <c r="A50" s="12"/>
      <c r="B50" s="12"/>
      <c r="C50" s="12"/>
      <c r="D50" s="12"/>
      <c r="E50" s="12"/>
      <c r="F50" s="12"/>
      <c r="G50" s="12"/>
      <c r="H50" s="12"/>
      <c r="I50" s="12"/>
      <c r="J50" s="12"/>
      <c r="K50" s="12"/>
      <c r="L50" s="12"/>
      <c r="M50" s="12"/>
      <c r="N50" s="12"/>
      <c r="O50" s="12"/>
      <c r="P50" s="12"/>
      <c r="Q50" s="12"/>
      <c r="R50" s="12"/>
      <c r="S50" s="12"/>
      <c r="T50" s="12"/>
      <c r="U50" s="12"/>
      <c r="V50" s="12"/>
      <c r="W50" s="12"/>
      <c r="X50" s="12"/>
      <c r="Y50" s="12"/>
      <c r="Z50" s="12"/>
      <c r="AA50" s="12"/>
      <c r="AB50" s="12"/>
      <c r="AC50" s="12"/>
    </row>
    <row r="51" ht="15.75" customHeight="1">
      <c r="A51" s="12"/>
      <c r="B51" s="12"/>
      <c r="C51" s="12"/>
      <c r="D51" s="12"/>
      <c r="E51" s="12"/>
      <c r="F51" s="12"/>
      <c r="G51" s="12"/>
      <c r="H51" s="12"/>
      <c r="I51" s="12"/>
      <c r="J51" s="12"/>
      <c r="K51" s="12"/>
      <c r="L51" s="12"/>
      <c r="M51" s="12"/>
      <c r="N51" s="12"/>
      <c r="O51" s="12"/>
      <c r="P51" s="12"/>
      <c r="Q51" s="12"/>
      <c r="R51" s="12"/>
      <c r="S51" s="12"/>
      <c r="T51" s="12"/>
      <c r="U51" s="12"/>
      <c r="V51" s="12"/>
      <c r="W51" s="12"/>
      <c r="X51" s="12"/>
      <c r="Y51" s="12"/>
      <c r="Z51" s="12"/>
      <c r="AA51" s="12"/>
      <c r="AB51" s="12"/>
      <c r="AC51" s="12"/>
    </row>
    <row r="52" ht="15.75" customHeight="1">
      <c r="A52" s="12"/>
      <c r="B52" s="12"/>
      <c r="C52" s="12"/>
      <c r="D52" s="12"/>
      <c r="E52" s="12"/>
      <c r="F52" s="12"/>
      <c r="G52" s="12"/>
      <c r="H52" s="12"/>
      <c r="I52" s="12"/>
      <c r="J52" s="12"/>
      <c r="K52" s="12"/>
      <c r="L52" s="12"/>
      <c r="M52" s="12"/>
      <c r="N52" s="12"/>
      <c r="O52" s="12"/>
      <c r="P52" s="12"/>
      <c r="Q52" s="12"/>
      <c r="R52" s="12"/>
      <c r="S52" s="12"/>
      <c r="T52" s="12"/>
      <c r="U52" s="12"/>
      <c r="V52" s="12"/>
      <c r="W52" s="12"/>
      <c r="X52" s="12"/>
      <c r="Y52" s="12"/>
      <c r="Z52" s="12"/>
      <c r="AA52" s="12"/>
      <c r="AB52" s="12"/>
      <c r="AC52" s="12"/>
    </row>
    <row r="53" ht="15.75" customHeight="1">
      <c r="A53" s="12"/>
      <c r="B53" s="12"/>
      <c r="C53" s="12"/>
      <c r="D53" s="12"/>
      <c r="E53" s="12"/>
      <c r="F53" s="12"/>
      <c r="G53" s="12"/>
      <c r="H53" s="12"/>
      <c r="I53" s="12"/>
      <c r="J53" s="12"/>
      <c r="K53" s="12"/>
      <c r="L53" s="12"/>
      <c r="M53" s="12"/>
      <c r="N53" s="12"/>
      <c r="O53" s="12"/>
      <c r="P53" s="12"/>
      <c r="Q53" s="12"/>
      <c r="R53" s="12"/>
      <c r="S53" s="12"/>
      <c r="T53" s="12"/>
      <c r="U53" s="12"/>
      <c r="V53" s="12"/>
      <c r="W53" s="12"/>
      <c r="X53" s="12"/>
      <c r="Y53" s="12"/>
      <c r="Z53" s="12"/>
      <c r="AA53" s="12"/>
      <c r="AB53" s="12"/>
      <c r="AC53" s="12"/>
    </row>
    <row r="54" ht="15.75" customHeight="1">
      <c r="A54" s="12"/>
      <c r="B54" s="12"/>
      <c r="C54" s="12"/>
      <c r="D54" s="12"/>
      <c r="E54" s="12"/>
      <c r="F54" s="12"/>
      <c r="G54" s="12"/>
      <c r="H54" s="12"/>
      <c r="I54" s="12"/>
      <c r="J54" s="12"/>
      <c r="K54" s="12"/>
      <c r="L54" s="12"/>
      <c r="M54" s="12"/>
      <c r="N54" s="12"/>
      <c r="O54" s="12"/>
      <c r="P54" s="12"/>
      <c r="Q54" s="12"/>
      <c r="R54" s="12"/>
      <c r="S54" s="12"/>
      <c r="T54" s="12"/>
      <c r="U54" s="12"/>
      <c r="V54" s="12"/>
      <c r="W54" s="12"/>
      <c r="X54" s="12"/>
      <c r="Y54" s="12"/>
      <c r="Z54" s="12"/>
      <c r="AA54" s="12"/>
      <c r="AB54" s="12"/>
      <c r="AC54" s="12"/>
    </row>
    <row r="55" ht="15.75" customHeight="1">
      <c r="A55" s="12"/>
      <c r="B55" s="12"/>
      <c r="C55" s="12"/>
      <c r="D55" s="12"/>
      <c r="E55" s="12"/>
      <c r="F55" s="12"/>
      <c r="G55" s="12"/>
      <c r="H55" s="12"/>
      <c r="I55" s="12"/>
      <c r="J55" s="12"/>
      <c r="K55" s="12"/>
      <c r="L55" s="12"/>
      <c r="M55" s="12"/>
      <c r="N55" s="12"/>
      <c r="O55" s="12"/>
      <c r="P55" s="12"/>
      <c r="Q55" s="12"/>
      <c r="R55" s="12"/>
      <c r="S55" s="12"/>
      <c r="T55" s="12"/>
      <c r="U55" s="12"/>
      <c r="V55" s="12"/>
      <c r="W55" s="12"/>
      <c r="X55" s="12"/>
      <c r="Y55" s="12"/>
      <c r="Z55" s="12"/>
      <c r="AA55" s="12"/>
      <c r="AB55" s="12"/>
      <c r="AC55" s="12"/>
    </row>
    <row r="56" ht="15.75" customHeight="1">
      <c r="A56" s="12"/>
      <c r="B56" s="12"/>
      <c r="C56" s="12"/>
      <c r="D56" s="12"/>
      <c r="E56" s="12"/>
      <c r="F56" s="12"/>
      <c r="G56" s="12"/>
      <c r="H56" s="12"/>
      <c r="I56" s="12"/>
      <c r="J56" s="12"/>
      <c r="K56" s="12"/>
      <c r="L56" s="12"/>
      <c r="M56" s="12"/>
      <c r="N56" s="12"/>
      <c r="O56" s="12"/>
      <c r="P56" s="12"/>
      <c r="Q56" s="12"/>
      <c r="R56" s="12"/>
      <c r="S56" s="12"/>
      <c r="T56" s="12"/>
      <c r="U56" s="12"/>
      <c r="V56" s="12"/>
      <c r="W56" s="12"/>
      <c r="X56" s="12"/>
      <c r="Y56" s="12"/>
      <c r="Z56" s="12"/>
      <c r="AA56" s="12"/>
      <c r="AB56" s="12"/>
      <c r="AC56" s="12"/>
    </row>
    <row r="57" ht="15.75" customHeight="1">
      <c r="A57" s="12"/>
      <c r="B57" s="12"/>
      <c r="C57" s="12"/>
      <c r="D57" s="12"/>
      <c r="E57" s="12"/>
      <c r="F57" s="12"/>
      <c r="G57" s="12"/>
      <c r="H57" s="12"/>
      <c r="I57" s="12"/>
      <c r="J57" s="12"/>
      <c r="K57" s="12"/>
      <c r="L57" s="12"/>
      <c r="M57" s="12"/>
      <c r="N57" s="12"/>
      <c r="O57" s="12"/>
      <c r="P57" s="12"/>
      <c r="Q57" s="12"/>
      <c r="R57" s="12"/>
      <c r="S57" s="12"/>
      <c r="T57" s="12"/>
      <c r="U57" s="12"/>
      <c r="V57" s="12"/>
      <c r="W57" s="12"/>
      <c r="X57" s="12"/>
      <c r="Y57" s="12"/>
      <c r="Z57" s="12"/>
      <c r="AA57" s="12"/>
      <c r="AB57" s="12"/>
      <c r="AC57" s="12"/>
    </row>
    <row r="58" ht="15.75" customHeight="1">
      <c r="A58" s="12"/>
      <c r="B58" s="12"/>
      <c r="C58" s="12"/>
      <c r="D58" s="12"/>
      <c r="E58" s="12"/>
      <c r="F58" s="12"/>
      <c r="G58" s="12"/>
      <c r="H58" s="12"/>
      <c r="I58" s="12"/>
      <c r="J58" s="12"/>
      <c r="K58" s="12"/>
      <c r="L58" s="12"/>
      <c r="M58" s="12"/>
      <c r="N58" s="12"/>
      <c r="O58" s="12"/>
      <c r="P58" s="12"/>
      <c r="Q58" s="12"/>
      <c r="R58" s="12"/>
      <c r="S58" s="12"/>
      <c r="T58" s="12"/>
      <c r="U58" s="12"/>
      <c r="V58" s="12"/>
      <c r="W58" s="12"/>
      <c r="X58" s="12"/>
      <c r="Y58" s="12"/>
      <c r="Z58" s="12"/>
      <c r="AA58" s="12"/>
      <c r="AB58" s="12"/>
      <c r="AC58" s="12"/>
    </row>
    <row r="59" ht="15.75" customHeight="1">
      <c r="A59" s="12"/>
      <c r="B59" s="12"/>
      <c r="C59" s="12"/>
      <c r="D59" s="12"/>
      <c r="E59" s="12"/>
      <c r="F59" s="12"/>
      <c r="G59" s="12"/>
      <c r="H59" s="12"/>
      <c r="I59" s="12"/>
      <c r="J59" s="12"/>
      <c r="K59" s="12"/>
      <c r="L59" s="12"/>
      <c r="M59" s="12"/>
      <c r="N59" s="12"/>
      <c r="O59" s="12"/>
      <c r="P59" s="12"/>
      <c r="Q59" s="12"/>
      <c r="R59" s="12"/>
      <c r="S59" s="12"/>
      <c r="T59" s="12"/>
      <c r="U59" s="12"/>
      <c r="V59" s="12"/>
      <c r="W59" s="12"/>
      <c r="X59" s="12"/>
      <c r="Y59" s="12"/>
      <c r="Z59" s="12"/>
      <c r="AA59" s="12"/>
      <c r="AB59" s="12"/>
      <c r="AC59" s="12"/>
    </row>
    <row r="60" ht="15.75" customHeight="1">
      <c r="A60" s="12"/>
      <c r="B60" s="12"/>
      <c r="C60" s="12"/>
      <c r="D60" s="12"/>
      <c r="E60" s="12"/>
      <c r="F60" s="12"/>
      <c r="G60" s="12"/>
      <c r="H60" s="12"/>
      <c r="I60" s="12"/>
      <c r="J60" s="12"/>
      <c r="K60" s="12"/>
      <c r="L60" s="12"/>
      <c r="M60" s="12"/>
      <c r="N60" s="12"/>
      <c r="O60" s="12"/>
      <c r="P60" s="12"/>
      <c r="Q60" s="12"/>
      <c r="R60" s="12"/>
      <c r="S60" s="12"/>
      <c r="T60" s="12"/>
      <c r="U60" s="12"/>
      <c r="V60" s="12"/>
      <c r="W60" s="12"/>
      <c r="X60" s="12"/>
      <c r="Y60" s="12"/>
      <c r="Z60" s="12"/>
      <c r="AA60" s="12"/>
      <c r="AB60" s="12"/>
      <c r="AC60" s="12"/>
    </row>
    <row r="61" ht="15.75" customHeight="1">
      <c r="A61" s="12"/>
      <c r="B61" s="12"/>
      <c r="C61" s="12"/>
      <c r="D61" s="12"/>
      <c r="E61" s="12"/>
      <c r="F61" s="12"/>
      <c r="G61" s="12"/>
      <c r="H61" s="12"/>
      <c r="I61" s="12"/>
      <c r="J61" s="12"/>
      <c r="K61" s="12"/>
      <c r="L61" s="12"/>
      <c r="M61" s="12"/>
      <c r="N61" s="12"/>
      <c r="O61" s="12"/>
      <c r="P61" s="12"/>
      <c r="Q61" s="12"/>
      <c r="R61" s="12"/>
      <c r="S61" s="12"/>
      <c r="T61" s="12"/>
      <c r="U61" s="12"/>
      <c r="V61" s="12"/>
      <c r="W61" s="12"/>
      <c r="X61" s="12"/>
      <c r="Y61" s="12"/>
      <c r="Z61" s="12"/>
      <c r="AA61" s="12"/>
      <c r="AB61" s="12"/>
      <c r="AC61" s="12"/>
    </row>
    <row r="62" ht="15.75" customHeight="1">
      <c r="A62" s="12"/>
      <c r="B62" s="12"/>
      <c r="C62" s="12"/>
      <c r="D62" s="12"/>
      <c r="E62" s="12"/>
      <c r="F62" s="12"/>
      <c r="G62" s="12"/>
      <c r="H62" s="12"/>
      <c r="I62" s="12"/>
      <c r="J62" s="12"/>
      <c r="K62" s="12"/>
      <c r="L62" s="12"/>
      <c r="M62" s="12"/>
      <c r="N62" s="12"/>
      <c r="O62" s="12"/>
      <c r="P62" s="12"/>
      <c r="Q62" s="12"/>
      <c r="R62" s="12"/>
      <c r="S62" s="12"/>
      <c r="T62" s="12"/>
      <c r="U62" s="12"/>
      <c r="V62" s="12"/>
      <c r="W62" s="12"/>
      <c r="X62" s="12"/>
      <c r="Y62" s="12"/>
      <c r="Z62" s="12"/>
      <c r="AA62" s="12"/>
      <c r="AB62" s="12"/>
      <c r="AC62" s="12"/>
    </row>
    <row r="63" ht="15.75" customHeight="1">
      <c r="A63" s="12"/>
      <c r="B63" s="12"/>
      <c r="C63" s="12"/>
      <c r="D63" s="12"/>
      <c r="E63" s="12"/>
      <c r="F63" s="12"/>
      <c r="G63" s="12"/>
      <c r="H63" s="12"/>
      <c r="I63" s="12"/>
      <c r="J63" s="12"/>
      <c r="K63" s="12"/>
      <c r="L63" s="12"/>
      <c r="M63" s="12"/>
      <c r="N63" s="12"/>
      <c r="O63" s="12"/>
      <c r="P63" s="12"/>
      <c r="Q63" s="12"/>
      <c r="R63" s="12"/>
      <c r="S63" s="12"/>
      <c r="T63" s="12"/>
      <c r="U63" s="12"/>
      <c r="V63" s="12"/>
      <c r="W63" s="12"/>
      <c r="X63" s="12"/>
      <c r="Y63" s="12"/>
      <c r="Z63" s="12"/>
      <c r="AA63" s="12"/>
      <c r="AB63" s="12"/>
      <c r="AC63" s="12"/>
    </row>
    <row r="64" ht="15.75" customHeight="1">
      <c r="A64" s="12"/>
      <c r="B64" s="12"/>
      <c r="C64" s="12"/>
      <c r="D64" s="12"/>
      <c r="E64" s="12"/>
      <c r="F64" s="12"/>
      <c r="G64" s="12"/>
      <c r="H64" s="12"/>
      <c r="I64" s="12"/>
      <c r="J64" s="12"/>
      <c r="K64" s="12"/>
      <c r="L64" s="12"/>
      <c r="M64" s="12"/>
      <c r="N64" s="12"/>
      <c r="O64" s="12"/>
      <c r="P64" s="12"/>
      <c r="Q64" s="12"/>
      <c r="R64" s="12"/>
      <c r="S64" s="12"/>
      <c r="T64" s="12"/>
      <c r="U64" s="12"/>
      <c r="V64" s="12"/>
      <c r="W64" s="12"/>
      <c r="X64" s="12"/>
      <c r="Y64" s="12"/>
      <c r="Z64" s="12"/>
      <c r="AA64" s="12"/>
      <c r="AB64" s="12"/>
      <c r="AC64" s="12"/>
    </row>
    <row r="65" ht="15.75" customHeight="1">
      <c r="A65" s="12"/>
      <c r="B65" s="12"/>
      <c r="C65" s="12"/>
      <c r="D65" s="12"/>
      <c r="E65" s="12"/>
      <c r="F65" s="12"/>
      <c r="G65" s="12"/>
      <c r="H65" s="12"/>
      <c r="I65" s="12"/>
      <c r="J65" s="12"/>
      <c r="K65" s="12"/>
      <c r="L65" s="12"/>
      <c r="M65" s="12"/>
      <c r="N65" s="12"/>
      <c r="O65" s="12"/>
      <c r="P65" s="12"/>
      <c r="Q65" s="12"/>
      <c r="R65" s="12"/>
      <c r="S65" s="12"/>
      <c r="T65" s="12"/>
      <c r="U65" s="12"/>
      <c r="V65" s="12"/>
      <c r="W65" s="12"/>
      <c r="X65" s="12"/>
      <c r="Y65" s="12"/>
      <c r="Z65" s="12"/>
      <c r="AA65" s="12"/>
      <c r="AB65" s="12"/>
      <c r="AC65" s="12"/>
    </row>
    <row r="66" ht="15.75" customHeight="1">
      <c r="A66" s="12"/>
      <c r="B66" s="12"/>
      <c r="C66" s="12"/>
      <c r="D66" s="12"/>
      <c r="E66" s="12"/>
      <c r="F66" s="12"/>
      <c r="G66" s="12"/>
      <c r="H66" s="12"/>
      <c r="I66" s="12"/>
      <c r="J66" s="12"/>
      <c r="K66" s="12"/>
      <c r="L66" s="12"/>
      <c r="M66" s="12"/>
      <c r="N66" s="12"/>
      <c r="O66" s="12"/>
      <c r="P66" s="12"/>
      <c r="Q66" s="12"/>
      <c r="R66" s="12"/>
      <c r="S66" s="12"/>
      <c r="T66" s="12"/>
      <c r="U66" s="12"/>
      <c r="V66" s="12"/>
      <c r="W66" s="12"/>
      <c r="X66" s="12"/>
      <c r="Y66" s="12"/>
      <c r="Z66" s="12"/>
      <c r="AA66" s="12"/>
      <c r="AB66" s="12"/>
      <c r="AC66" s="12"/>
    </row>
    <row r="67" ht="15.75" customHeight="1">
      <c r="A67" s="12"/>
      <c r="B67" s="12"/>
      <c r="C67" s="12"/>
      <c r="D67" s="12"/>
      <c r="E67" s="12"/>
      <c r="F67" s="12"/>
      <c r="G67" s="12"/>
      <c r="H67" s="12"/>
      <c r="I67" s="12"/>
      <c r="J67" s="12"/>
      <c r="K67" s="12"/>
      <c r="L67" s="12"/>
      <c r="M67" s="12"/>
      <c r="N67" s="12"/>
      <c r="O67" s="12"/>
      <c r="P67" s="12"/>
      <c r="Q67" s="12"/>
      <c r="R67" s="12"/>
      <c r="S67" s="12"/>
      <c r="T67" s="12"/>
      <c r="U67" s="12"/>
      <c r="V67" s="12"/>
      <c r="W67" s="12"/>
      <c r="X67" s="12"/>
      <c r="Y67" s="12"/>
      <c r="Z67" s="12"/>
      <c r="AA67" s="12"/>
      <c r="AB67" s="12"/>
      <c r="AC67" s="12"/>
    </row>
    <row r="68" ht="15.75" customHeight="1">
      <c r="A68" s="12"/>
      <c r="B68" s="12"/>
      <c r="C68" s="12"/>
      <c r="D68" s="12"/>
      <c r="E68" s="12"/>
      <c r="F68" s="12"/>
      <c r="G68" s="12"/>
      <c r="H68" s="12"/>
      <c r="I68" s="12"/>
      <c r="J68" s="12"/>
      <c r="K68" s="12"/>
      <c r="L68" s="12"/>
      <c r="M68" s="12"/>
      <c r="N68" s="12"/>
      <c r="O68" s="12"/>
      <c r="P68" s="12"/>
      <c r="Q68" s="12"/>
      <c r="R68" s="12"/>
      <c r="S68" s="12"/>
      <c r="T68" s="12"/>
      <c r="U68" s="12"/>
      <c r="V68" s="12"/>
      <c r="W68" s="12"/>
      <c r="X68" s="12"/>
      <c r="Y68" s="12"/>
      <c r="Z68" s="12"/>
      <c r="AA68" s="12"/>
      <c r="AB68" s="12"/>
      <c r="AC68" s="12"/>
    </row>
    <row r="69" ht="15.75" customHeight="1">
      <c r="A69" s="12"/>
      <c r="B69" s="12"/>
      <c r="C69" s="12"/>
      <c r="D69" s="12"/>
      <c r="E69" s="12"/>
      <c r="F69" s="12"/>
      <c r="G69" s="12"/>
      <c r="H69" s="12"/>
      <c r="I69" s="12"/>
      <c r="J69" s="12"/>
      <c r="K69" s="12"/>
      <c r="L69" s="12"/>
      <c r="M69" s="12"/>
      <c r="N69" s="12"/>
      <c r="O69" s="12"/>
      <c r="P69" s="12"/>
      <c r="Q69" s="12"/>
      <c r="R69" s="12"/>
      <c r="S69" s="12"/>
      <c r="T69" s="12"/>
      <c r="U69" s="12"/>
      <c r="V69" s="12"/>
      <c r="W69" s="12"/>
      <c r="X69" s="12"/>
      <c r="Y69" s="12"/>
      <c r="Z69" s="12"/>
      <c r="AA69" s="12"/>
      <c r="AB69" s="12"/>
      <c r="AC69" s="12"/>
    </row>
    <row r="70" ht="15.75" customHeight="1">
      <c r="A70" s="12"/>
      <c r="B70" s="12"/>
      <c r="C70" s="12"/>
      <c r="D70" s="12"/>
      <c r="E70" s="12"/>
      <c r="F70" s="12"/>
      <c r="G70" s="12"/>
      <c r="H70" s="12"/>
      <c r="I70" s="12"/>
      <c r="J70" s="12"/>
      <c r="K70" s="12"/>
      <c r="L70" s="12"/>
      <c r="M70" s="12"/>
      <c r="N70" s="12"/>
      <c r="O70" s="12"/>
      <c r="P70" s="12"/>
      <c r="Q70" s="12"/>
      <c r="R70" s="12"/>
      <c r="S70" s="12"/>
      <c r="T70" s="12"/>
      <c r="U70" s="12"/>
      <c r="V70" s="12"/>
      <c r="W70" s="12"/>
      <c r="X70" s="12"/>
      <c r="Y70" s="12"/>
      <c r="Z70" s="12"/>
      <c r="AA70" s="12"/>
      <c r="AB70" s="12"/>
      <c r="AC70" s="12"/>
    </row>
    <row r="71" ht="15.75" customHeight="1">
      <c r="A71" s="12"/>
      <c r="B71" s="12"/>
      <c r="C71" s="12"/>
      <c r="D71" s="12"/>
      <c r="E71" s="12"/>
      <c r="F71" s="12"/>
      <c r="G71" s="12"/>
      <c r="H71" s="12"/>
      <c r="I71" s="12"/>
      <c r="J71" s="12"/>
      <c r="K71" s="12"/>
      <c r="L71" s="12"/>
      <c r="M71" s="12"/>
      <c r="N71" s="12"/>
      <c r="O71" s="12"/>
      <c r="P71" s="12"/>
      <c r="Q71" s="12"/>
      <c r="R71" s="12"/>
      <c r="S71" s="12"/>
      <c r="T71" s="12"/>
      <c r="U71" s="12"/>
      <c r="V71" s="12"/>
      <c r="W71" s="12"/>
      <c r="X71" s="12"/>
      <c r="Y71" s="12"/>
      <c r="Z71" s="12"/>
      <c r="AA71" s="12"/>
      <c r="AB71" s="12"/>
      <c r="AC71" s="12"/>
    </row>
    <row r="72" ht="15.75" customHeight="1">
      <c r="A72" s="12"/>
      <c r="B72" s="12"/>
      <c r="C72" s="12"/>
      <c r="D72" s="12"/>
      <c r="E72" s="12"/>
      <c r="F72" s="12"/>
      <c r="G72" s="12"/>
      <c r="H72" s="12"/>
      <c r="I72" s="12"/>
      <c r="J72" s="12"/>
      <c r="K72" s="12"/>
      <c r="L72" s="12"/>
      <c r="M72" s="12"/>
      <c r="N72" s="12"/>
      <c r="O72" s="12"/>
      <c r="P72" s="12"/>
      <c r="Q72" s="12"/>
      <c r="R72" s="12"/>
      <c r="S72" s="12"/>
      <c r="T72" s="12"/>
      <c r="U72" s="12"/>
      <c r="V72" s="12"/>
      <c r="W72" s="12"/>
      <c r="X72" s="12"/>
      <c r="Y72" s="12"/>
      <c r="Z72" s="12"/>
      <c r="AA72" s="12"/>
      <c r="AB72" s="12"/>
      <c r="AC72" s="12"/>
    </row>
    <row r="73" ht="15.75" customHeight="1">
      <c r="A73" s="12"/>
      <c r="B73" s="12"/>
      <c r="C73" s="12"/>
      <c r="D73" s="12"/>
      <c r="E73" s="12"/>
      <c r="F73" s="12"/>
      <c r="G73" s="12"/>
      <c r="H73" s="12"/>
      <c r="I73" s="12"/>
      <c r="J73" s="12"/>
      <c r="K73" s="12"/>
      <c r="L73" s="12"/>
      <c r="M73" s="12"/>
      <c r="N73" s="12"/>
      <c r="O73" s="12"/>
      <c r="P73" s="12"/>
      <c r="Q73" s="12"/>
      <c r="R73" s="12"/>
      <c r="S73" s="12"/>
      <c r="T73" s="12"/>
      <c r="U73" s="12"/>
      <c r="V73" s="12"/>
      <c r="W73" s="12"/>
      <c r="X73" s="12"/>
      <c r="Y73" s="12"/>
      <c r="Z73" s="12"/>
      <c r="AA73" s="12"/>
      <c r="AB73" s="12"/>
      <c r="AC73" s="12"/>
    </row>
    <row r="74" ht="15.75" customHeight="1">
      <c r="A74" s="12"/>
      <c r="B74" s="12"/>
      <c r="C74" s="12"/>
      <c r="D74" s="12"/>
      <c r="E74" s="12"/>
      <c r="F74" s="12"/>
      <c r="G74" s="12"/>
      <c r="H74" s="12"/>
      <c r="I74" s="12"/>
      <c r="J74" s="12"/>
      <c r="K74" s="12"/>
      <c r="L74" s="12"/>
      <c r="M74" s="12"/>
      <c r="N74" s="12"/>
      <c r="O74" s="12"/>
      <c r="P74" s="12"/>
      <c r="Q74" s="12"/>
      <c r="R74" s="12"/>
      <c r="S74" s="12"/>
      <c r="T74" s="12"/>
      <c r="U74" s="12"/>
      <c r="V74" s="12"/>
      <c r="W74" s="12"/>
      <c r="X74" s="12"/>
      <c r="Y74" s="12"/>
      <c r="Z74" s="12"/>
      <c r="AA74" s="12"/>
      <c r="AB74" s="12"/>
      <c r="AC74" s="12"/>
    </row>
    <row r="75" ht="15.75" customHeight="1">
      <c r="A75" s="12"/>
      <c r="B75" s="12"/>
      <c r="C75" s="12"/>
      <c r="D75" s="12"/>
      <c r="E75" s="12"/>
      <c r="F75" s="12"/>
      <c r="G75" s="12"/>
      <c r="H75" s="12"/>
      <c r="I75" s="12"/>
      <c r="J75" s="12"/>
      <c r="K75" s="12"/>
      <c r="L75" s="12"/>
      <c r="M75" s="12"/>
      <c r="N75" s="12"/>
      <c r="O75" s="12"/>
      <c r="P75" s="12"/>
      <c r="Q75" s="12"/>
      <c r="R75" s="12"/>
      <c r="S75" s="12"/>
      <c r="T75" s="12"/>
      <c r="U75" s="12"/>
      <c r="V75" s="12"/>
      <c r="W75" s="12"/>
      <c r="X75" s="12"/>
      <c r="Y75" s="12"/>
      <c r="Z75" s="12"/>
      <c r="AA75" s="12"/>
      <c r="AB75" s="12"/>
      <c r="AC75" s="12"/>
    </row>
    <row r="76" ht="15.75" customHeight="1">
      <c r="A76" s="12"/>
      <c r="B76" s="12"/>
      <c r="C76" s="12"/>
      <c r="D76" s="12"/>
      <c r="E76" s="12"/>
      <c r="F76" s="12"/>
      <c r="G76" s="12"/>
      <c r="H76" s="12"/>
      <c r="I76" s="12"/>
      <c r="J76" s="12"/>
      <c r="K76" s="12"/>
      <c r="L76" s="12"/>
      <c r="M76" s="12"/>
      <c r="N76" s="12"/>
      <c r="O76" s="12"/>
      <c r="P76" s="12"/>
      <c r="Q76" s="12"/>
      <c r="R76" s="12"/>
      <c r="S76" s="12"/>
      <c r="T76" s="12"/>
      <c r="U76" s="12"/>
      <c r="V76" s="12"/>
      <c r="W76" s="12"/>
      <c r="X76" s="12"/>
      <c r="Y76" s="12"/>
      <c r="Z76" s="12"/>
      <c r="AA76" s="12"/>
      <c r="AB76" s="12"/>
      <c r="AC76" s="12"/>
    </row>
    <row r="77" ht="15.75" customHeight="1">
      <c r="A77" s="12"/>
      <c r="B77" s="12"/>
      <c r="C77" s="12"/>
      <c r="D77" s="12"/>
      <c r="E77" s="12"/>
      <c r="F77" s="12"/>
      <c r="G77" s="12"/>
      <c r="H77" s="12"/>
      <c r="I77" s="12"/>
      <c r="J77" s="12"/>
      <c r="K77" s="12"/>
      <c r="L77" s="12"/>
      <c r="M77" s="12"/>
      <c r="N77" s="12"/>
      <c r="O77" s="12"/>
      <c r="P77" s="12"/>
      <c r="Q77" s="12"/>
      <c r="R77" s="12"/>
      <c r="S77" s="12"/>
      <c r="T77" s="12"/>
      <c r="U77" s="12"/>
      <c r="V77" s="12"/>
      <c r="W77" s="12"/>
      <c r="X77" s="12"/>
      <c r="Y77" s="12"/>
      <c r="Z77" s="12"/>
      <c r="AA77" s="12"/>
      <c r="AB77" s="12"/>
      <c r="AC77" s="12"/>
    </row>
    <row r="78" ht="15.75" customHeight="1">
      <c r="A78" s="12"/>
      <c r="B78" s="12"/>
      <c r="C78" s="12"/>
      <c r="D78" s="12"/>
      <c r="E78" s="12"/>
      <c r="F78" s="12"/>
      <c r="G78" s="12"/>
      <c r="H78" s="12"/>
      <c r="I78" s="12"/>
      <c r="J78" s="12"/>
      <c r="K78" s="12"/>
      <c r="L78" s="12"/>
      <c r="M78" s="12"/>
      <c r="N78" s="12"/>
      <c r="O78" s="12"/>
      <c r="P78" s="12"/>
      <c r="Q78" s="12"/>
      <c r="R78" s="12"/>
      <c r="S78" s="12"/>
      <c r="T78" s="12"/>
      <c r="U78" s="12"/>
      <c r="V78" s="12"/>
      <c r="W78" s="12"/>
      <c r="X78" s="12"/>
      <c r="Y78" s="12"/>
      <c r="Z78" s="12"/>
      <c r="AA78" s="12"/>
      <c r="AB78" s="12"/>
      <c r="AC78" s="12"/>
    </row>
    <row r="79" ht="15.75" customHeight="1">
      <c r="A79" s="12"/>
      <c r="B79" s="12"/>
      <c r="C79" s="12"/>
      <c r="D79" s="12"/>
      <c r="E79" s="12"/>
      <c r="F79" s="12"/>
      <c r="G79" s="12"/>
      <c r="H79" s="12"/>
      <c r="I79" s="12"/>
      <c r="J79" s="12"/>
      <c r="K79" s="12"/>
      <c r="L79" s="12"/>
      <c r="M79" s="12"/>
      <c r="N79" s="12"/>
      <c r="O79" s="12"/>
      <c r="P79" s="12"/>
      <c r="Q79" s="12"/>
      <c r="R79" s="12"/>
      <c r="S79" s="12"/>
      <c r="T79" s="12"/>
      <c r="U79" s="12"/>
      <c r="V79" s="12"/>
      <c r="W79" s="12"/>
      <c r="X79" s="12"/>
      <c r="Y79" s="12"/>
      <c r="Z79" s="12"/>
      <c r="AA79" s="12"/>
      <c r="AB79" s="12"/>
      <c r="AC79" s="12"/>
    </row>
    <row r="80" ht="15.75" customHeight="1">
      <c r="A80" s="12"/>
      <c r="B80" s="12"/>
      <c r="C80" s="12"/>
      <c r="D80" s="12"/>
      <c r="E80" s="12"/>
      <c r="F80" s="12"/>
      <c r="G80" s="12"/>
      <c r="H80" s="12"/>
      <c r="I80" s="12"/>
      <c r="J80" s="12"/>
      <c r="K80" s="12"/>
      <c r="L80" s="12"/>
      <c r="M80" s="12"/>
      <c r="N80" s="12"/>
      <c r="O80" s="12"/>
      <c r="P80" s="12"/>
      <c r="Q80" s="12"/>
      <c r="R80" s="12"/>
      <c r="S80" s="12"/>
      <c r="T80" s="12"/>
      <c r="U80" s="12"/>
      <c r="V80" s="12"/>
      <c r="W80" s="12"/>
      <c r="X80" s="12"/>
      <c r="Y80" s="12"/>
      <c r="Z80" s="12"/>
      <c r="AA80" s="12"/>
      <c r="AB80" s="12"/>
      <c r="AC80" s="12"/>
    </row>
    <row r="81" ht="15.75" customHeight="1">
      <c r="A81" s="12"/>
      <c r="B81" s="12"/>
      <c r="C81" s="12"/>
      <c r="D81" s="12"/>
      <c r="E81" s="12"/>
      <c r="F81" s="12"/>
      <c r="G81" s="12"/>
      <c r="H81" s="12"/>
      <c r="I81" s="12"/>
      <c r="J81" s="12"/>
      <c r="K81" s="12"/>
      <c r="L81" s="12"/>
      <c r="M81" s="12"/>
      <c r="N81" s="12"/>
      <c r="O81" s="12"/>
      <c r="P81" s="12"/>
      <c r="Q81" s="12"/>
      <c r="R81" s="12"/>
      <c r="S81" s="12"/>
      <c r="T81" s="12"/>
      <c r="U81" s="12"/>
      <c r="V81" s="12"/>
      <c r="W81" s="12"/>
      <c r="X81" s="12"/>
      <c r="Y81" s="12"/>
      <c r="Z81" s="12"/>
      <c r="AA81" s="12"/>
      <c r="AB81" s="12"/>
      <c r="AC81" s="12"/>
    </row>
    <row r="82" ht="15.75" customHeight="1">
      <c r="A82" s="12"/>
      <c r="B82" s="12"/>
      <c r="C82" s="12"/>
      <c r="D82" s="12"/>
      <c r="E82" s="12"/>
      <c r="F82" s="12"/>
      <c r="G82" s="12"/>
      <c r="H82" s="12"/>
      <c r="I82" s="12"/>
      <c r="J82" s="12"/>
      <c r="K82" s="12"/>
      <c r="L82" s="12"/>
      <c r="M82" s="12"/>
      <c r="N82" s="12"/>
      <c r="O82" s="12"/>
      <c r="P82" s="12"/>
      <c r="Q82" s="12"/>
      <c r="R82" s="12"/>
      <c r="S82" s="12"/>
      <c r="T82" s="12"/>
      <c r="U82" s="12"/>
      <c r="V82" s="12"/>
      <c r="W82" s="12"/>
      <c r="X82" s="12"/>
      <c r="Y82" s="12"/>
      <c r="Z82" s="12"/>
      <c r="AA82" s="12"/>
      <c r="AB82" s="12"/>
      <c r="AC82" s="12"/>
    </row>
    <row r="83" ht="15.75" customHeight="1">
      <c r="A83" s="12"/>
      <c r="B83" s="12"/>
      <c r="C83" s="12"/>
      <c r="D83" s="12"/>
      <c r="E83" s="12"/>
      <c r="F83" s="12"/>
      <c r="G83" s="12"/>
      <c r="H83" s="12"/>
      <c r="I83" s="12"/>
      <c r="J83" s="12"/>
      <c r="K83" s="12"/>
      <c r="L83" s="12"/>
      <c r="M83" s="12"/>
      <c r="N83" s="12"/>
      <c r="O83" s="12"/>
      <c r="P83" s="12"/>
      <c r="Q83" s="12"/>
      <c r="R83" s="12"/>
      <c r="S83" s="12"/>
      <c r="T83" s="12"/>
      <c r="U83" s="12"/>
      <c r="V83" s="12"/>
      <c r="W83" s="12"/>
      <c r="X83" s="12"/>
      <c r="Y83" s="12"/>
      <c r="Z83" s="12"/>
      <c r="AA83" s="12"/>
      <c r="AB83" s="12"/>
      <c r="AC83" s="12"/>
    </row>
    <row r="84" ht="15.75" customHeight="1">
      <c r="A84" s="12"/>
      <c r="B84" s="12"/>
      <c r="C84" s="12"/>
      <c r="D84" s="12"/>
      <c r="E84" s="12"/>
      <c r="F84" s="12"/>
      <c r="G84" s="12"/>
      <c r="H84" s="12"/>
      <c r="I84" s="12"/>
      <c r="J84" s="12"/>
      <c r="K84" s="12"/>
      <c r="L84" s="12"/>
      <c r="M84" s="12"/>
      <c r="N84" s="12"/>
      <c r="O84" s="12"/>
      <c r="P84" s="12"/>
      <c r="Q84" s="12"/>
      <c r="R84" s="12"/>
      <c r="S84" s="12"/>
      <c r="T84" s="12"/>
      <c r="U84" s="12"/>
      <c r="V84" s="12"/>
      <c r="W84" s="12"/>
      <c r="X84" s="12"/>
      <c r="Y84" s="12"/>
      <c r="Z84" s="12"/>
      <c r="AA84" s="12"/>
      <c r="AB84" s="12"/>
      <c r="AC84" s="12"/>
    </row>
    <row r="85" ht="15.75" customHeight="1">
      <c r="A85" s="12"/>
      <c r="B85" s="12"/>
      <c r="C85" s="12"/>
      <c r="D85" s="12"/>
      <c r="E85" s="12"/>
      <c r="F85" s="12"/>
      <c r="G85" s="12"/>
      <c r="H85" s="12"/>
      <c r="I85" s="12"/>
      <c r="J85" s="12"/>
      <c r="K85" s="12"/>
      <c r="L85" s="12"/>
      <c r="M85" s="12"/>
      <c r="N85" s="12"/>
      <c r="O85" s="12"/>
      <c r="P85" s="12"/>
      <c r="Q85" s="12"/>
      <c r="R85" s="12"/>
      <c r="S85" s="12"/>
      <c r="T85" s="12"/>
      <c r="U85" s="12"/>
      <c r="V85" s="12"/>
      <c r="W85" s="12"/>
      <c r="X85" s="12"/>
      <c r="Y85" s="12"/>
      <c r="Z85" s="12"/>
      <c r="AA85" s="12"/>
      <c r="AB85" s="12"/>
      <c r="AC85" s="12"/>
    </row>
    <row r="86" ht="15.75" customHeight="1">
      <c r="A86" s="12"/>
      <c r="B86" s="12"/>
      <c r="C86" s="12"/>
      <c r="D86" s="12"/>
      <c r="E86" s="12"/>
      <c r="F86" s="12"/>
      <c r="G86" s="12"/>
      <c r="H86" s="12"/>
      <c r="I86" s="12"/>
      <c r="J86" s="12"/>
      <c r="K86" s="12"/>
      <c r="L86" s="12"/>
      <c r="M86" s="12"/>
      <c r="N86" s="12"/>
      <c r="O86" s="12"/>
      <c r="P86" s="12"/>
      <c r="Q86" s="12"/>
      <c r="R86" s="12"/>
      <c r="S86" s="12"/>
      <c r="T86" s="12"/>
      <c r="U86" s="12"/>
      <c r="V86" s="12"/>
      <c r="W86" s="12"/>
      <c r="X86" s="12"/>
      <c r="Y86" s="12"/>
      <c r="Z86" s="12"/>
      <c r="AA86" s="12"/>
      <c r="AB86" s="12"/>
      <c r="AC86" s="12"/>
    </row>
    <row r="87" ht="15.75" customHeight="1">
      <c r="A87" s="12"/>
      <c r="B87" s="12"/>
      <c r="C87" s="12"/>
      <c r="D87" s="12"/>
      <c r="E87" s="12"/>
      <c r="F87" s="12"/>
      <c r="G87" s="12"/>
      <c r="H87" s="12"/>
      <c r="I87" s="12"/>
      <c r="J87" s="12"/>
      <c r="K87" s="12"/>
      <c r="L87" s="12"/>
      <c r="M87" s="12"/>
      <c r="N87" s="12"/>
      <c r="O87" s="12"/>
      <c r="P87" s="12"/>
      <c r="Q87" s="12"/>
      <c r="R87" s="12"/>
      <c r="S87" s="12"/>
      <c r="T87" s="12"/>
      <c r="U87" s="12"/>
      <c r="V87" s="12"/>
      <c r="W87" s="12"/>
      <c r="X87" s="12"/>
      <c r="Y87" s="12"/>
      <c r="Z87" s="12"/>
      <c r="AA87" s="12"/>
      <c r="AB87" s="12"/>
      <c r="AC87" s="12"/>
    </row>
    <row r="88" ht="15.75" customHeight="1">
      <c r="A88" s="12"/>
      <c r="B88" s="12"/>
      <c r="C88" s="12"/>
      <c r="D88" s="12"/>
      <c r="E88" s="12"/>
      <c r="F88" s="12"/>
      <c r="G88" s="12"/>
      <c r="H88" s="12"/>
      <c r="I88" s="12"/>
      <c r="J88" s="12"/>
      <c r="K88" s="12"/>
      <c r="L88" s="12"/>
      <c r="M88" s="12"/>
      <c r="N88" s="12"/>
      <c r="O88" s="12"/>
      <c r="P88" s="12"/>
      <c r="Q88" s="12"/>
      <c r="R88" s="12"/>
      <c r="S88" s="12"/>
      <c r="T88" s="12"/>
      <c r="U88" s="12"/>
      <c r="V88" s="12"/>
      <c r="W88" s="12"/>
      <c r="X88" s="12"/>
      <c r="Y88" s="12"/>
      <c r="Z88" s="12"/>
      <c r="AA88" s="12"/>
      <c r="AB88" s="12"/>
      <c r="AC88" s="12"/>
    </row>
    <row r="89" ht="15.75" customHeight="1">
      <c r="A89" s="12"/>
      <c r="B89" s="12"/>
      <c r="C89" s="12"/>
      <c r="D89" s="12"/>
      <c r="E89" s="12"/>
      <c r="F89" s="12"/>
      <c r="G89" s="12"/>
      <c r="H89" s="12"/>
      <c r="I89" s="12"/>
      <c r="J89" s="12"/>
      <c r="K89" s="12"/>
      <c r="L89" s="12"/>
      <c r="M89" s="12"/>
      <c r="N89" s="12"/>
      <c r="O89" s="12"/>
      <c r="P89" s="12"/>
      <c r="Q89" s="12"/>
      <c r="R89" s="12"/>
      <c r="S89" s="12"/>
      <c r="T89" s="12"/>
      <c r="U89" s="12"/>
      <c r="V89" s="12"/>
      <c r="W89" s="12"/>
      <c r="X89" s="12"/>
      <c r="Y89" s="12"/>
      <c r="Z89" s="12"/>
      <c r="AA89" s="12"/>
      <c r="AB89" s="12"/>
      <c r="AC89" s="12"/>
    </row>
    <row r="90" ht="15.75" customHeight="1">
      <c r="A90" s="12"/>
      <c r="B90" s="12"/>
      <c r="C90" s="12"/>
      <c r="D90" s="12"/>
      <c r="E90" s="12"/>
      <c r="F90" s="12"/>
      <c r="G90" s="12"/>
      <c r="H90" s="12"/>
      <c r="I90" s="12"/>
      <c r="J90" s="12"/>
      <c r="K90" s="12"/>
      <c r="L90" s="12"/>
      <c r="M90" s="12"/>
      <c r="N90" s="12"/>
      <c r="O90" s="12"/>
      <c r="P90" s="12"/>
      <c r="Q90" s="12"/>
      <c r="R90" s="12"/>
      <c r="S90" s="12"/>
      <c r="T90" s="12"/>
      <c r="U90" s="12"/>
      <c r="V90" s="12"/>
      <c r="W90" s="12"/>
      <c r="X90" s="12"/>
      <c r="Y90" s="12"/>
      <c r="Z90" s="12"/>
      <c r="AA90" s="12"/>
      <c r="AB90" s="12"/>
      <c r="AC90" s="12"/>
    </row>
    <row r="91" ht="15.75" customHeight="1">
      <c r="A91" s="12"/>
      <c r="B91" s="12"/>
      <c r="C91" s="12"/>
      <c r="D91" s="12"/>
      <c r="E91" s="12"/>
      <c r="F91" s="12"/>
      <c r="G91" s="12"/>
      <c r="H91" s="12"/>
      <c r="I91" s="12"/>
      <c r="J91" s="12"/>
      <c r="K91" s="12"/>
      <c r="L91" s="12"/>
      <c r="M91" s="12"/>
      <c r="N91" s="12"/>
      <c r="O91" s="12"/>
      <c r="P91" s="12"/>
      <c r="Q91" s="12"/>
      <c r="R91" s="12"/>
      <c r="S91" s="12"/>
      <c r="T91" s="12"/>
      <c r="U91" s="12"/>
      <c r="V91" s="12"/>
      <c r="W91" s="12"/>
      <c r="X91" s="12"/>
      <c r="Y91" s="12"/>
      <c r="Z91" s="12"/>
      <c r="AA91" s="12"/>
      <c r="AB91" s="12"/>
      <c r="AC91" s="12"/>
    </row>
    <row r="92" ht="15.75" customHeight="1">
      <c r="A92" s="12"/>
      <c r="B92" s="12"/>
      <c r="C92" s="12"/>
      <c r="D92" s="12"/>
      <c r="E92" s="12"/>
      <c r="F92" s="12"/>
      <c r="G92" s="12"/>
      <c r="H92" s="12"/>
      <c r="I92" s="12"/>
      <c r="J92" s="12"/>
      <c r="K92" s="12"/>
      <c r="L92" s="12"/>
      <c r="M92" s="12"/>
      <c r="N92" s="12"/>
      <c r="O92" s="12"/>
      <c r="P92" s="12"/>
      <c r="Q92" s="12"/>
      <c r="R92" s="12"/>
      <c r="S92" s="12"/>
      <c r="T92" s="12"/>
      <c r="U92" s="12"/>
      <c r="V92" s="12"/>
      <c r="W92" s="12"/>
      <c r="X92" s="12"/>
      <c r="Y92" s="12"/>
      <c r="Z92" s="12"/>
      <c r="AA92" s="12"/>
      <c r="AB92" s="12"/>
      <c r="AC92" s="12"/>
    </row>
    <row r="93" ht="15.75" customHeight="1">
      <c r="A93" s="12"/>
      <c r="B93" s="12"/>
      <c r="C93" s="12"/>
      <c r="D93" s="12"/>
      <c r="E93" s="12"/>
      <c r="F93" s="12"/>
      <c r="G93" s="12"/>
      <c r="H93" s="12"/>
      <c r="I93" s="12"/>
      <c r="J93" s="12"/>
      <c r="K93" s="12"/>
      <c r="L93" s="12"/>
      <c r="M93" s="12"/>
      <c r="N93" s="12"/>
      <c r="O93" s="12"/>
      <c r="P93" s="12"/>
      <c r="Q93" s="12"/>
      <c r="R93" s="12"/>
      <c r="S93" s="12"/>
      <c r="T93" s="12"/>
      <c r="U93" s="12"/>
      <c r="V93" s="12"/>
      <c r="W93" s="12"/>
      <c r="X93" s="12"/>
      <c r="Y93" s="12"/>
      <c r="Z93" s="12"/>
      <c r="AA93" s="12"/>
      <c r="AB93" s="12"/>
      <c r="AC93" s="12"/>
    </row>
    <row r="94" ht="15.75" customHeight="1">
      <c r="A94" s="12"/>
      <c r="B94" s="12"/>
      <c r="C94" s="12"/>
      <c r="D94" s="12"/>
      <c r="E94" s="12"/>
      <c r="F94" s="12"/>
      <c r="G94" s="12"/>
      <c r="H94" s="12"/>
      <c r="I94" s="12"/>
      <c r="J94" s="12"/>
      <c r="K94" s="12"/>
      <c r="L94" s="12"/>
      <c r="M94" s="12"/>
      <c r="N94" s="12"/>
      <c r="O94" s="12"/>
      <c r="P94" s="12"/>
      <c r="Q94" s="12"/>
      <c r="R94" s="12"/>
      <c r="S94" s="12"/>
      <c r="T94" s="12"/>
      <c r="U94" s="12"/>
      <c r="V94" s="12"/>
      <c r="W94" s="12"/>
      <c r="X94" s="12"/>
      <c r="Y94" s="12"/>
      <c r="Z94" s="12"/>
      <c r="AA94" s="12"/>
      <c r="AB94" s="12"/>
      <c r="AC94" s="12"/>
    </row>
    <row r="95" ht="15.75" customHeight="1">
      <c r="A95" s="12"/>
      <c r="B95" s="12"/>
      <c r="C95" s="12"/>
      <c r="D95" s="12"/>
      <c r="E95" s="12"/>
      <c r="F95" s="12"/>
      <c r="G95" s="12"/>
      <c r="H95" s="12"/>
      <c r="I95" s="12"/>
      <c r="J95" s="12"/>
      <c r="K95" s="12"/>
      <c r="L95" s="12"/>
      <c r="M95" s="12"/>
      <c r="N95" s="12"/>
      <c r="O95" s="12"/>
      <c r="P95" s="12"/>
      <c r="Q95" s="12"/>
      <c r="R95" s="12"/>
      <c r="S95" s="12"/>
      <c r="T95" s="12"/>
      <c r="U95" s="12"/>
      <c r="V95" s="12"/>
      <c r="W95" s="12"/>
      <c r="X95" s="12"/>
      <c r="Y95" s="12"/>
      <c r="Z95" s="12"/>
      <c r="AA95" s="12"/>
      <c r="AB95" s="12"/>
      <c r="AC95" s="12"/>
    </row>
    <row r="96" ht="15.75" customHeight="1">
      <c r="A96" s="12"/>
      <c r="B96" s="12"/>
      <c r="C96" s="12"/>
      <c r="D96" s="12"/>
      <c r="E96" s="12"/>
      <c r="F96" s="12"/>
      <c r="G96" s="12"/>
      <c r="H96" s="12"/>
      <c r="I96" s="12"/>
      <c r="J96" s="12"/>
      <c r="K96" s="12"/>
      <c r="L96" s="12"/>
      <c r="M96" s="12"/>
      <c r="N96" s="12"/>
      <c r="O96" s="12"/>
      <c r="P96" s="12"/>
      <c r="Q96" s="12"/>
      <c r="R96" s="12"/>
      <c r="S96" s="12"/>
      <c r="T96" s="12"/>
      <c r="U96" s="12"/>
      <c r="V96" s="12"/>
      <c r="W96" s="12"/>
      <c r="X96" s="12"/>
      <c r="Y96" s="12"/>
      <c r="Z96" s="12"/>
      <c r="AA96" s="12"/>
      <c r="AB96" s="12"/>
      <c r="AC96" s="12"/>
    </row>
    <row r="97" ht="15.75" customHeight="1">
      <c r="A97" s="12"/>
      <c r="B97" s="12"/>
      <c r="C97" s="12"/>
      <c r="D97" s="12"/>
      <c r="E97" s="12"/>
      <c r="F97" s="12"/>
      <c r="G97" s="12"/>
      <c r="H97" s="12"/>
      <c r="I97" s="12"/>
      <c r="J97" s="12"/>
      <c r="K97" s="12"/>
      <c r="L97" s="12"/>
      <c r="M97" s="12"/>
      <c r="N97" s="12"/>
      <c r="O97" s="12"/>
      <c r="P97" s="12"/>
      <c r="Q97" s="12"/>
      <c r="R97" s="12"/>
      <c r="S97" s="12"/>
      <c r="T97" s="12"/>
      <c r="U97" s="12"/>
      <c r="V97" s="12"/>
      <c r="W97" s="12"/>
      <c r="X97" s="12"/>
      <c r="Y97" s="12"/>
      <c r="Z97" s="12"/>
      <c r="AA97" s="12"/>
      <c r="AB97" s="12"/>
      <c r="AC97" s="12"/>
    </row>
    <row r="98" ht="15.75" customHeight="1">
      <c r="A98" s="12"/>
      <c r="B98" s="12"/>
      <c r="C98" s="12"/>
      <c r="D98" s="12"/>
      <c r="E98" s="12"/>
      <c r="F98" s="12"/>
      <c r="G98" s="12"/>
      <c r="H98" s="12"/>
      <c r="I98" s="12"/>
      <c r="J98" s="12"/>
      <c r="K98" s="12"/>
      <c r="L98" s="12"/>
      <c r="M98" s="12"/>
      <c r="N98" s="12"/>
      <c r="O98" s="12"/>
      <c r="P98" s="12"/>
      <c r="Q98" s="12"/>
      <c r="R98" s="12"/>
      <c r="S98" s="12"/>
      <c r="T98" s="12"/>
      <c r="U98" s="12"/>
      <c r="V98" s="12"/>
      <c r="W98" s="12"/>
      <c r="X98" s="12"/>
      <c r="Y98" s="12"/>
      <c r="Z98" s="12"/>
      <c r="AA98" s="12"/>
      <c r="AB98" s="12"/>
      <c r="AC98" s="12"/>
    </row>
    <row r="99" ht="15.75" customHeight="1">
      <c r="A99" s="12"/>
      <c r="B99" s="12"/>
      <c r="C99" s="12"/>
      <c r="D99" s="12"/>
      <c r="E99" s="12"/>
      <c r="F99" s="12"/>
      <c r="G99" s="12"/>
      <c r="H99" s="12"/>
      <c r="I99" s="12"/>
      <c r="J99" s="12"/>
      <c r="K99" s="12"/>
      <c r="L99" s="12"/>
      <c r="M99" s="12"/>
      <c r="N99" s="12"/>
      <c r="O99" s="12"/>
      <c r="P99" s="12"/>
      <c r="Q99" s="12"/>
      <c r="R99" s="12"/>
      <c r="S99" s="12"/>
      <c r="T99" s="12"/>
      <c r="U99" s="12"/>
      <c r="V99" s="12"/>
      <c r="W99" s="12"/>
      <c r="X99" s="12"/>
      <c r="Y99" s="12"/>
      <c r="Z99" s="12"/>
      <c r="AA99" s="12"/>
      <c r="AB99" s="12"/>
      <c r="AC99" s="12"/>
    </row>
    <row r="100" ht="15.75" customHeight="1">
      <c r="A100" s="12"/>
      <c r="B100" s="12"/>
      <c r="C100" s="12"/>
      <c r="D100" s="12"/>
      <c r="E100" s="12"/>
      <c r="F100" s="12"/>
      <c r="G100" s="12"/>
      <c r="H100" s="12"/>
      <c r="I100" s="12"/>
      <c r="J100" s="12"/>
      <c r="K100" s="12"/>
      <c r="L100" s="12"/>
      <c r="M100" s="12"/>
      <c r="N100" s="12"/>
      <c r="O100" s="12"/>
      <c r="P100" s="12"/>
      <c r="Q100" s="12"/>
      <c r="R100" s="12"/>
      <c r="S100" s="12"/>
      <c r="T100" s="12"/>
      <c r="U100" s="12"/>
      <c r="V100" s="12"/>
      <c r="W100" s="12"/>
      <c r="X100" s="12"/>
      <c r="Y100" s="12"/>
      <c r="Z100" s="12"/>
      <c r="AA100" s="12"/>
      <c r="AB100" s="12"/>
      <c r="AC100" s="12"/>
    </row>
    <row r="101" ht="15.75" customHeight="1">
      <c r="A101" s="12"/>
      <c r="B101" s="12"/>
      <c r="C101" s="12"/>
      <c r="D101" s="12"/>
      <c r="E101" s="12"/>
      <c r="F101" s="12"/>
      <c r="G101" s="12"/>
      <c r="H101" s="12"/>
      <c r="I101" s="12"/>
      <c r="J101" s="12"/>
      <c r="K101" s="12"/>
      <c r="L101" s="12"/>
      <c r="M101" s="12"/>
      <c r="N101" s="12"/>
      <c r="O101" s="12"/>
      <c r="P101" s="12"/>
      <c r="Q101" s="12"/>
      <c r="R101" s="12"/>
      <c r="S101" s="12"/>
      <c r="T101" s="12"/>
      <c r="U101" s="12"/>
      <c r="V101" s="12"/>
      <c r="W101" s="12"/>
      <c r="X101" s="12"/>
      <c r="Y101" s="12"/>
      <c r="Z101" s="12"/>
      <c r="AA101" s="12"/>
      <c r="AB101" s="12"/>
      <c r="AC101" s="12"/>
    </row>
    <row r="102" ht="15.75" customHeight="1">
      <c r="A102" s="12"/>
      <c r="B102" s="12"/>
      <c r="C102" s="12"/>
      <c r="D102" s="12"/>
      <c r="E102" s="12"/>
      <c r="F102" s="12"/>
      <c r="G102" s="12"/>
      <c r="H102" s="12"/>
      <c r="I102" s="12"/>
      <c r="J102" s="12"/>
      <c r="K102" s="12"/>
      <c r="L102" s="12"/>
      <c r="M102" s="12"/>
      <c r="N102" s="12"/>
      <c r="O102" s="12"/>
      <c r="P102" s="12"/>
      <c r="Q102" s="12"/>
      <c r="R102" s="12"/>
      <c r="S102" s="12"/>
      <c r="T102" s="12"/>
      <c r="U102" s="12"/>
      <c r="V102" s="12"/>
      <c r="W102" s="12"/>
      <c r="X102" s="12"/>
      <c r="Y102" s="12"/>
      <c r="Z102" s="12"/>
      <c r="AA102" s="12"/>
      <c r="AB102" s="12"/>
      <c r="AC102" s="12"/>
    </row>
    <row r="103" ht="15.75" customHeight="1">
      <c r="A103" s="12"/>
      <c r="B103" s="12"/>
      <c r="C103" s="12"/>
      <c r="D103" s="12"/>
      <c r="E103" s="12"/>
      <c r="F103" s="12"/>
      <c r="G103" s="12"/>
      <c r="H103" s="12"/>
      <c r="I103" s="12"/>
      <c r="J103" s="12"/>
      <c r="K103" s="12"/>
      <c r="L103" s="12"/>
      <c r="M103" s="12"/>
      <c r="N103" s="12"/>
      <c r="O103" s="12"/>
      <c r="P103" s="12"/>
      <c r="Q103" s="12"/>
      <c r="R103" s="12"/>
      <c r="S103" s="12"/>
      <c r="T103" s="12"/>
      <c r="U103" s="12"/>
      <c r="V103" s="12"/>
      <c r="W103" s="12"/>
      <c r="X103" s="12"/>
      <c r="Y103" s="12"/>
      <c r="Z103" s="12"/>
      <c r="AA103" s="12"/>
      <c r="AB103" s="12"/>
      <c r="AC103" s="12"/>
    </row>
    <row r="104" ht="15.75" customHeight="1">
      <c r="A104" s="12"/>
      <c r="B104" s="12"/>
      <c r="C104" s="12"/>
      <c r="D104" s="12"/>
      <c r="E104" s="12"/>
      <c r="F104" s="12"/>
      <c r="G104" s="12"/>
      <c r="H104" s="12"/>
      <c r="I104" s="12"/>
      <c r="J104" s="12"/>
      <c r="K104" s="12"/>
      <c r="L104" s="12"/>
      <c r="M104" s="12"/>
      <c r="N104" s="12"/>
      <c r="O104" s="12"/>
      <c r="P104" s="12"/>
      <c r="Q104" s="12"/>
      <c r="R104" s="12"/>
      <c r="S104" s="12"/>
      <c r="T104" s="12"/>
      <c r="U104" s="12"/>
      <c r="V104" s="12"/>
      <c r="W104" s="12"/>
      <c r="X104" s="12"/>
      <c r="Y104" s="12"/>
      <c r="Z104" s="12"/>
      <c r="AA104" s="12"/>
      <c r="AB104" s="12"/>
      <c r="AC104" s="12"/>
    </row>
    <row r="105" ht="15.75" customHeight="1">
      <c r="A105" s="12"/>
      <c r="B105" s="12"/>
      <c r="C105" s="12"/>
      <c r="D105" s="12"/>
      <c r="E105" s="12"/>
      <c r="F105" s="12"/>
      <c r="G105" s="12"/>
      <c r="H105" s="12"/>
      <c r="I105" s="12"/>
      <c r="J105" s="12"/>
      <c r="K105" s="12"/>
      <c r="L105" s="12"/>
      <c r="M105" s="12"/>
      <c r="N105" s="12"/>
      <c r="O105" s="12"/>
      <c r="P105" s="12"/>
      <c r="Q105" s="12"/>
      <c r="R105" s="12"/>
      <c r="S105" s="12"/>
      <c r="T105" s="12"/>
      <c r="U105" s="12"/>
      <c r="V105" s="12"/>
      <c r="W105" s="12"/>
      <c r="X105" s="12"/>
      <c r="Y105" s="12"/>
      <c r="Z105" s="12"/>
      <c r="AA105" s="12"/>
      <c r="AB105" s="12"/>
      <c r="AC105" s="12"/>
    </row>
    <row r="106" ht="15.75" customHeight="1">
      <c r="A106" s="12"/>
      <c r="B106" s="12"/>
      <c r="C106" s="12"/>
      <c r="D106" s="12"/>
      <c r="E106" s="12"/>
      <c r="F106" s="12"/>
      <c r="G106" s="12"/>
      <c r="H106" s="12"/>
      <c r="I106" s="12"/>
      <c r="J106" s="12"/>
      <c r="K106" s="12"/>
      <c r="L106" s="12"/>
      <c r="M106" s="12"/>
      <c r="N106" s="12"/>
      <c r="O106" s="12"/>
      <c r="P106" s="12"/>
      <c r="Q106" s="12"/>
      <c r="R106" s="12"/>
      <c r="S106" s="12"/>
      <c r="T106" s="12"/>
      <c r="U106" s="12"/>
      <c r="V106" s="12"/>
      <c r="W106" s="12"/>
      <c r="X106" s="12"/>
      <c r="Y106" s="12"/>
      <c r="Z106" s="12"/>
      <c r="AA106" s="12"/>
      <c r="AB106" s="12"/>
      <c r="AC106" s="12"/>
    </row>
    <row r="107" ht="15.75" customHeight="1">
      <c r="A107" s="12"/>
      <c r="B107" s="12"/>
      <c r="C107" s="12"/>
      <c r="D107" s="12"/>
      <c r="E107" s="12"/>
      <c r="F107" s="12"/>
      <c r="G107" s="12"/>
      <c r="H107" s="12"/>
      <c r="I107" s="12"/>
      <c r="J107" s="12"/>
      <c r="K107" s="12"/>
      <c r="L107" s="12"/>
      <c r="M107" s="12"/>
      <c r="N107" s="12"/>
      <c r="O107" s="12"/>
      <c r="P107" s="12"/>
      <c r="Q107" s="12"/>
      <c r="R107" s="12"/>
      <c r="S107" s="12"/>
      <c r="T107" s="12"/>
      <c r="U107" s="12"/>
      <c r="V107" s="12"/>
      <c r="W107" s="12"/>
      <c r="X107" s="12"/>
      <c r="Y107" s="12"/>
      <c r="Z107" s="12"/>
      <c r="AA107" s="12"/>
      <c r="AB107" s="12"/>
      <c r="AC107" s="12"/>
    </row>
    <row r="108" ht="15.75" customHeight="1">
      <c r="A108" s="12"/>
      <c r="B108" s="12"/>
      <c r="C108" s="12"/>
      <c r="D108" s="12"/>
      <c r="E108" s="12"/>
      <c r="F108" s="12"/>
      <c r="G108" s="12"/>
      <c r="H108" s="12"/>
      <c r="I108" s="12"/>
      <c r="J108" s="12"/>
      <c r="K108" s="12"/>
      <c r="L108" s="12"/>
      <c r="M108" s="12"/>
      <c r="N108" s="12"/>
      <c r="O108" s="12"/>
      <c r="P108" s="12"/>
      <c r="Q108" s="12"/>
      <c r="R108" s="12"/>
      <c r="S108" s="12"/>
      <c r="T108" s="12"/>
      <c r="U108" s="12"/>
      <c r="V108" s="12"/>
      <c r="W108" s="12"/>
      <c r="X108" s="12"/>
      <c r="Y108" s="12"/>
      <c r="Z108" s="12"/>
      <c r="AA108" s="12"/>
      <c r="AB108" s="12"/>
      <c r="AC108" s="12"/>
    </row>
    <row r="109" ht="15.75" customHeight="1">
      <c r="A109" s="12"/>
      <c r="B109" s="12"/>
      <c r="C109" s="12"/>
      <c r="D109" s="12"/>
      <c r="E109" s="12"/>
      <c r="F109" s="12"/>
      <c r="G109" s="12"/>
      <c r="H109" s="12"/>
      <c r="I109" s="12"/>
      <c r="J109" s="12"/>
      <c r="K109" s="12"/>
      <c r="L109" s="12"/>
      <c r="M109" s="12"/>
      <c r="N109" s="12"/>
      <c r="O109" s="12"/>
      <c r="P109" s="12"/>
      <c r="Q109" s="12"/>
      <c r="R109" s="12"/>
      <c r="S109" s="12"/>
      <c r="T109" s="12"/>
      <c r="U109" s="12"/>
      <c r="V109" s="12"/>
      <c r="W109" s="12"/>
      <c r="X109" s="12"/>
      <c r="Y109" s="12"/>
      <c r="Z109" s="12"/>
      <c r="AA109" s="12"/>
      <c r="AB109" s="12"/>
      <c r="AC109" s="12"/>
    </row>
    <row r="110" ht="15.75" customHeight="1">
      <c r="A110" s="12"/>
      <c r="B110" s="12"/>
      <c r="C110" s="12"/>
      <c r="D110" s="12"/>
      <c r="E110" s="12"/>
      <c r="F110" s="12"/>
      <c r="G110" s="12"/>
      <c r="H110" s="12"/>
      <c r="I110" s="12"/>
      <c r="J110" s="12"/>
      <c r="K110" s="12"/>
      <c r="L110" s="12"/>
      <c r="M110" s="12"/>
      <c r="N110" s="12"/>
      <c r="O110" s="12"/>
      <c r="P110" s="12"/>
      <c r="Q110" s="12"/>
      <c r="R110" s="12"/>
      <c r="S110" s="12"/>
      <c r="T110" s="12"/>
      <c r="U110" s="12"/>
      <c r="V110" s="12"/>
      <c r="W110" s="12"/>
      <c r="X110" s="12"/>
      <c r="Y110" s="12"/>
      <c r="Z110" s="12"/>
      <c r="AA110" s="12"/>
      <c r="AB110" s="12"/>
      <c r="AC110" s="12"/>
    </row>
    <row r="111" ht="15.75" customHeight="1">
      <c r="A111" s="12"/>
      <c r="B111" s="12"/>
      <c r="C111" s="12"/>
      <c r="D111" s="12"/>
      <c r="E111" s="12"/>
      <c r="F111" s="12"/>
      <c r="G111" s="12"/>
      <c r="H111" s="12"/>
      <c r="I111" s="12"/>
      <c r="J111" s="12"/>
      <c r="K111" s="12"/>
      <c r="L111" s="12"/>
      <c r="M111" s="12"/>
      <c r="N111" s="12"/>
      <c r="O111" s="12"/>
      <c r="P111" s="12"/>
      <c r="Q111" s="12"/>
      <c r="R111" s="12"/>
      <c r="S111" s="12"/>
      <c r="T111" s="12"/>
      <c r="U111" s="12"/>
      <c r="V111" s="12"/>
      <c r="W111" s="12"/>
      <c r="X111" s="12"/>
      <c r="Y111" s="12"/>
      <c r="Z111" s="12"/>
      <c r="AA111" s="12"/>
      <c r="AB111" s="12"/>
      <c r="AC111" s="12"/>
    </row>
    <row r="112" ht="15.75" customHeight="1">
      <c r="A112" s="12"/>
      <c r="B112" s="12"/>
      <c r="C112" s="12"/>
      <c r="D112" s="12"/>
      <c r="E112" s="12"/>
      <c r="F112" s="12"/>
      <c r="G112" s="12"/>
      <c r="H112" s="12"/>
      <c r="I112" s="12"/>
      <c r="J112" s="12"/>
      <c r="K112" s="12"/>
      <c r="L112" s="12"/>
      <c r="M112" s="12"/>
      <c r="N112" s="12"/>
      <c r="O112" s="12"/>
      <c r="P112" s="12"/>
      <c r="Q112" s="12"/>
      <c r="R112" s="12"/>
      <c r="S112" s="12"/>
      <c r="T112" s="12"/>
      <c r="U112" s="12"/>
      <c r="V112" s="12"/>
      <c r="W112" s="12"/>
      <c r="X112" s="12"/>
      <c r="Y112" s="12"/>
      <c r="Z112" s="12"/>
      <c r="AA112" s="12"/>
      <c r="AB112" s="12"/>
      <c r="AC112" s="12"/>
    </row>
    <row r="113" ht="15.75" customHeight="1">
      <c r="A113" s="12"/>
      <c r="B113" s="12"/>
      <c r="C113" s="12"/>
      <c r="D113" s="12"/>
      <c r="E113" s="12"/>
      <c r="F113" s="12"/>
      <c r="G113" s="12"/>
      <c r="H113" s="12"/>
      <c r="I113" s="12"/>
      <c r="J113" s="12"/>
      <c r="K113" s="12"/>
      <c r="L113" s="12"/>
      <c r="M113" s="12"/>
      <c r="N113" s="12"/>
      <c r="O113" s="12"/>
      <c r="P113" s="12"/>
      <c r="Q113" s="12"/>
      <c r="R113" s="12"/>
      <c r="S113" s="12"/>
      <c r="T113" s="12"/>
      <c r="U113" s="12"/>
      <c r="V113" s="12"/>
      <c r="W113" s="12"/>
      <c r="X113" s="12"/>
      <c r="Y113" s="12"/>
      <c r="Z113" s="12"/>
      <c r="AA113" s="12"/>
      <c r="AB113" s="12"/>
      <c r="AC113" s="12"/>
    </row>
    <row r="114" ht="15.75" customHeight="1">
      <c r="A114" s="12"/>
      <c r="B114" s="12"/>
      <c r="C114" s="12"/>
      <c r="D114" s="12"/>
      <c r="E114" s="12"/>
      <c r="F114" s="12"/>
      <c r="G114" s="12"/>
      <c r="H114" s="12"/>
      <c r="I114" s="12"/>
      <c r="J114" s="12"/>
      <c r="K114" s="12"/>
      <c r="L114" s="12"/>
      <c r="M114" s="12"/>
      <c r="N114" s="12"/>
      <c r="O114" s="12"/>
      <c r="P114" s="12"/>
      <c r="Q114" s="12"/>
      <c r="R114" s="12"/>
      <c r="S114" s="12"/>
      <c r="T114" s="12"/>
      <c r="U114" s="12"/>
      <c r="V114" s="12"/>
      <c r="W114" s="12"/>
      <c r="X114" s="12"/>
      <c r="Y114" s="12"/>
      <c r="Z114" s="12"/>
      <c r="AA114" s="12"/>
      <c r="AB114" s="12"/>
      <c r="AC114" s="12"/>
    </row>
    <row r="115" ht="15.75" customHeight="1">
      <c r="A115" s="12"/>
      <c r="B115" s="12"/>
      <c r="C115" s="12"/>
      <c r="D115" s="12"/>
      <c r="E115" s="12"/>
      <c r="F115" s="12"/>
      <c r="G115" s="12"/>
      <c r="H115" s="12"/>
      <c r="I115" s="12"/>
      <c r="J115" s="12"/>
      <c r="K115" s="12"/>
      <c r="L115" s="12"/>
      <c r="M115" s="12"/>
      <c r="N115" s="12"/>
      <c r="O115" s="12"/>
      <c r="P115" s="12"/>
      <c r="Q115" s="12"/>
      <c r="R115" s="12"/>
      <c r="S115" s="12"/>
      <c r="T115" s="12"/>
      <c r="U115" s="12"/>
      <c r="V115" s="12"/>
      <c r="W115" s="12"/>
      <c r="X115" s="12"/>
      <c r="Y115" s="12"/>
      <c r="Z115" s="12"/>
      <c r="AA115" s="12"/>
      <c r="AB115" s="12"/>
      <c r="AC115" s="12"/>
    </row>
    <row r="116" ht="15.75" customHeight="1">
      <c r="A116" s="12"/>
      <c r="B116" s="12"/>
      <c r="C116" s="12"/>
      <c r="D116" s="12"/>
      <c r="E116" s="12"/>
      <c r="F116" s="12"/>
      <c r="G116" s="12"/>
      <c r="H116" s="12"/>
      <c r="I116" s="12"/>
      <c r="J116" s="12"/>
      <c r="K116" s="12"/>
      <c r="L116" s="12"/>
      <c r="M116" s="12"/>
      <c r="N116" s="12"/>
      <c r="O116" s="12"/>
      <c r="P116" s="12"/>
      <c r="Q116" s="12"/>
      <c r="R116" s="12"/>
      <c r="S116" s="12"/>
      <c r="T116" s="12"/>
      <c r="U116" s="12"/>
      <c r="V116" s="12"/>
      <c r="W116" s="12"/>
      <c r="X116" s="12"/>
      <c r="Y116" s="12"/>
      <c r="Z116" s="12"/>
      <c r="AA116" s="12"/>
      <c r="AB116" s="12"/>
      <c r="AC116" s="12"/>
    </row>
    <row r="117" ht="15.75" customHeight="1">
      <c r="A117" s="12"/>
      <c r="B117" s="12"/>
      <c r="C117" s="12"/>
      <c r="D117" s="12"/>
      <c r="E117" s="12"/>
      <c r="F117" s="12"/>
      <c r="G117" s="12"/>
      <c r="H117" s="12"/>
      <c r="I117" s="12"/>
      <c r="J117" s="12"/>
      <c r="K117" s="12"/>
      <c r="L117" s="12"/>
      <c r="M117" s="12"/>
      <c r="N117" s="12"/>
      <c r="O117" s="12"/>
      <c r="P117" s="12"/>
      <c r="Q117" s="12"/>
      <c r="R117" s="12"/>
      <c r="S117" s="12"/>
      <c r="T117" s="12"/>
      <c r="U117" s="12"/>
      <c r="V117" s="12"/>
      <c r="W117" s="12"/>
      <c r="X117" s="12"/>
      <c r="Y117" s="12"/>
      <c r="Z117" s="12"/>
      <c r="AA117" s="12"/>
      <c r="AB117" s="12"/>
      <c r="AC117" s="12"/>
    </row>
    <row r="118" ht="15.75" customHeight="1">
      <c r="A118" s="12"/>
      <c r="B118" s="12"/>
      <c r="C118" s="12"/>
      <c r="D118" s="12"/>
      <c r="E118" s="12"/>
      <c r="F118" s="12"/>
      <c r="G118" s="12"/>
      <c r="H118" s="12"/>
      <c r="I118" s="12"/>
      <c r="J118" s="12"/>
      <c r="K118" s="12"/>
      <c r="L118" s="12"/>
      <c r="M118" s="12"/>
      <c r="N118" s="12"/>
      <c r="O118" s="12"/>
      <c r="P118" s="12"/>
      <c r="Q118" s="12"/>
      <c r="R118" s="12"/>
      <c r="S118" s="12"/>
      <c r="T118" s="12"/>
      <c r="U118" s="12"/>
      <c r="V118" s="12"/>
      <c r="W118" s="12"/>
      <c r="X118" s="12"/>
      <c r="Y118" s="12"/>
      <c r="Z118" s="12"/>
      <c r="AA118" s="12"/>
      <c r="AB118" s="12"/>
      <c r="AC118" s="12"/>
    </row>
    <row r="119" ht="15.75" customHeight="1">
      <c r="A119" s="12"/>
      <c r="B119" s="12"/>
      <c r="C119" s="12"/>
      <c r="D119" s="12"/>
      <c r="E119" s="12"/>
      <c r="F119" s="12"/>
      <c r="G119" s="12"/>
      <c r="H119" s="12"/>
      <c r="I119" s="12"/>
      <c r="J119" s="12"/>
      <c r="K119" s="12"/>
      <c r="L119" s="12"/>
      <c r="M119" s="12"/>
      <c r="N119" s="12"/>
      <c r="O119" s="12"/>
      <c r="P119" s="12"/>
      <c r="Q119" s="12"/>
      <c r="R119" s="12"/>
      <c r="S119" s="12"/>
      <c r="T119" s="12"/>
      <c r="U119" s="12"/>
      <c r="V119" s="12"/>
      <c r="W119" s="12"/>
      <c r="X119" s="12"/>
      <c r="Y119" s="12"/>
      <c r="Z119" s="12"/>
      <c r="AA119" s="12"/>
      <c r="AB119" s="12"/>
      <c r="AC119" s="12"/>
    </row>
    <row r="120" ht="15.75" customHeight="1">
      <c r="A120" s="12"/>
      <c r="B120" s="12"/>
      <c r="C120" s="12"/>
      <c r="D120" s="12"/>
      <c r="E120" s="12"/>
      <c r="F120" s="12"/>
      <c r="G120" s="12"/>
      <c r="H120" s="12"/>
      <c r="I120" s="12"/>
      <c r="J120" s="12"/>
      <c r="K120" s="12"/>
      <c r="L120" s="12"/>
      <c r="M120" s="12"/>
      <c r="N120" s="12"/>
      <c r="O120" s="12"/>
      <c r="P120" s="12"/>
      <c r="Q120" s="12"/>
      <c r="R120" s="12"/>
      <c r="S120" s="12"/>
      <c r="T120" s="12"/>
      <c r="U120" s="12"/>
      <c r="V120" s="12"/>
      <c r="W120" s="12"/>
      <c r="X120" s="12"/>
      <c r="Y120" s="12"/>
      <c r="Z120" s="12"/>
      <c r="AA120" s="12"/>
      <c r="AB120" s="12"/>
      <c r="AC120" s="12"/>
    </row>
    <row r="121" ht="15.75" customHeight="1">
      <c r="A121" s="12"/>
      <c r="B121" s="12"/>
      <c r="C121" s="12"/>
      <c r="D121" s="12"/>
      <c r="E121" s="12"/>
      <c r="F121" s="12"/>
      <c r="G121" s="12"/>
      <c r="H121" s="12"/>
      <c r="I121" s="12"/>
      <c r="J121" s="12"/>
      <c r="K121" s="12"/>
      <c r="L121" s="12"/>
      <c r="M121" s="12"/>
      <c r="N121" s="12"/>
      <c r="O121" s="12"/>
      <c r="P121" s="12"/>
      <c r="Q121" s="12"/>
      <c r="R121" s="12"/>
      <c r="S121" s="12"/>
      <c r="T121" s="12"/>
      <c r="U121" s="12"/>
      <c r="V121" s="12"/>
      <c r="W121" s="12"/>
      <c r="X121" s="12"/>
      <c r="Y121" s="12"/>
      <c r="Z121" s="12"/>
      <c r="AA121" s="12"/>
      <c r="AB121" s="12"/>
      <c r="AC121" s="12"/>
    </row>
    <row r="122" ht="15.75" customHeight="1">
      <c r="A122" s="12"/>
      <c r="B122" s="12"/>
      <c r="C122" s="12"/>
      <c r="D122" s="12"/>
      <c r="E122" s="12"/>
      <c r="F122" s="12"/>
      <c r="G122" s="12"/>
      <c r="H122" s="12"/>
      <c r="I122" s="12"/>
      <c r="J122" s="12"/>
      <c r="K122" s="12"/>
      <c r="L122" s="12"/>
      <c r="M122" s="12"/>
      <c r="N122" s="12"/>
      <c r="O122" s="12"/>
      <c r="P122" s="12"/>
      <c r="Q122" s="12"/>
      <c r="R122" s="12"/>
      <c r="S122" s="12"/>
      <c r="T122" s="12"/>
      <c r="U122" s="12"/>
      <c r="V122" s="12"/>
      <c r="W122" s="12"/>
      <c r="X122" s="12"/>
      <c r="Y122" s="12"/>
      <c r="Z122" s="12"/>
      <c r="AA122" s="12"/>
      <c r="AB122" s="12"/>
      <c r="AC122" s="12"/>
    </row>
    <row r="123" ht="15.75" customHeight="1">
      <c r="A123" s="12"/>
      <c r="B123" s="12"/>
      <c r="C123" s="12"/>
      <c r="D123" s="12"/>
      <c r="E123" s="12"/>
      <c r="F123" s="12"/>
      <c r="G123" s="12"/>
      <c r="H123" s="12"/>
      <c r="I123" s="12"/>
      <c r="J123" s="12"/>
      <c r="K123" s="12"/>
      <c r="L123" s="12"/>
      <c r="M123" s="12"/>
      <c r="N123" s="12"/>
      <c r="O123" s="12"/>
      <c r="P123" s="12"/>
      <c r="Q123" s="12"/>
      <c r="R123" s="12"/>
      <c r="S123" s="12"/>
      <c r="T123" s="12"/>
      <c r="U123" s="12"/>
      <c r="V123" s="12"/>
      <c r="W123" s="12"/>
      <c r="X123" s="12"/>
      <c r="Y123" s="12"/>
      <c r="Z123" s="12"/>
      <c r="AA123" s="12"/>
      <c r="AB123" s="12"/>
      <c r="AC123" s="12"/>
    </row>
    <row r="124" ht="15.75" customHeight="1">
      <c r="A124" s="12"/>
      <c r="B124" s="12"/>
      <c r="C124" s="12"/>
      <c r="D124" s="12"/>
      <c r="E124" s="12"/>
      <c r="F124" s="12"/>
      <c r="G124" s="12"/>
      <c r="H124" s="12"/>
      <c r="I124" s="12"/>
      <c r="J124" s="12"/>
      <c r="K124" s="12"/>
      <c r="L124" s="12"/>
      <c r="M124" s="12"/>
      <c r="N124" s="12"/>
      <c r="O124" s="12"/>
      <c r="P124" s="12"/>
      <c r="Q124" s="12"/>
      <c r="R124" s="12"/>
      <c r="S124" s="12"/>
      <c r="T124" s="12"/>
      <c r="U124" s="12"/>
      <c r="V124" s="12"/>
      <c r="W124" s="12"/>
      <c r="X124" s="12"/>
      <c r="Y124" s="12"/>
      <c r="Z124" s="12"/>
      <c r="AA124" s="12"/>
      <c r="AB124" s="12"/>
      <c r="AC124" s="12"/>
    </row>
    <row r="125" ht="15.75" customHeight="1">
      <c r="A125" s="12"/>
      <c r="B125" s="12"/>
      <c r="C125" s="12"/>
      <c r="D125" s="12"/>
      <c r="E125" s="12"/>
      <c r="F125" s="12"/>
      <c r="G125" s="12"/>
      <c r="H125" s="12"/>
      <c r="I125" s="12"/>
      <c r="J125" s="12"/>
      <c r="K125" s="12"/>
      <c r="L125" s="12"/>
      <c r="M125" s="12"/>
      <c r="N125" s="12"/>
      <c r="O125" s="12"/>
      <c r="P125" s="12"/>
      <c r="Q125" s="12"/>
      <c r="R125" s="12"/>
      <c r="S125" s="12"/>
      <c r="T125" s="12"/>
      <c r="U125" s="12"/>
      <c r="V125" s="12"/>
      <c r="W125" s="12"/>
      <c r="X125" s="12"/>
      <c r="Y125" s="12"/>
      <c r="Z125" s="12"/>
      <c r="AA125" s="12"/>
      <c r="AB125" s="12"/>
      <c r="AC125" s="12"/>
    </row>
    <row r="126" ht="15.75" customHeight="1">
      <c r="A126" s="12"/>
      <c r="B126" s="12"/>
      <c r="C126" s="12"/>
      <c r="D126" s="12"/>
      <c r="E126" s="12"/>
      <c r="F126" s="12"/>
      <c r="G126" s="12"/>
      <c r="H126" s="12"/>
      <c r="I126" s="12"/>
      <c r="J126" s="12"/>
      <c r="K126" s="12"/>
      <c r="L126" s="12"/>
      <c r="M126" s="12"/>
      <c r="N126" s="12"/>
      <c r="O126" s="12"/>
      <c r="P126" s="12"/>
      <c r="Q126" s="12"/>
      <c r="R126" s="12"/>
      <c r="S126" s="12"/>
      <c r="T126" s="12"/>
      <c r="U126" s="12"/>
      <c r="V126" s="12"/>
      <c r="W126" s="12"/>
      <c r="X126" s="12"/>
      <c r="Y126" s="12"/>
      <c r="Z126" s="12"/>
      <c r="AA126" s="12"/>
      <c r="AB126" s="12"/>
      <c r="AC126" s="12"/>
    </row>
    <row r="127" ht="15.75" customHeight="1">
      <c r="A127" s="12"/>
      <c r="B127" s="12"/>
      <c r="C127" s="12"/>
      <c r="D127" s="12"/>
      <c r="E127" s="12"/>
      <c r="F127" s="12"/>
      <c r="G127" s="12"/>
      <c r="H127" s="12"/>
      <c r="I127" s="12"/>
      <c r="J127" s="12"/>
      <c r="K127" s="12"/>
      <c r="L127" s="12"/>
      <c r="M127" s="12"/>
      <c r="N127" s="12"/>
      <c r="O127" s="12"/>
      <c r="P127" s="12"/>
      <c r="Q127" s="12"/>
      <c r="R127" s="12"/>
      <c r="S127" s="12"/>
      <c r="T127" s="12"/>
      <c r="U127" s="12"/>
      <c r="V127" s="12"/>
      <c r="W127" s="12"/>
      <c r="X127" s="12"/>
      <c r="Y127" s="12"/>
      <c r="Z127" s="12"/>
      <c r="AA127" s="12"/>
      <c r="AB127" s="12"/>
      <c r="AC127" s="12"/>
    </row>
    <row r="128" ht="15.75" customHeight="1">
      <c r="A128" s="12"/>
      <c r="B128" s="12"/>
      <c r="C128" s="12"/>
      <c r="D128" s="12"/>
      <c r="E128" s="12"/>
      <c r="F128" s="12"/>
      <c r="G128" s="12"/>
      <c r="H128" s="12"/>
      <c r="I128" s="12"/>
      <c r="J128" s="12"/>
      <c r="K128" s="12"/>
      <c r="L128" s="12"/>
      <c r="M128" s="12"/>
      <c r="N128" s="12"/>
      <c r="O128" s="12"/>
      <c r="P128" s="12"/>
      <c r="Q128" s="12"/>
      <c r="R128" s="12"/>
      <c r="S128" s="12"/>
      <c r="T128" s="12"/>
      <c r="U128" s="12"/>
      <c r="V128" s="12"/>
      <c r="W128" s="12"/>
      <c r="X128" s="12"/>
      <c r="Y128" s="12"/>
      <c r="Z128" s="12"/>
      <c r="AA128" s="12"/>
      <c r="AB128" s="12"/>
      <c r="AC128" s="12"/>
    </row>
    <row r="129" ht="15.75" customHeight="1">
      <c r="A129" s="12"/>
      <c r="B129" s="12"/>
      <c r="C129" s="12"/>
      <c r="D129" s="12"/>
      <c r="E129" s="12"/>
      <c r="F129" s="12"/>
      <c r="G129" s="12"/>
      <c r="H129" s="12"/>
      <c r="I129" s="12"/>
      <c r="J129" s="12"/>
      <c r="K129" s="12"/>
      <c r="L129" s="12"/>
      <c r="M129" s="12"/>
      <c r="N129" s="12"/>
      <c r="O129" s="12"/>
      <c r="P129" s="12"/>
      <c r="Q129" s="12"/>
      <c r="R129" s="12"/>
      <c r="S129" s="12"/>
      <c r="T129" s="12"/>
      <c r="U129" s="12"/>
      <c r="V129" s="12"/>
      <c r="W129" s="12"/>
      <c r="X129" s="12"/>
      <c r="Y129" s="12"/>
      <c r="Z129" s="12"/>
      <c r="AA129" s="12"/>
      <c r="AB129" s="12"/>
      <c r="AC129" s="12"/>
    </row>
    <row r="130" ht="15.75" customHeight="1">
      <c r="A130" s="12"/>
      <c r="B130" s="12"/>
      <c r="C130" s="12"/>
      <c r="D130" s="12"/>
      <c r="E130" s="12"/>
      <c r="F130" s="12"/>
      <c r="G130" s="12"/>
      <c r="H130" s="12"/>
      <c r="I130" s="12"/>
      <c r="J130" s="12"/>
      <c r="K130" s="12"/>
      <c r="L130" s="12"/>
      <c r="M130" s="12"/>
      <c r="N130" s="12"/>
      <c r="O130" s="12"/>
      <c r="P130" s="12"/>
      <c r="Q130" s="12"/>
      <c r="R130" s="12"/>
      <c r="S130" s="12"/>
      <c r="T130" s="12"/>
      <c r="U130" s="12"/>
      <c r="V130" s="12"/>
      <c r="W130" s="12"/>
      <c r="X130" s="12"/>
      <c r="Y130" s="12"/>
      <c r="Z130" s="12"/>
      <c r="AA130" s="12"/>
      <c r="AB130" s="12"/>
      <c r="AC130" s="12"/>
    </row>
    <row r="131" ht="15.75" customHeight="1">
      <c r="A131" s="12"/>
      <c r="B131" s="12"/>
      <c r="C131" s="12"/>
      <c r="D131" s="12"/>
      <c r="E131" s="12"/>
      <c r="F131" s="12"/>
      <c r="G131" s="12"/>
      <c r="H131" s="12"/>
      <c r="I131" s="12"/>
      <c r="J131" s="12"/>
      <c r="K131" s="12"/>
      <c r="L131" s="12"/>
      <c r="M131" s="12"/>
      <c r="N131" s="12"/>
      <c r="O131" s="12"/>
      <c r="P131" s="12"/>
      <c r="Q131" s="12"/>
      <c r="R131" s="12"/>
      <c r="S131" s="12"/>
      <c r="T131" s="12"/>
      <c r="U131" s="12"/>
      <c r="V131" s="12"/>
      <c r="W131" s="12"/>
      <c r="X131" s="12"/>
      <c r="Y131" s="12"/>
      <c r="Z131" s="12"/>
      <c r="AA131" s="12"/>
      <c r="AB131" s="12"/>
      <c r="AC131" s="12"/>
    </row>
    <row r="132" ht="15.75" customHeight="1">
      <c r="A132" s="12"/>
      <c r="B132" s="12"/>
      <c r="C132" s="12"/>
      <c r="D132" s="12"/>
      <c r="E132" s="12"/>
      <c r="F132" s="12"/>
      <c r="G132" s="12"/>
      <c r="H132" s="12"/>
      <c r="I132" s="12"/>
      <c r="J132" s="12"/>
      <c r="K132" s="12"/>
      <c r="L132" s="12"/>
      <c r="M132" s="12"/>
      <c r="N132" s="12"/>
      <c r="O132" s="12"/>
      <c r="P132" s="12"/>
      <c r="Q132" s="12"/>
      <c r="R132" s="12"/>
      <c r="S132" s="12"/>
      <c r="T132" s="12"/>
      <c r="U132" s="12"/>
      <c r="V132" s="12"/>
      <c r="W132" s="12"/>
      <c r="X132" s="12"/>
      <c r="Y132" s="12"/>
      <c r="Z132" s="12"/>
      <c r="AA132" s="12"/>
      <c r="AB132" s="12"/>
      <c r="AC132" s="12"/>
    </row>
    <row r="133" ht="15.75" customHeight="1">
      <c r="A133" s="12"/>
      <c r="B133" s="12"/>
      <c r="C133" s="12"/>
      <c r="D133" s="12"/>
      <c r="E133" s="12"/>
      <c r="F133" s="12"/>
      <c r="G133" s="12"/>
      <c r="H133" s="12"/>
      <c r="I133" s="12"/>
      <c r="J133" s="12"/>
      <c r="K133" s="12"/>
      <c r="L133" s="12"/>
      <c r="M133" s="12"/>
      <c r="N133" s="12"/>
      <c r="O133" s="12"/>
      <c r="P133" s="12"/>
      <c r="Q133" s="12"/>
      <c r="R133" s="12"/>
      <c r="S133" s="12"/>
      <c r="T133" s="12"/>
      <c r="U133" s="12"/>
      <c r="V133" s="12"/>
      <c r="W133" s="12"/>
      <c r="X133" s="12"/>
      <c r="Y133" s="12"/>
      <c r="Z133" s="12"/>
      <c r="AA133" s="12"/>
      <c r="AB133" s="12"/>
      <c r="AC133" s="12"/>
    </row>
    <row r="134" ht="15.75" customHeight="1">
      <c r="A134" s="12"/>
      <c r="B134" s="12"/>
      <c r="C134" s="12"/>
      <c r="D134" s="12"/>
      <c r="E134" s="12"/>
      <c r="F134" s="12"/>
      <c r="G134" s="12"/>
      <c r="H134" s="12"/>
      <c r="I134" s="12"/>
      <c r="J134" s="12"/>
      <c r="K134" s="12"/>
      <c r="L134" s="12"/>
      <c r="M134" s="12"/>
      <c r="N134" s="12"/>
      <c r="O134" s="12"/>
      <c r="P134" s="12"/>
      <c r="Q134" s="12"/>
      <c r="R134" s="12"/>
      <c r="S134" s="12"/>
      <c r="T134" s="12"/>
      <c r="U134" s="12"/>
      <c r="V134" s="12"/>
      <c r="W134" s="12"/>
      <c r="X134" s="12"/>
      <c r="Y134" s="12"/>
      <c r="Z134" s="12"/>
      <c r="AA134" s="12"/>
      <c r="AB134" s="12"/>
      <c r="AC134" s="12"/>
    </row>
    <row r="135" ht="15.75" customHeight="1">
      <c r="A135" s="12"/>
      <c r="B135" s="12"/>
      <c r="C135" s="12"/>
      <c r="D135" s="12"/>
      <c r="E135" s="12"/>
      <c r="F135" s="12"/>
      <c r="G135" s="12"/>
      <c r="H135" s="12"/>
      <c r="I135" s="12"/>
      <c r="J135" s="12"/>
      <c r="K135" s="12"/>
      <c r="L135" s="12"/>
      <c r="M135" s="12"/>
      <c r="N135" s="12"/>
      <c r="O135" s="12"/>
      <c r="P135" s="12"/>
      <c r="Q135" s="12"/>
      <c r="R135" s="12"/>
      <c r="S135" s="12"/>
      <c r="T135" s="12"/>
      <c r="U135" s="12"/>
      <c r="V135" s="12"/>
      <c r="W135" s="12"/>
      <c r="X135" s="12"/>
      <c r="Y135" s="12"/>
      <c r="Z135" s="12"/>
      <c r="AA135" s="12"/>
      <c r="AB135" s="12"/>
      <c r="AC135" s="12"/>
    </row>
    <row r="136" ht="15.75" customHeight="1">
      <c r="A136" s="12"/>
      <c r="B136" s="12"/>
      <c r="C136" s="12"/>
      <c r="D136" s="12"/>
      <c r="E136" s="12"/>
      <c r="F136" s="12"/>
      <c r="G136" s="12"/>
      <c r="H136" s="12"/>
      <c r="I136" s="12"/>
      <c r="J136" s="12"/>
      <c r="K136" s="12"/>
      <c r="L136" s="12"/>
      <c r="M136" s="12"/>
      <c r="N136" s="12"/>
      <c r="O136" s="12"/>
      <c r="P136" s="12"/>
      <c r="Q136" s="12"/>
      <c r="R136" s="12"/>
      <c r="S136" s="12"/>
      <c r="T136" s="12"/>
      <c r="U136" s="12"/>
      <c r="V136" s="12"/>
      <c r="W136" s="12"/>
      <c r="X136" s="12"/>
      <c r="Y136" s="12"/>
      <c r="Z136" s="12"/>
      <c r="AA136" s="12"/>
      <c r="AB136" s="12"/>
      <c r="AC136" s="12"/>
    </row>
    <row r="137" ht="15.75" customHeight="1">
      <c r="A137" s="12"/>
      <c r="B137" s="12"/>
      <c r="C137" s="12"/>
      <c r="D137" s="12"/>
      <c r="E137" s="12"/>
      <c r="F137" s="12"/>
      <c r="G137" s="12"/>
      <c r="H137" s="12"/>
      <c r="I137" s="12"/>
      <c r="J137" s="12"/>
      <c r="K137" s="12"/>
      <c r="L137" s="12"/>
      <c r="M137" s="12"/>
      <c r="N137" s="12"/>
      <c r="O137" s="12"/>
      <c r="P137" s="12"/>
      <c r="Q137" s="12"/>
      <c r="R137" s="12"/>
      <c r="S137" s="12"/>
      <c r="T137" s="12"/>
      <c r="U137" s="12"/>
      <c r="V137" s="12"/>
      <c r="W137" s="12"/>
      <c r="X137" s="12"/>
      <c r="Y137" s="12"/>
      <c r="Z137" s="12"/>
      <c r="AA137" s="12"/>
      <c r="AB137" s="12"/>
      <c r="AC137" s="12"/>
    </row>
    <row r="138" ht="15.75" customHeight="1">
      <c r="A138" s="12"/>
      <c r="B138" s="12"/>
      <c r="C138" s="12"/>
      <c r="D138" s="12"/>
      <c r="E138" s="12"/>
      <c r="F138" s="12"/>
      <c r="G138" s="12"/>
      <c r="H138" s="12"/>
      <c r="I138" s="12"/>
      <c r="J138" s="12"/>
      <c r="K138" s="12"/>
      <c r="L138" s="12"/>
      <c r="M138" s="12"/>
      <c r="N138" s="12"/>
      <c r="O138" s="12"/>
      <c r="P138" s="12"/>
      <c r="Q138" s="12"/>
      <c r="R138" s="12"/>
      <c r="S138" s="12"/>
      <c r="T138" s="12"/>
      <c r="U138" s="12"/>
      <c r="V138" s="12"/>
      <c r="W138" s="12"/>
      <c r="X138" s="12"/>
      <c r="Y138" s="12"/>
      <c r="Z138" s="12"/>
      <c r="AA138" s="12"/>
      <c r="AB138" s="12"/>
      <c r="AC138" s="12"/>
    </row>
    <row r="139" ht="15.75" customHeight="1">
      <c r="A139" s="12"/>
      <c r="B139" s="12"/>
      <c r="C139" s="12"/>
      <c r="D139" s="12"/>
      <c r="E139" s="12"/>
      <c r="F139" s="12"/>
      <c r="G139" s="12"/>
      <c r="H139" s="12"/>
      <c r="I139" s="12"/>
      <c r="J139" s="12"/>
      <c r="K139" s="12"/>
      <c r="L139" s="12"/>
      <c r="M139" s="12"/>
      <c r="N139" s="12"/>
      <c r="O139" s="12"/>
      <c r="P139" s="12"/>
      <c r="Q139" s="12"/>
      <c r="R139" s="12"/>
      <c r="S139" s="12"/>
      <c r="T139" s="12"/>
      <c r="U139" s="12"/>
      <c r="V139" s="12"/>
      <c r="W139" s="12"/>
      <c r="X139" s="12"/>
      <c r="Y139" s="12"/>
      <c r="Z139" s="12"/>
      <c r="AA139" s="12"/>
      <c r="AB139" s="12"/>
      <c r="AC139" s="12"/>
    </row>
    <row r="140" ht="15.75" customHeight="1">
      <c r="A140" s="12"/>
      <c r="B140" s="12"/>
      <c r="C140" s="12"/>
      <c r="D140" s="12"/>
      <c r="E140" s="12"/>
      <c r="F140" s="12"/>
      <c r="G140" s="12"/>
      <c r="H140" s="12"/>
      <c r="I140" s="12"/>
      <c r="J140" s="12"/>
      <c r="K140" s="12"/>
      <c r="L140" s="12"/>
      <c r="M140" s="12"/>
      <c r="N140" s="12"/>
      <c r="O140" s="12"/>
      <c r="P140" s="12"/>
      <c r="Q140" s="12"/>
      <c r="R140" s="12"/>
      <c r="S140" s="12"/>
      <c r="T140" s="12"/>
      <c r="U140" s="12"/>
      <c r="V140" s="12"/>
      <c r="W140" s="12"/>
      <c r="X140" s="12"/>
      <c r="Y140" s="12"/>
      <c r="Z140" s="12"/>
      <c r="AA140" s="12"/>
      <c r="AB140" s="12"/>
      <c r="AC140" s="12"/>
    </row>
    <row r="141" ht="15.75" customHeight="1">
      <c r="A141" s="12"/>
      <c r="B141" s="12"/>
      <c r="C141" s="12"/>
      <c r="D141" s="12"/>
      <c r="E141" s="12"/>
      <c r="F141" s="12"/>
      <c r="G141" s="12"/>
      <c r="H141" s="12"/>
      <c r="I141" s="12"/>
      <c r="J141" s="12"/>
      <c r="K141" s="12"/>
      <c r="L141" s="12"/>
      <c r="M141" s="12"/>
      <c r="N141" s="12"/>
      <c r="O141" s="12"/>
      <c r="P141" s="12"/>
      <c r="Q141" s="12"/>
      <c r="R141" s="12"/>
      <c r="S141" s="12"/>
      <c r="T141" s="12"/>
      <c r="U141" s="12"/>
      <c r="V141" s="12"/>
      <c r="W141" s="12"/>
      <c r="X141" s="12"/>
      <c r="Y141" s="12"/>
      <c r="Z141" s="12"/>
      <c r="AA141" s="12"/>
      <c r="AB141" s="12"/>
      <c r="AC141" s="12"/>
    </row>
    <row r="142" ht="15.75" customHeight="1">
      <c r="A142" s="12"/>
      <c r="B142" s="12"/>
      <c r="C142" s="12"/>
      <c r="D142" s="12"/>
      <c r="E142" s="12"/>
      <c r="F142" s="12"/>
      <c r="G142" s="12"/>
      <c r="H142" s="12"/>
      <c r="I142" s="12"/>
      <c r="J142" s="12"/>
      <c r="K142" s="12"/>
      <c r="L142" s="12"/>
      <c r="M142" s="12"/>
      <c r="N142" s="12"/>
      <c r="O142" s="12"/>
      <c r="P142" s="12"/>
      <c r="Q142" s="12"/>
      <c r="R142" s="12"/>
      <c r="S142" s="12"/>
      <c r="T142" s="12"/>
      <c r="U142" s="12"/>
      <c r="V142" s="12"/>
      <c r="W142" s="12"/>
      <c r="X142" s="12"/>
      <c r="Y142" s="12"/>
      <c r="Z142" s="12"/>
      <c r="AA142" s="12"/>
      <c r="AB142" s="12"/>
      <c r="AC142" s="12"/>
    </row>
    <row r="143" ht="15.75" customHeight="1">
      <c r="A143" s="12"/>
      <c r="B143" s="12"/>
      <c r="C143" s="12"/>
      <c r="D143" s="12"/>
      <c r="E143" s="12"/>
      <c r="F143" s="12"/>
      <c r="G143" s="12"/>
      <c r="H143" s="12"/>
      <c r="I143" s="12"/>
      <c r="J143" s="12"/>
      <c r="K143" s="12"/>
      <c r="L143" s="12"/>
      <c r="M143" s="12"/>
      <c r="N143" s="12"/>
      <c r="O143" s="12"/>
      <c r="P143" s="12"/>
      <c r="Q143" s="12"/>
      <c r="R143" s="12"/>
      <c r="S143" s="12"/>
      <c r="T143" s="12"/>
      <c r="U143" s="12"/>
      <c r="V143" s="12"/>
      <c r="W143" s="12"/>
      <c r="X143" s="12"/>
      <c r="Y143" s="12"/>
      <c r="Z143" s="12"/>
      <c r="AA143" s="12"/>
      <c r="AB143" s="12"/>
      <c r="AC143" s="12"/>
    </row>
    <row r="144" ht="15.75" customHeight="1">
      <c r="A144" s="12"/>
      <c r="B144" s="12"/>
      <c r="C144" s="12"/>
      <c r="D144" s="12"/>
      <c r="E144" s="12"/>
      <c r="F144" s="12"/>
      <c r="G144" s="12"/>
      <c r="H144" s="12"/>
      <c r="I144" s="12"/>
      <c r="J144" s="12"/>
      <c r="K144" s="12"/>
      <c r="L144" s="12"/>
      <c r="M144" s="12"/>
      <c r="N144" s="12"/>
      <c r="O144" s="12"/>
      <c r="P144" s="12"/>
      <c r="Q144" s="12"/>
      <c r="R144" s="12"/>
      <c r="S144" s="12"/>
      <c r="T144" s="12"/>
      <c r="U144" s="12"/>
      <c r="V144" s="12"/>
      <c r="W144" s="12"/>
      <c r="X144" s="12"/>
      <c r="Y144" s="12"/>
      <c r="Z144" s="12"/>
      <c r="AA144" s="12"/>
      <c r="AB144" s="12"/>
      <c r="AC144" s="12"/>
    </row>
    <row r="145" ht="15.75" customHeight="1">
      <c r="A145" s="12"/>
      <c r="B145" s="12"/>
      <c r="C145" s="12"/>
      <c r="D145" s="12"/>
      <c r="E145" s="12"/>
      <c r="F145" s="12"/>
      <c r="G145" s="12"/>
      <c r="H145" s="12"/>
      <c r="I145" s="12"/>
      <c r="J145" s="12"/>
      <c r="K145" s="12"/>
      <c r="L145" s="12"/>
      <c r="M145" s="12"/>
      <c r="N145" s="12"/>
      <c r="O145" s="12"/>
      <c r="P145" s="12"/>
      <c r="Q145" s="12"/>
      <c r="R145" s="12"/>
      <c r="S145" s="12"/>
      <c r="T145" s="12"/>
      <c r="U145" s="12"/>
      <c r="V145" s="12"/>
      <c r="W145" s="12"/>
      <c r="X145" s="12"/>
      <c r="Y145" s="12"/>
      <c r="Z145" s="12"/>
      <c r="AA145" s="12"/>
      <c r="AB145" s="12"/>
      <c r="AC145" s="12"/>
    </row>
    <row r="146" ht="15.75" customHeight="1">
      <c r="A146" s="12"/>
      <c r="B146" s="12"/>
      <c r="C146" s="12"/>
      <c r="D146" s="12"/>
      <c r="E146" s="12"/>
      <c r="F146" s="12"/>
      <c r="G146" s="12"/>
      <c r="H146" s="12"/>
      <c r="I146" s="12"/>
      <c r="J146" s="12"/>
      <c r="K146" s="12"/>
      <c r="L146" s="12"/>
      <c r="M146" s="12"/>
      <c r="N146" s="12"/>
      <c r="O146" s="12"/>
      <c r="P146" s="12"/>
      <c r="Q146" s="12"/>
      <c r="R146" s="12"/>
      <c r="S146" s="12"/>
      <c r="T146" s="12"/>
      <c r="U146" s="12"/>
      <c r="V146" s="12"/>
      <c r="W146" s="12"/>
      <c r="X146" s="12"/>
      <c r="Y146" s="12"/>
      <c r="Z146" s="12"/>
      <c r="AA146" s="12"/>
      <c r="AB146" s="12"/>
      <c r="AC146" s="12"/>
    </row>
    <row r="147" ht="15.75" customHeight="1">
      <c r="A147" s="12"/>
      <c r="B147" s="12"/>
      <c r="C147" s="12"/>
      <c r="D147" s="12"/>
      <c r="E147" s="12"/>
      <c r="F147" s="12"/>
      <c r="G147" s="12"/>
      <c r="H147" s="12"/>
      <c r="I147" s="12"/>
      <c r="J147" s="12"/>
      <c r="K147" s="12"/>
      <c r="L147" s="12"/>
      <c r="M147" s="12"/>
      <c r="N147" s="12"/>
      <c r="O147" s="12"/>
      <c r="P147" s="12"/>
      <c r="Q147" s="12"/>
      <c r="R147" s="12"/>
      <c r="S147" s="12"/>
      <c r="T147" s="12"/>
      <c r="U147" s="12"/>
      <c r="V147" s="12"/>
      <c r="W147" s="12"/>
      <c r="X147" s="12"/>
      <c r="Y147" s="12"/>
      <c r="Z147" s="12"/>
      <c r="AA147" s="12"/>
      <c r="AB147" s="12"/>
      <c r="AC147" s="12"/>
    </row>
    <row r="148" ht="15.75" customHeight="1">
      <c r="A148" s="12"/>
      <c r="B148" s="12"/>
      <c r="C148" s="12"/>
      <c r="D148" s="12"/>
      <c r="E148" s="12"/>
      <c r="F148" s="12"/>
      <c r="G148" s="12"/>
      <c r="H148" s="12"/>
      <c r="I148" s="12"/>
      <c r="J148" s="12"/>
      <c r="K148" s="12"/>
      <c r="L148" s="12"/>
      <c r="M148" s="12"/>
      <c r="N148" s="12"/>
      <c r="O148" s="12"/>
      <c r="P148" s="12"/>
      <c r="Q148" s="12"/>
      <c r="R148" s="12"/>
      <c r="S148" s="12"/>
      <c r="T148" s="12"/>
      <c r="U148" s="12"/>
      <c r="V148" s="12"/>
      <c r="W148" s="12"/>
      <c r="X148" s="12"/>
      <c r="Y148" s="12"/>
      <c r="Z148" s="12"/>
      <c r="AA148" s="12"/>
      <c r="AB148" s="12"/>
      <c r="AC148" s="12"/>
    </row>
    <row r="149" ht="15.75" customHeight="1">
      <c r="A149" s="12"/>
      <c r="B149" s="12"/>
      <c r="C149" s="12"/>
      <c r="D149" s="12"/>
      <c r="E149" s="12"/>
      <c r="F149" s="12"/>
      <c r="G149" s="12"/>
      <c r="H149" s="12"/>
      <c r="I149" s="12"/>
      <c r="J149" s="12"/>
      <c r="K149" s="12"/>
      <c r="L149" s="12"/>
      <c r="M149" s="12"/>
      <c r="N149" s="12"/>
      <c r="O149" s="12"/>
      <c r="P149" s="12"/>
      <c r="Q149" s="12"/>
      <c r="R149" s="12"/>
      <c r="S149" s="12"/>
      <c r="T149" s="12"/>
      <c r="U149" s="12"/>
      <c r="V149" s="12"/>
      <c r="W149" s="12"/>
      <c r="X149" s="12"/>
      <c r="Y149" s="12"/>
      <c r="Z149" s="12"/>
      <c r="AA149" s="12"/>
      <c r="AB149" s="12"/>
      <c r="AC149" s="12"/>
    </row>
    <row r="150" ht="15.75" customHeight="1">
      <c r="A150" s="12"/>
      <c r="B150" s="12"/>
      <c r="C150" s="12"/>
      <c r="D150" s="12"/>
      <c r="E150" s="12"/>
      <c r="F150" s="12"/>
      <c r="G150" s="12"/>
      <c r="H150" s="12"/>
      <c r="I150" s="12"/>
      <c r="J150" s="12"/>
      <c r="K150" s="12"/>
      <c r="L150" s="12"/>
      <c r="M150" s="12"/>
      <c r="N150" s="12"/>
      <c r="O150" s="12"/>
      <c r="P150" s="12"/>
      <c r="Q150" s="12"/>
      <c r="R150" s="12"/>
      <c r="S150" s="12"/>
      <c r="T150" s="12"/>
      <c r="U150" s="12"/>
      <c r="V150" s="12"/>
      <c r="W150" s="12"/>
      <c r="X150" s="12"/>
      <c r="Y150" s="12"/>
      <c r="Z150" s="12"/>
      <c r="AA150" s="12"/>
      <c r="AB150" s="12"/>
      <c r="AC150" s="12"/>
    </row>
    <row r="151" ht="15.75" customHeight="1">
      <c r="A151" s="12"/>
      <c r="B151" s="12"/>
      <c r="C151" s="12"/>
      <c r="D151" s="12"/>
      <c r="E151" s="12"/>
      <c r="F151" s="12"/>
      <c r="G151" s="12"/>
      <c r="H151" s="12"/>
      <c r="I151" s="12"/>
      <c r="J151" s="12"/>
      <c r="K151" s="12"/>
      <c r="L151" s="12"/>
      <c r="M151" s="12"/>
      <c r="N151" s="12"/>
      <c r="O151" s="12"/>
      <c r="P151" s="12"/>
      <c r="Q151" s="12"/>
      <c r="R151" s="12"/>
      <c r="S151" s="12"/>
      <c r="T151" s="12"/>
      <c r="U151" s="12"/>
      <c r="V151" s="12"/>
      <c r="W151" s="12"/>
      <c r="X151" s="12"/>
      <c r="Y151" s="12"/>
      <c r="Z151" s="12"/>
      <c r="AA151" s="12"/>
      <c r="AB151" s="12"/>
      <c r="AC151" s="12"/>
    </row>
    <row r="152" ht="15.75" customHeight="1">
      <c r="A152" s="12"/>
      <c r="B152" s="12"/>
      <c r="C152" s="12"/>
      <c r="D152" s="12"/>
      <c r="E152" s="12"/>
      <c r="F152" s="12"/>
      <c r="G152" s="12"/>
      <c r="H152" s="12"/>
      <c r="I152" s="12"/>
      <c r="J152" s="12"/>
      <c r="K152" s="12"/>
      <c r="L152" s="12"/>
      <c r="M152" s="12"/>
      <c r="N152" s="12"/>
      <c r="O152" s="12"/>
      <c r="P152" s="12"/>
      <c r="Q152" s="12"/>
      <c r="R152" s="12"/>
      <c r="S152" s="12"/>
      <c r="T152" s="12"/>
      <c r="U152" s="12"/>
      <c r="V152" s="12"/>
      <c r="W152" s="12"/>
      <c r="X152" s="12"/>
      <c r="Y152" s="12"/>
      <c r="Z152" s="12"/>
      <c r="AA152" s="12"/>
      <c r="AB152" s="12"/>
      <c r="AC152" s="12"/>
    </row>
    <row r="153" ht="15.75" customHeight="1">
      <c r="A153" s="12"/>
      <c r="B153" s="12"/>
      <c r="C153" s="12"/>
      <c r="D153" s="12"/>
      <c r="E153" s="12"/>
      <c r="F153" s="12"/>
      <c r="G153" s="12"/>
      <c r="H153" s="12"/>
      <c r="I153" s="12"/>
      <c r="J153" s="12"/>
      <c r="K153" s="12"/>
      <c r="L153" s="12"/>
      <c r="M153" s="12"/>
      <c r="N153" s="12"/>
      <c r="O153" s="12"/>
      <c r="P153" s="12"/>
      <c r="Q153" s="12"/>
      <c r="R153" s="12"/>
      <c r="S153" s="12"/>
      <c r="T153" s="12"/>
      <c r="U153" s="12"/>
      <c r="V153" s="12"/>
      <c r="W153" s="12"/>
      <c r="X153" s="12"/>
      <c r="Y153" s="12"/>
      <c r="Z153" s="12"/>
      <c r="AA153" s="12"/>
      <c r="AB153" s="12"/>
      <c r="AC153" s="12"/>
    </row>
    <row r="154" ht="15.75" customHeight="1">
      <c r="A154" s="12"/>
      <c r="B154" s="12"/>
      <c r="C154" s="12"/>
      <c r="D154" s="12"/>
      <c r="E154" s="12"/>
      <c r="F154" s="12"/>
      <c r="G154" s="12"/>
      <c r="H154" s="12"/>
      <c r="I154" s="12"/>
      <c r="J154" s="12"/>
      <c r="K154" s="12"/>
      <c r="L154" s="12"/>
      <c r="M154" s="12"/>
      <c r="N154" s="12"/>
      <c r="O154" s="12"/>
      <c r="P154" s="12"/>
      <c r="Q154" s="12"/>
      <c r="R154" s="12"/>
      <c r="S154" s="12"/>
      <c r="T154" s="12"/>
      <c r="U154" s="12"/>
      <c r="V154" s="12"/>
      <c r="W154" s="12"/>
      <c r="X154" s="12"/>
      <c r="Y154" s="12"/>
      <c r="Z154" s="12"/>
      <c r="AA154" s="12"/>
      <c r="AB154" s="12"/>
      <c r="AC154" s="12"/>
    </row>
    <row r="155" ht="15.75" customHeight="1">
      <c r="A155" s="12"/>
      <c r="B155" s="12"/>
      <c r="C155" s="12"/>
      <c r="D155" s="12"/>
      <c r="E155" s="12"/>
      <c r="F155" s="12"/>
      <c r="G155" s="12"/>
      <c r="H155" s="12"/>
      <c r="I155" s="12"/>
      <c r="J155" s="12"/>
      <c r="K155" s="12"/>
      <c r="L155" s="12"/>
      <c r="M155" s="12"/>
      <c r="N155" s="12"/>
      <c r="O155" s="12"/>
      <c r="P155" s="12"/>
      <c r="Q155" s="12"/>
      <c r="R155" s="12"/>
      <c r="S155" s="12"/>
      <c r="T155" s="12"/>
      <c r="U155" s="12"/>
      <c r="V155" s="12"/>
      <c r="W155" s="12"/>
      <c r="X155" s="12"/>
      <c r="Y155" s="12"/>
      <c r="Z155" s="12"/>
      <c r="AA155" s="12"/>
      <c r="AB155" s="12"/>
      <c r="AC155" s="12"/>
    </row>
    <row r="156" ht="15.75" customHeight="1">
      <c r="A156" s="12"/>
      <c r="B156" s="12"/>
      <c r="C156" s="12"/>
      <c r="D156" s="12"/>
      <c r="E156" s="12"/>
      <c r="F156" s="12"/>
      <c r="G156" s="12"/>
      <c r="H156" s="12"/>
      <c r="I156" s="12"/>
      <c r="J156" s="12"/>
      <c r="K156" s="12"/>
      <c r="L156" s="12"/>
      <c r="M156" s="12"/>
      <c r="N156" s="12"/>
      <c r="O156" s="12"/>
      <c r="P156" s="12"/>
      <c r="Q156" s="12"/>
      <c r="R156" s="12"/>
      <c r="S156" s="12"/>
      <c r="T156" s="12"/>
      <c r="U156" s="12"/>
      <c r="V156" s="12"/>
      <c r="W156" s="12"/>
      <c r="X156" s="12"/>
      <c r="Y156" s="12"/>
      <c r="Z156" s="12"/>
      <c r="AA156" s="12"/>
      <c r="AB156" s="12"/>
      <c r="AC156" s="12"/>
    </row>
    <row r="157" ht="15.75" customHeight="1">
      <c r="A157" s="12"/>
      <c r="B157" s="12"/>
      <c r="C157" s="12"/>
      <c r="D157" s="12"/>
      <c r="E157" s="12"/>
      <c r="F157" s="12"/>
      <c r="G157" s="12"/>
      <c r="H157" s="12"/>
      <c r="I157" s="12"/>
      <c r="J157" s="12"/>
      <c r="K157" s="12"/>
      <c r="L157" s="12"/>
      <c r="M157" s="12"/>
      <c r="N157" s="12"/>
      <c r="O157" s="12"/>
      <c r="P157" s="12"/>
      <c r="Q157" s="12"/>
      <c r="R157" s="12"/>
      <c r="S157" s="12"/>
      <c r="T157" s="12"/>
      <c r="U157" s="12"/>
      <c r="V157" s="12"/>
      <c r="W157" s="12"/>
      <c r="X157" s="12"/>
      <c r="Y157" s="12"/>
      <c r="Z157" s="12"/>
      <c r="AA157" s="12"/>
      <c r="AB157" s="12"/>
      <c r="AC157" s="12"/>
    </row>
    <row r="158" ht="15.75" customHeight="1">
      <c r="A158" s="12"/>
      <c r="B158" s="12"/>
      <c r="C158" s="12"/>
      <c r="D158" s="12"/>
      <c r="E158" s="12"/>
      <c r="F158" s="12"/>
      <c r="G158" s="12"/>
      <c r="H158" s="12"/>
      <c r="I158" s="12"/>
      <c r="J158" s="12"/>
      <c r="K158" s="12"/>
      <c r="L158" s="12"/>
      <c r="M158" s="12"/>
      <c r="N158" s="12"/>
      <c r="O158" s="12"/>
      <c r="P158" s="12"/>
      <c r="Q158" s="12"/>
      <c r="R158" s="12"/>
      <c r="S158" s="12"/>
      <c r="T158" s="12"/>
      <c r="U158" s="12"/>
      <c r="V158" s="12"/>
      <c r="W158" s="12"/>
      <c r="X158" s="12"/>
      <c r="Y158" s="12"/>
      <c r="Z158" s="12"/>
      <c r="AA158" s="12"/>
      <c r="AB158" s="12"/>
      <c r="AC158" s="12"/>
    </row>
    <row r="159" ht="15.75" customHeight="1">
      <c r="A159" s="12"/>
      <c r="B159" s="12"/>
      <c r="C159" s="12"/>
      <c r="D159" s="12"/>
      <c r="E159" s="12"/>
      <c r="F159" s="12"/>
      <c r="G159" s="12"/>
      <c r="H159" s="12"/>
      <c r="I159" s="12"/>
      <c r="J159" s="12"/>
      <c r="K159" s="12"/>
      <c r="L159" s="12"/>
      <c r="M159" s="12"/>
      <c r="N159" s="12"/>
      <c r="O159" s="12"/>
      <c r="P159" s="12"/>
      <c r="Q159" s="12"/>
      <c r="R159" s="12"/>
      <c r="S159" s="12"/>
      <c r="T159" s="12"/>
      <c r="U159" s="12"/>
      <c r="V159" s="12"/>
      <c r="W159" s="12"/>
      <c r="X159" s="12"/>
      <c r="Y159" s="12"/>
      <c r="Z159" s="12"/>
      <c r="AA159" s="12"/>
      <c r="AB159" s="12"/>
      <c r="AC159" s="12"/>
    </row>
    <row r="160" ht="15.75" customHeight="1">
      <c r="A160" s="12"/>
      <c r="B160" s="12"/>
      <c r="C160" s="12"/>
      <c r="D160" s="12"/>
      <c r="E160" s="12"/>
      <c r="F160" s="12"/>
      <c r="G160" s="12"/>
      <c r="H160" s="12"/>
      <c r="I160" s="12"/>
      <c r="J160" s="12"/>
      <c r="K160" s="12"/>
      <c r="L160" s="12"/>
      <c r="M160" s="12"/>
      <c r="N160" s="12"/>
      <c r="O160" s="12"/>
      <c r="P160" s="12"/>
      <c r="Q160" s="12"/>
      <c r="R160" s="12"/>
      <c r="S160" s="12"/>
      <c r="T160" s="12"/>
      <c r="U160" s="12"/>
      <c r="V160" s="12"/>
      <c r="W160" s="12"/>
      <c r="X160" s="12"/>
      <c r="Y160" s="12"/>
      <c r="Z160" s="12"/>
      <c r="AA160" s="12"/>
      <c r="AB160" s="12"/>
      <c r="AC160" s="12"/>
    </row>
    <row r="161" ht="15.75" customHeight="1">
      <c r="A161" s="12"/>
      <c r="B161" s="12"/>
      <c r="C161" s="12"/>
      <c r="D161" s="12"/>
      <c r="E161" s="12"/>
      <c r="F161" s="12"/>
      <c r="G161" s="12"/>
      <c r="H161" s="12"/>
      <c r="I161" s="12"/>
      <c r="J161" s="12"/>
      <c r="K161" s="12"/>
      <c r="L161" s="12"/>
      <c r="M161" s="12"/>
      <c r="N161" s="12"/>
      <c r="O161" s="12"/>
      <c r="P161" s="12"/>
      <c r="Q161" s="12"/>
      <c r="R161" s="12"/>
      <c r="S161" s="12"/>
      <c r="T161" s="12"/>
      <c r="U161" s="12"/>
      <c r="V161" s="12"/>
      <c r="W161" s="12"/>
      <c r="X161" s="12"/>
      <c r="Y161" s="12"/>
      <c r="Z161" s="12"/>
      <c r="AA161" s="12"/>
      <c r="AB161" s="12"/>
      <c r="AC161" s="12"/>
    </row>
    <row r="162" ht="15.75" customHeight="1">
      <c r="A162" s="12"/>
      <c r="B162" s="12"/>
      <c r="C162" s="12"/>
      <c r="D162" s="12"/>
      <c r="E162" s="12"/>
      <c r="F162" s="12"/>
      <c r="G162" s="12"/>
      <c r="H162" s="12"/>
      <c r="I162" s="12"/>
      <c r="J162" s="12"/>
      <c r="K162" s="12"/>
      <c r="L162" s="12"/>
      <c r="M162" s="12"/>
      <c r="N162" s="12"/>
      <c r="O162" s="12"/>
      <c r="P162" s="12"/>
      <c r="Q162" s="12"/>
      <c r="R162" s="12"/>
      <c r="S162" s="12"/>
      <c r="T162" s="12"/>
      <c r="U162" s="12"/>
      <c r="V162" s="12"/>
      <c r="W162" s="12"/>
      <c r="X162" s="12"/>
      <c r="Y162" s="12"/>
      <c r="Z162" s="12"/>
      <c r="AA162" s="12"/>
      <c r="AB162" s="12"/>
      <c r="AC162" s="12"/>
    </row>
    <row r="163" ht="15.75" customHeight="1">
      <c r="A163" s="12"/>
      <c r="B163" s="12"/>
      <c r="C163" s="12"/>
      <c r="D163" s="12"/>
      <c r="E163" s="12"/>
      <c r="F163" s="12"/>
      <c r="G163" s="12"/>
      <c r="H163" s="12"/>
      <c r="I163" s="12"/>
      <c r="J163" s="12"/>
      <c r="K163" s="12"/>
      <c r="L163" s="12"/>
      <c r="M163" s="12"/>
      <c r="N163" s="12"/>
      <c r="O163" s="12"/>
      <c r="P163" s="12"/>
      <c r="Q163" s="12"/>
      <c r="R163" s="12"/>
      <c r="S163" s="12"/>
      <c r="T163" s="12"/>
      <c r="U163" s="12"/>
      <c r="V163" s="12"/>
      <c r="W163" s="12"/>
      <c r="X163" s="12"/>
      <c r="Y163" s="12"/>
      <c r="Z163" s="12"/>
      <c r="AA163" s="12"/>
      <c r="AB163" s="12"/>
      <c r="AC163" s="12"/>
    </row>
    <row r="164" ht="15.75" customHeight="1">
      <c r="A164" s="12"/>
      <c r="B164" s="12"/>
      <c r="C164" s="12"/>
      <c r="D164" s="12"/>
      <c r="E164" s="12"/>
      <c r="F164" s="12"/>
      <c r="G164" s="12"/>
      <c r="H164" s="12"/>
      <c r="I164" s="12"/>
      <c r="J164" s="12"/>
      <c r="K164" s="12"/>
      <c r="L164" s="12"/>
      <c r="M164" s="12"/>
      <c r="N164" s="12"/>
      <c r="O164" s="12"/>
      <c r="P164" s="12"/>
      <c r="Q164" s="12"/>
      <c r="R164" s="12"/>
      <c r="S164" s="12"/>
      <c r="T164" s="12"/>
      <c r="U164" s="12"/>
      <c r="V164" s="12"/>
      <c r="W164" s="12"/>
      <c r="X164" s="12"/>
      <c r="Y164" s="12"/>
      <c r="Z164" s="12"/>
      <c r="AA164" s="12"/>
      <c r="AB164" s="12"/>
      <c r="AC164" s="12"/>
    </row>
    <row r="165" ht="15.75" customHeight="1">
      <c r="A165" s="12"/>
      <c r="B165" s="12"/>
      <c r="C165" s="12"/>
      <c r="D165" s="12"/>
      <c r="E165" s="12"/>
      <c r="F165" s="12"/>
      <c r="G165" s="12"/>
      <c r="H165" s="12"/>
      <c r="I165" s="12"/>
      <c r="J165" s="12"/>
      <c r="K165" s="12"/>
      <c r="L165" s="12"/>
      <c r="M165" s="12"/>
      <c r="N165" s="12"/>
      <c r="O165" s="12"/>
      <c r="P165" s="12"/>
      <c r="Q165" s="12"/>
      <c r="R165" s="12"/>
      <c r="S165" s="12"/>
      <c r="T165" s="12"/>
      <c r="U165" s="12"/>
      <c r="V165" s="12"/>
      <c r="W165" s="12"/>
      <c r="X165" s="12"/>
      <c r="Y165" s="12"/>
      <c r="Z165" s="12"/>
      <c r="AA165" s="12"/>
      <c r="AB165" s="12"/>
      <c r="AC165" s="12"/>
    </row>
    <row r="166" ht="15.75" customHeight="1">
      <c r="A166" s="12"/>
      <c r="B166" s="12"/>
      <c r="C166" s="12"/>
      <c r="D166" s="12"/>
      <c r="E166" s="12"/>
      <c r="F166" s="12"/>
      <c r="G166" s="12"/>
      <c r="H166" s="12"/>
      <c r="I166" s="12"/>
      <c r="J166" s="12"/>
      <c r="K166" s="12"/>
      <c r="L166" s="12"/>
      <c r="M166" s="12"/>
      <c r="N166" s="12"/>
      <c r="O166" s="12"/>
      <c r="P166" s="12"/>
      <c r="Q166" s="12"/>
      <c r="R166" s="12"/>
      <c r="S166" s="12"/>
      <c r="T166" s="12"/>
      <c r="U166" s="12"/>
      <c r="V166" s="12"/>
      <c r="W166" s="12"/>
      <c r="X166" s="12"/>
      <c r="Y166" s="12"/>
      <c r="Z166" s="12"/>
      <c r="AA166" s="12"/>
      <c r="AB166" s="12"/>
      <c r="AC166" s="12"/>
    </row>
    <row r="167" ht="15.75" customHeight="1">
      <c r="A167" s="12"/>
      <c r="B167" s="12"/>
      <c r="C167" s="12"/>
      <c r="D167" s="12"/>
      <c r="E167" s="12"/>
      <c r="F167" s="12"/>
      <c r="G167" s="12"/>
      <c r="H167" s="12"/>
      <c r="I167" s="12"/>
      <c r="J167" s="12"/>
      <c r="K167" s="12"/>
      <c r="L167" s="12"/>
      <c r="M167" s="12"/>
      <c r="N167" s="12"/>
      <c r="O167" s="12"/>
      <c r="P167" s="12"/>
      <c r="Q167" s="12"/>
      <c r="R167" s="12"/>
      <c r="S167" s="12"/>
      <c r="T167" s="12"/>
      <c r="U167" s="12"/>
      <c r="V167" s="12"/>
      <c r="W167" s="12"/>
      <c r="X167" s="12"/>
      <c r="Y167" s="12"/>
      <c r="Z167" s="12"/>
      <c r="AA167" s="12"/>
      <c r="AB167" s="12"/>
      <c r="AC167" s="12"/>
    </row>
    <row r="168" ht="15.75" customHeight="1">
      <c r="A168" s="12"/>
      <c r="B168" s="12"/>
      <c r="C168" s="12"/>
      <c r="D168" s="12"/>
      <c r="E168" s="12"/>
      <c r="F168" s="12"/>
      <c r="G168" s="12"/>
      <c r="H168" s="12"/>
      <c r="I168" s="12"/>
      <c r="J168" s="12"/>
      <c r="K168" s="12"/>
      <c r="L168" s="12"/>
      <c r="M168" s="12"/>
      <c r="N168" s="12"/>
      <c r="O168" s="12"/>
      <c r="P168" s="12"/>
      <c r="Q168" s="12"/>
      <c r="R168" s="12"/>
      <c r="S168" s="12"/>
      <c r="T168" s="12"/>
      <c r="U168" s="12"/>
      <c r="V168" s="12"/>
      <c r="W168" s="12"/>
      <c r="X168" s="12"/>
      <c r="Y168" s="12"/>
      <c r="Z168" s="12"/>
      <c r="AA168" s="12"/>
      <c r="AB168" s="12"/>
      <c r="AC168" s="12"/>
    </row>
    <row r="169" ht="15.75" customHeight="1">
      <c r="A169" s="12"/>
      <c r="B169" s="12"/>
      <c r="C169" s="12"/>
      <c r="D169" s="12"/>
      <c r="E169" s="12"/>
      <c r="F169" s="12"/>
      <c r="G169" s="12"/>
      <c r="H169" s="12"/>
      <c r="I169" s="12"/>
      <c r="J169" s="12"/>
      <c r="K169" s="12"/>
      <c r="L169" s="12"/>
      <c r="M169" s="12"/>
      <c r="N169" s="12"/>
      <c r="O169" s="12"/>
      <c r="P169" s="12"/>
      <c r="Q169" s="12"/>
      <c r="R169" s="12"/>
      <c r="S169" s="12"/>
      <c r="T169" s="12"/>
      <c r="U169" s="12"/>
      <c r="V169" s="12"/>
      <c r="W169" s="12"/>
      <c r="X169" s="12"/>
      <c r="Y169" s="12"/>
      <c r="Z169" s="12"/>
      <c r="AA169" s="12"/>
      <c r="AB169" s="12"/>
      <c r="AC169" s="12"/>
    </row>
    <row r="170" ht="15.75" customHeight="1">
      <c r="A170" s="12"/>
      <c r="B170" s="12"/>
      <c r="C170" s="12"/>
      <c r="D170" s="12"/>
      <c r="E170" s="12"/>
      <c r="F170" s="12"/>
      <c r="G170" s="12"/>
      <c r="H170" s="12"/>
      <c r="I170" s="12"/>
      <c r="J170" s="12"/>
      <c r="K170" s="12"/>
      <c r="L170" s="12"/>
      <c r="M170" s="12"/>
      <c r="N170" s="12"/>
      <c r="O170" s="12"/>
      <c r="P170" s="12"/>
      <c r="Q170" s="12"/>
      <c r="R170" s="12"/>
      <c r="S170" s="12"/>
      <c r="T170" s="12"/>
      <c r="U170" s="12"/>
      <c r="V170" s="12"/>
      <c r="W170" s="12"/>
      <c r="X170" s="12"/>
      <c r="Y170" s="12"/>
      <c r="Z170" s="12"/>
      <c r="AA170" s="12"/>
      <c r="AB170" s="12"/>
      <c r="AC170" s="12"/>
    </row>
    <row r="171" ht="15.75" customHeight="1">
      <c r="A171" s="12"/>
      <c r="B171" s="12"/>
      <c r="C171" s="12"/>
      <c r="D171" s="12"/>
      <c r="E171" s="12"/>
      <c r="F171" s="12"/>
      <c r="G171" s="12"/>
      <c r="H171" s="12"/>
      <c r="I171" s="12"/>
      <c r="J171" s="12"/>
      <c r="K171" s="12"/>
      <c r="L171" s="12"/>
      <c r="M171" s="12"/>
      <c r="N171" s="12"/>
      <c r="O171" s="12"/>
      <c r="P171" s="12"/>
      <c r="Q171" s="12"/>
      <c r="R171" s="12"/>
      <c r="S171" s="12"/>
      <c r="T171" s="12"/>
      <c r="U171" s="12"/>
      <c r="V171" s="12"/>
      <c r="W171" s="12"/>
      <c r="X171" s="12"/>
      <c r="Y171" s="12"/>
      <c r="Z171" s="12"/>
      <c r="AA171" s="12"/>
      <c r="AB171" s="12"/>
      <c r="AC171" s="12"/>
    </row>
    <row r="172" ht="15.75" customHeight="1">
      <c r="A172" s="12"/>
      <c r="B172" s="12"/>
      <c r="C172" s="12"/>
      <c r="D172" s="12"/>
      <c r="E172" s="12"/>
      <c r="F172" s="12"/>
      <c r="G172" s="12"/>
      <c r="H172" s="12"/>
      <c r="I172" s="12"/>
      <c r="J172" s="12"/>
      <c r="K172" s="12"/>
      <c r="L172" s="12"/>
      <c r="M172" s="12"/>
      <c r="N172" s="12"/>
      <c r="O172" s="12"/>
      <c r="P172" s="12"/>
      <c r="Q172" s="12"/>
      <c r="R172" s="12"/>
      <c r="S172" s="12"/>
      <c r="T172" s="12"/>
      <c r="U172" s="12"/>
      <c r="V172" s="12"/>
      <c r="W172" s="12"/>
      <c r="X172" s="12"/>
      <c r="Y172" s="12"/>
      <c r="Z172" s="12"/>
      <c r="AA172" s="12"/>
      <c r="AB172" s="12"/>
      <c r="AC172" s="12"/>
    </row>
    <row r="173" ht="15.75" customHeight="1">
      <c r="A173" s="12"/>
      <c r="B173" s="12"/>
      <c r="C173" s="12"/>
      <c r="D173" s="12"/>
      <c r="E173" s="12"/>
      <c r="F173" s="12"/>
      <c r="G173" s="12"/>
      <c r="H173" s="12"/>
      <c r="I173" s="12"/>
      <c r="J173" s="12"/>
      <c r="K173" s="12"/>
      <c r="L173" s="12"/>
      <c r="M173" s="12"/>
      <c r="N173" s="12"/>
      <c r="O173" s="12"/>
      <c r="P173" s="12"/>
      <c r="Q173" s="12"/>
      <c r="R173" s="12"/>
      <c r="S173" s="12"/>
      <c r="T173" s="12"/>
      <c r="U173" s="12"/>
      <c r="V173" s="12"/>
      <c r="W173" s="12"/>
      <c r="X173" s="12"/>
      <c r="Y173" s="12"/>
      <c r="Z173" s="12"/>
      <c r="AA173" s="12"/>
      <c r="AB173" s="12"/>
      <c r="AC173" s="12"/>
    </row>
    <row r="174" ht="15.75" customHeight="1">
      <c r="A174" s="12"/>
      <c r="B174" s="12"/>
      <c r="C174" s="12"/>
      <c r="D174" s="12"/>
      <c r="E174" s="12"/>
      <c r="F174" s="12"/>
      <c r="G174" s="12"/>
      <c r="H174" s="12"/>
      <c r="I174" s="12"/>
      <c r="J174" s="12"/>
      <c r="K174" s="12"/>
      <c r="L174" s="12"/>
      <c r="M174" s="12"/>
      <c r="N174" s="12"/>
      <c r="O174" s="12"/>
      <c r="P174" s="12"/>
      <c r="Q174" s="12"/>
      <c r="R174" s="12"/>
      <c r="S174" s="12"/>
      <c r="T174" s="12"/>
      <c r="U174" s="12"/>
      <c r="V174" s="12"/>
      <c r="W174" s="12"/>
      <c r="X174" s="12"/>
      <c r="Y174" s="12"/>
      <c r="Z174" s="12"/>
      <c r="AA174" s="12"/>
      <c r="AB174" s="12"/>
      <c r="AC174" s="12"/>
    </row>
    <row r="175" ht="15.75" customHeight="1">
      <c r="A175" s="12"/>
      <c r="B175" s="12"/>
      <c r="C175" s="12"/>
      <c r="D175" s="12"/>
      <c r="E175" s="12"/>
      <c r="F175" s="12"/>
      <c r="G175" s="12"/>
      <c r="H175" s="12"/>
      <c r="I175" s="12"/>
      <c r="J175" s="12"/>
      <c r="K175" s="12"/>
      <c r="L175" s="12"/>
      <c r="M175" s="12"/>
      <c r="N175" s="12"/>
      <c r="O175" s="12"/>
      <c r="P175" s="12"/>
      <c r="Q175" s="12"/>
      <c r="R175" s="12"/>
      <c r="S175" s="12"/>
      <c r="T175" s="12"/>
      <c r="U175" s="12"/>
      <c r="V175" s="12"/>
      <c r="W175" s="12"/>
      <c r="X175" s="12"/>
      <c r="Y175" s="12"/>
      <c r="Z175" s="12"/>
      <c r="AA175" s="12"/>
      <c r="AB175" s="12"/>
      <c r="AC175" s="12"/>
    </row>
    <row r="176" ht="15.75" customHeight="1">
      <c r="A176" s="12"/>
      <c r="B176" s="12"/>
      <c r="C176" s="12"/>
      <c r="D176" s="12"/>
      <c r="E176" s="12"/>
      <c r="F176" s="12"/>
      <c r="G176" s="12"/>
      <c r="H176" s="12"/>
      <c r="I176" s="12"/>
      <c r="J176" s="12"/>
      <c r="K176" s="12"/>
      <c r="L176" s="12"/>
      <c r="M176" s="12"/>
      <c r="N176" s="12"/>
      <c r="O176" s="12"/>
      <c r="P176" s="12"/>
      <c r="Q176" s="12"/>
      <c r="R176" s="12"/>
      <c r="S176" s="12"/>
      <c r="T176" s="12"/>
      <c r="U176" s="12"/>
      <c r="V176" s="12"/>
      <c r="W176" s="12"/>
      <c r="X176" s="12"/>
      <c r="Y176" s="12"/>
      <c r="Z176" s="12"/>
      <c r="AA176" s="12"/>
      <c r="AB176" s="12"/>
      <c r="AC176" s="12"/>
    </row>
    <row r="177" ht="15.75" customHeight="1">
      <c r="A177" s="12"/>
      <c r="B177" s="12"/>
      <c r="C177" s="12"/>
      <c r="D177" s="12"/>
      <c r="E177" s="12"/>
      <c r="F177" s="12"/>
      <c r="G177" s="12"/>
      <c r="H177" s="12"/>
      <c r="I177" s="12"/>
      <c r="J177" s="12"/>
      <c r="K177" s="12"/>
      <c r="L177" s="12"/>
      <c r="M177" s="12"/>
      <c r="N177" s="12"/>
      <c r="O177" s="12"/>
      <c r="P177" s="12"/>
      <c r="Q177" s="12"/>
      <c r="R177" s="12"/>
      <c r="S177" s="12"/>
      <c r="T177" s="12"/>
      <c r="U177" s="12"/>
      <c r="V177" s="12"/>
      <c r="W177" s="12"/>
      <c r="X177" s="12"/>
      <c r="Y177" s="12"/>
      <c r="Z177" s="12"/>
      <c r="AA177" s="12"/>
      <c r="AB177" s="12"/>
      <c r="AC177" s="12"/>
    </row>
    <row r="178" ht="15.75" customHeight="1">
      <c r="A178" s="12"/>
      <c r="B178" s="12"/>
      <c r="C178" s="12"/>
      <c r="D178" s="12"/>
      <c r="E178" s="12"/>
      <c r="F178" s="12"/>
      <c r="G178" s="12"/>
      <c r="H178" s="12"/>
      <c r="I178" s="12"/>
      <c r="J178" s="12"/>
      <c r="K178" s="12"/>
      <c r="L178" s="12"/>
      <c r="M178" s="12"/>
      <c r="N178" s="12"/>
      <c r="O178" s="12"/>
      <c r="P178" s="12"/>
      <c r="Q178" s="12"/>
      <c r="R178" s="12"/>
      <c r="S178" s="12"/>
      <c r="T178" s="12"/>
      <c r="U178" s="12"/>
      <c r="V178" s="12"/>
      <c r="W178" s="12"/>
      <c r="X178" s="12"/>
      <c r="Y178" s="12"/>
      <c r="Z178" s="12"/>
      <c r="AA178" s="12"/>
      <c r="AB178" s="12"/>
      <c r="AC178" s="12"/>
    </row>
    <row r="179" ht="15.75" customHeight="1">
      <c r="A179" s="12"/>
      <c r="B179" s="12"/>
      <c r="C179" s="12"/>
      <c r="D179" s="12"/>
      <c r="E179" s="12"/>
      <c r="F179" s="12"/>
      <c r="G179" s="12"/>
      <c r="H179" s="12"/>
      <c r="I179" s="12"/>
      <c r="J179" s="12"/>
      <c r="K179" s="12"/>
      <c r="L179" s="12"/>
      <c r="M179" s="12"/>
      <c r="N179" s="12"/>
      <c r="O179" s="12"/>
      <c r="P179" s="12"/>
      <c r="Q179" s="12"/>
      <c r="R179" s="12"/>
      <c r="S179" s="12"/>
      <c r="T179" s="12"/>
      <c r="U179" s="12"/>
      <c r="V179" s="12"/>
      <c r="W179" s="12"/>
      <c r="X179" s="12"/>
      <c r="Y179" s="12"/>
      <c r="Z179" s="12"/>
      <c r="AA179" s="12"/>
      <c r="AB179" s="12"/>
      <c r="AC179" s="12"/>
    </row>
    <row r="180" ht="15.75" customHeight="1">
      <c r="A180" s="12"/>
      <c r="B180" s="12"/>
      <c r="C180" s="12"/>
      <c r="D180" s="12"/>
      <c r="E180" s="12"/>
      <c r="F180" s="12"/>
      <c r="G180" s="12"/>
      <c r="H180" s="12"/>
      <c r="I180" s="12"/>
      <c r="J180" s="12"/>
      <c r="K180" s="12"/>
      <c r="L180" s="12"/>
      <c r="M180" s="12"/>
      <c r="N180" s="12"/>
      <c r="O180" s="12"/>
      <c r="P180" s="12"/>
      <c r="Q180" s="12"/>
      <c r="R180" s="12"/>
      <c r="S180" s="12"/>
      <c r="T180" s="12"/>
      <c r="U180" s="12"/>
      <c r="V180" s="12"/>
      <c r="W180" s="12"/>
      <c r="X180" s="12"/>
      <c r="Y180" s="12"/>
      <c r="Z180" s="12"/>
      <c r="AA180" s="12"/>
      <c r="AB180" s="12"/>
      <c r="AC180" s="12"/>
    </row>
    <row r="181" ht="15.75" customHeight="1">
      <c r="A181" s="12"/>
      <c r="B181" s="12"/>
      <c r="C181" s="12"/>
      <c r="D181" s="12"/>
      <c r="E181" s="12"/>
      <c r="F181" s="12"/>
      <c r="G181" s="12"/>
      <c r="H181" s="12"/>
      <c r="I181" s="12"/>
      <c r="J181" s="12"/>
      <c r="K181" s="12"/>
      <c r="L181" s="12"/>
      <c r="M181" s="12"/>
      <c r="N181" s="12"/>
      <c r="O181" s="12"/>
      <c r="P181" s="12"/>
      <c r="Q181" s="12"/>
      <c r="R181" s="12"/>
      <c r="S181" s="12"/>
      <c r="T181" s="12"/>
      <c r="U181" s="12"/>
      <c r="V181" s="12"/>
      <c r="W181" s="12"/>
      <c r="X181" s="12"/>
      <c r="Y181" s="12"/>
      <c r="Z181" s="12"/>
      <c r="AA181" s="12"/>
      <c r="AB181" s="12"/>
      <c r="AC181" s="12"/>
    </row>
    <row r="182" ht="15.75" customHeight="1">
      <c r="A182" s="12"/>
      <c r="B182" s="12"/>
      <c r="C182" s="12"/>
      <c r="D182" s="12"/>
      <c r="E182" s="12"/>
      <c r="F182" s="12"/>
      <c r="G182" s="12"/>
      <c r="H182" s="12"/>
      <c r="I182" s="12"/>
      <c r="J182" s="12"/>
      <c r="K182" s="12"/>
      <c r="L182" s="12"/>
      <c r="M182" s="12"/>
      <c r="N182" s="12"/>
      <c r="O182" s="12"/>
      <c r="P182" s="12"/>
      <c r="Q182" s="12"/>
      <c r="R182" s="12"/>
      <c r="S182" s="12"/>
      <c r="T182" s="12"/>
      <c r="U182" s="12"/>
      <c r="V182" s="12"/>
      <c r="W182" s="12"/>
      <c r="X182" s="12"/>
      <c r="Y182" s="12"/>
      <c r="Z182" s="12"/>
      <c r="AA182" s="12"/>
      <c r="AB182" s="12"/>
      <c r="AC182" s="12"/>
    </row>
    <row r="183" ht="15.75" customHeight="1">
      <c r="A183" s="12"/>
      <c r="B183" s="12"/>
      <c r="C183" s="12"/>
      <c r="D183" s="12"/>
      <c r="E183" s="12"/>
      <c r="F183" s="12"/>
      <c r="G183" s="12"/>
      <c r="H183" s="12"/>
      <c r="I183" s="12"/>
      <c r="J183" s="12"/>
      <c r="K183" s="12"/>
      <c r="L183" s="12"/>
      <c r="M183" s="12"/>
      <c r="N183" s="12"/>
      <c r="O183" s="12"/>
      <c r="P183" s="12"/>
      <c r="Q183" s="12"/>
      <c r="R183" s="12"/>
      <c r="S183" s="12"/>
      <c r="T183" s="12"/>
      <c r="U183" s="12"/>
      <c r="V183" s="12"/>
      <c r="W183" s="12"/>
      <c r="X183" s="12"/>
      <c r="Y183" s="12"/>
      <c r="Z183" s="12"/>
      <c r="AA183" s="12"/>
      <c r="AB183" s="12"/>
      <c r="AC183" s="12"/>
    </row>
    <row r="184" ht="15.75" customHeight="1">
      <c r="A184" s="12"/>
      <c r="B184" s="12"/>
      <c r="C184" s="12"/>
      <c r="D184" s="12"/>
      <c r="E184" s="12"/>
      <c r="F184" s="12"/>
      <c r="G184" s="12"/>
      <c r="H184" s="12"/>
      <c r="I184" s="12"/>
      <c r="J184" s="12"/>
      <c r="K184" s="12"/>
      <c r="L184" s="12"/>
      <c r="M184" s="12"/>
      <c r="N184" s="12"/>
      <c r="O184" s="12"/>
      <c r="P184" s="12"/>
      <c r="Q184" s="12"/>
      <c r="R184" s="12"/>
      <c r="S184" s="12"/>
      <c r="T184" s="12"/>
      <c r="U184" s="12"/>
      <c r="V184" s="12"/>
      <c r="W184" s="12"/>
      <c r="X184" s="12"/>
      <c r="Y184" s="12"/>
      <c r="Z184" s="12"/>
      <c r="AA184" s="12"/>
      <c r="AB184" s="12"/>
      <c r="AC184" s="12"/>
    </row>
    <row r="185" ht="15.75" customHeight="1">
      <c r="A185" s="12"/>
      <c r="B185" s="12"/>
      <c r="C185" s="12"/>
      <c r="D185" s="12"/>
      <c r="E185" s="12"/>
      <c r="F185" s="12"/>
      <c r="G185" s="12"/>
      <c r="H185" s="12"/>
      <c r="I185" s="12"/>
      <c r="J185" s="12"/>
      <c r="K185" s="12"/>
      <c r="L185" s="12"/>
      <c r="M185" s="12"/>
      <c r="N185" s="12"/>
      <c r="O185" s="12"/>
      <c r="P185" s="12"/>
      <c r="Q185" s="12"/>
      <c r="R185" s="12"/>
      <c r="S185" s="12"/>
      <c r="T185" s="12"/>
      <c r="U185" s="12"/>
      <c r="V185" s="12"/>
      <c r="W185" s="12"/>
      <c r="X185" s="12"/>
      <c r="Y185" s="12"/>
      <c r="Z185" s="12"/>
      <c r="AA185" s="12"/>
      <c r="AB185" s="12"/>
      <c r="AC185" s="12"/>
    </row>
    <row r="186" ht="15.75" customHeight="1">
      <c r="A186" s="12"/>
      <c r="B186" s="12"/>
      <c r="C186" s="12"/>
      <c r="D186" s="12"/>
      <c r="E186" s="12"/>
      <c r="F186" s="12"/>
      <c r="G186" s="12"/>
      <c r="H186" s="12"/>
      <c r="I186" s="12"/>
      <c r="J186" s="12"/>
      <c r="K186" s="12"/>
      <c r="L186" s="12"/>
      <c r="M186" s="12"/>
      <c r="N186" s="12"/>
      <c r="O186" s="12"/>
      <c r="P186" s="12"/>
      <c r="Q186" s="12"/>
      <c r="R186" s="12"/>
      <c r="S186" s="12"/>
      <c r="T186" s="12"/>
      <c r="U186" s="12"/>
      <c r="V186" s="12"/>
      <c r="W186" s="12"/>
      <c r="X186" s="12"/>
      <c r="Y186" s="12"/>
      <c r="Z186" s="12"/>
      <c r="AA186" s="12"/>
      <c r="AB186" s="12"/>
      <c r="AC186" s="12"/>
    </row>
    <row r="187" ht="15.75" customHeight="1">
      <c r="A187" s="12"/>
      <c r="B187" s="12"/>
      <c r="C187" s="12"/>
      <c r="D187" s="12"/>
      <c r="E187" s="12"/>
      <c r="F187" s="12"/>
      <c r="G187" s="12"/>
      <c r="H187" s="12"/>
      <c r="I187" s="12"/>
      <c r="J187" s="12"/>
      <c r="K187" s="12"/>
      <c r="L187" s="12"/>
      <c r="M187" s="12"/>
      <c r="N187" s="12"/>
      <c r="O187" s="12"/>
      <c r="P187" s="12"/>
      <c r="Q187" s="12"/>
      <c r="R187" s="12"/>
      <c r="S187" s="12"/>
      <c r="T187" s="12"/>
      <c r="U187" s="12"/>
      <c r="V187" s="12"/>
      <c r="W187" s="12"/>
      <c r="X187" s="12"/>
      <c r="Y187" s="12"/>
      <c r="Z187" s="12"/>
      <c r="AA187" s="12"/>
      <c r="AB187" s="12"/>
      <c r="AC187" s="12"/>
    </row>
    <row r="188" ht="15.75" customHeight="1">
      <c r="A188" s="12"/>
      <c r="B188" s="12"/>
      <c r="C188" s="12"/>
      <c r="D188" s="12"/>
      <c r="E188" s="12"/>
      <c r="F188" s="12"/>
      <c r="G188" s="12"/>
      <c r="H188" s="12"/>
      <c r="I188" s="12"/>
      <c r="J188" s="12"/>
      <c r="K188" s="12"/>
      <c r="L188" s="12"/>
      <c r="M188" s="12"/>
      <c r="N188" s="12"/>
      <c r="O188" s="12"/>
      <c r="P188" s="12"/>
      <c r="Q188" s="12"/>
      <c r="R188" s="12"/>
      <c r="S188" s="12"/>
      <c r="T188" s="12"/>
      <c r="U188" s="12"/>
      <c r="V188" s="12"/>
      <c r="W188" s="12"/>
      <c r="X188" s="12"/>
      <c r="Y188" s="12"/>
      <c r="Z188" s="12"/>
      <c r="AA188" s="12"/>
      <c r="AB188" s="12"/>
      <c r="AC188" s="12"/>
    </row>
    <row r="189" ht="15.75" customHeight="1">
      <c r="A189" s="12"/>
      <c r="B189" s="12"/>
      <c r="C189" s="12"/>
      <c r="D189" s="12"/>
      <c r="E189" s="12"/>
      <c r="F189" s="12"/>
      <c r="G189" s="12"/>
      <c r="H189" s="12"/>
      <c r="I189" s="12"/>
      <c r="J189" s="12"/>
      <c r="K189" s="12"/>
      <c r="L189" s="12"/>
      <c r="M189" s="12"/>
      <c r="N189" s="12"/>
      <c r="O189" s="12"/>
      <c r="P189" s="12"/>
      <c r="Q189" s="12"/>
      <c r="R189" s="12"/>
      <c r="S189" s="12"/>
      <c r="T189" s="12"/>
      <c r="U189" s="12"/>
      <c r="V189" s="12"/>
      <c r="W189" s="12"/>
      <c r="X189" s="12"/>
      <c r="Y189" s="12"/>
      <c r="Z189" s="12"/>
      <c r="AA189" s="12"/>
      <c r="AB189" s="12"/>
      <c r="AC189" s="12"/>
    </row>
    <row r="190" ht="15.75" customHeight="1">
      <c r="A190" s="12"/>
      <c r="B190" s="12"/>
      <c r="C190" s="12"/>
      <c r="D190" s="12"/>
      <c r="E190" s="12"/>
      <c r="F190" s="12"/>
      <c r="G190" s="12"/>
      <c r="H190" s="12"/>
      <c r="I190" s="12"/>
      <c r="J190" s="12"/>
      <c r="K190" s="12"/>
      <c r="L190" s="12"/>
      <c r="M190" s="12"/>
      <c r="N190" s="12"/>
      <c r="O190" s="12"/>
      <c r="P190" s="12"/>
      <c r="Q190" s="12"/>
      <c r="R190" s="12"/>
      <c r="S190" s="12"/>
      <c r="T190" s="12"/>
      <c r="U190" s="12"/>
      <c r="V190" s="12"/>
      <c r="W190" s="12"/>
      <c r="X190" s="12"/>
      <c r="Y190" s="12"/>
      <c r="Z190" s="12"/>
      <c r="AA190" s="12"/>
      <c r="AB190" s="12"/>
      <c r="AC190" s="12"/>
    </row>
    <row r="191" ht="15.75" customHeight="1">
      <c r="A191" s="12"/>
      <c r="B191" s="12"/>
      <c r="C191" s="12"/>
      <c r="D191" s="12"/>
      <c r="E191" s="12"/>
      <c r="F191" s="12"/>
      <c r="G191" s="12"/>
      <c r="H191" s="12"/>
      <c r="I191" s="12"/>
      <c r="J191" s="12"/>
      <c r="K191" s="12"/>
      <c r="L191" s="12"/>
      <c r="M191" s="12"/>
      <c r="N191" s="12"/>
      <c r="O191" s="12"/>
      <c r="P191" s="12"/>
      <c r="Q191" s="12"/>
      <c r="R191" s="12"/>
      <c r="S191" s="12"/>
      <c r="T191" s="12"/>
      <c r="U191" s="12"/>
      <c r="V191" s="12"/>
      <c r="W191" s="12"/>
      <c r="X191" s="12"/>
      <c r="Y191" s="12"/>
      <c r="Z191" s="12"/>
      <c r="AA191" s="12"/>
      <c r="AB191" s="12"/>
      <c r="AC191" s="12"/>
    </row>
    <row r="192" ht="15.75" customHeight="1">
      <c r="A192" s="12"/>
      <c r="B192" s="12"/>
      <c r="C192" s="12"/>
      <c r="D192" s="12"/>
      <c r="E192" s="12"/>
      <c r="F192" s="12"/>
      <c r="G192" s="12"/>
      <c r="H192" s="12"/>
      <c r="I192" s="12"/>
      <c r="J192" s="12"/>
      <c r="K192" s="12"/>
      <c r="L192" s="12"/>
      <c r="M192" s="12"/>
      <c r="N192" s="12"/>
      <c r="O192" s="12"/>
      <c r="P192" s="12"/>
      <c r="Q192" s="12"/>
      <c r="R192" s="12"/>
      <c r="S192" s="12"/>
      <c r="T192" s="12"/>
      <c r="U192" s="12"/>
      <c r="V192" s="12"/>
      <c r="W192" s="12"/>
      <c r="X192" s="12"/>
      <c r="Y192" s="12"/>
      <c r="Z192" s="12"/>
      <c r="AA192" s="12"/>
      <c r="AB192" s="12"/>
      <c r="AC192" s="12"/>
    </row>
    <row r="193" ht="15.75" customHeight="1">
      <c r="A193" s="12"/>
      <c r="B193" s="12"/>
      <c r="C193" s="12"/>
      <c r="D193" s="12"/>
      <c r="E193" s="12"/>
      <c r="F193" s="12"/>
      <c r="G193" s="12"/>
      <c r="H193" s="12"/>
      <c r="I193" s="12"/>
      <c r="J193" s="12"/>
      <c r="K193" s="12"/>
      <c r="L193" s="12"/>
      <c r="M193" s="12"/>
      <c r="N193" s="12"/>
      <c r="O193" s="12"/>
      <c r="P193" s="12"/>
      <c r="Q193" s="12"/>
      <c r="R193" s="12"/>
      <c r="S193" s="12"/>
      <c r="T193" s="12"/>
      <c r="U193" s="12"/>
      <c r="V193" s="12"/>
      <c r="W193" s="12"/>
      <c r="X193" s="12"/>
      <c r="Y193" s="12"/>
      <c r="Z193" s="12"/>
      <c r="AA193" s="12"/>
      <c r="AB193" s="12"/>
      <c r="AC193" s="12"/>
    </row>
    <row r="194" ht="15.75" customHeight="1">
      <c r="A194" s="12"/>
      <c r="B194" s="12"/>
      <c r="C194" s="12"/>
      <c r="D194" s="12"/>
      <c r="E194" s="12"/>
      <c r="F194" s="12"/>
      <c r="G194" s="12"/>
      <c r="H194" s="12"/>
      <c r="I194" s="12"/>
      <c r="J194" s="12"/>
      <c r="K194" s="12"/>
      <c r="L194" s="12"/>
      <c r="M194" s="12"/>
      <c r="N194" s="12"/>
      <c r="O194" s="12"/>
      <c r="P194" s="12"/>
      <c r="Q194" s="12"/>
      <c r="R194" s="12"/>
      <c r="S194" s="12"/>
      <c r="T194" s="12"/>
      <c r="U194" s="12"/>
      <c r="V194" s="12"/>
      <c r="W194" s="12"/>
      <c r="X194" s="12"/>
      <c r="Y194" s="12"/>
      <c r="Z194" s="12"/>
      <c r="AA194" s="12"/>
      <c r="AB194" s="12"/>
      <c r="AC194" s="12"/>
    </row>
    <row r="195" ht="15.75" customHeight="1">
      <c r="A195" s="12"/>
      <c r="B195" s="12"/>
      <c r="C195" s="12"/>
      <c r="D195" s="12"/>
      <c r="E195" s="12"/>
      <c r="F195" s="12"/>
      <c r="G195" s="12"/>
      <c r="H195" s="12"/>
      <c r="I195" s="12"/>
      <c r="J195" s="12"/>
      <c r="K195" s="12"/>
      <c r="L195" s="12"/>
      <c r="M195" s="12"/>
      <c r="N195" s="12"/>
      <c r="O195" s="12"/>
      <c r="P195" s="12"/>
      <c r="Q195" s="12"/>
      <c r="R195" s="12"/>
      <c r="S195" s="12"/>
      <c r="T195" s="12"/>
      <c r="U195" s="12"/>
      <c r="V195" s="12"/>
      <c r="W195" s="12"/>
      <c r="X195" s="12"/>
      <c r="Y195" s="12"/>
      <c r="Z195" s="12"/>
      <c r="AA195" s="12"/>
      <c r="AB195" s="12"/>
      <c r="AC195" s="12"/>
    </row>
    <row r="196" ht="15.75" customHeight="1">
      <c r="A196" s="12"/>
      <c r="B196" s="12"/>
      <c r="C196" s="12"/>
      <c r="D196" s="12"/>
      <c r="E196" s="12"/>
      <c r="F196" s="12"/>
      <c r="G196" s="12"/>
      <c r="H196" s="12"/>
      <c r="I196" s="12"/>
      <c r="J196" s="12"/>
      <c r="K196" s="12"/>
      <c r="L196" s="12"/>
      <c r="M196" s="12"/>
      <c r="N196" s="12"/>
      <c r="O196" s="12"/>
      <c r="P196" s="12"/>
      <c r="Q196" s="12"/>
      <c r="R196" s="12"/>
      <c r="S196" s="12"/>
      <c r="T196" s="12"/>
      <c r="U196" s="12"/>
      <c r="V196" s="12"/>
      <c r="W196" s="12"/>
      <c r="X196" s="12"/>
      <c r="Y196" s="12"/>
      <c r="Z196" s="12"/>
      <c r="AA196" s="12"/>
      <c r="AB196" s="12"/>
      <c r="AC196" s="12"/>
    </row>
    <row r="197" ht="15.75" customHeight="1">
      <c r="A197" s="12"/>
      <c r="B197" s="12"/>
      <c r="C197" s="12"/>
      <c r="D197" s="12"/>
      <c r="E197" s="12"/>
      <c r="F197" s="12"/>
      <c r="G197" s="12"/>
      <c r="H197" s="12"/>
      <c r="I197" s="12"/>
      <c r="J197" s="12"/>
      <c r="K197" s="12"/>
      <c r="L197" s="12"/>
      <c r="M197" s="12"/>
      <c r="N197" s="12"/>
      <c r="O197" s="12"/>
      <c r="P197" s="12"/>
      <c r="Q197" s="12"/>
      <c r="R197" s="12"/>
      <c r="S197" s="12"/>
      <c r="T197" s="12"/>
      <c r="U197" s="12"/>
      <c r="V197" s="12"/>
      <c r="W197" s="12"/>
      <c r="X197" s="12"/>
      <c r="Y197" s="12"/>
      <c r="Z197" s="12"/>
      <c r="AA197" s="12"/>
      <c r="AB197" s="12"/>
      <c r="AC197" s="12"/>
    </row>
    <row r="198" ht="15.75" customHeight="1">
      <c r="A198" s="12"/>
      <c r="B198" s="12"/>
      <c r="C198" s="12"/>
      <c r="D198" s="12"/>
      <c r="E198" s="12"/>
      <c r="F198" s="12"/>
      <c r="G198" s="12"/>
      <c r="H198" s="12"/>
      <c r="I198" s="12"/>
      <c r="J198" s="12"/>
      <c r="K198" s="12"/>
      <c r="L198" s="12"/>
      <c r="M198" s="12"/>
      <c r="N198" s="12"/>
      <c r="O198" s="12"/>
      <c r="P198" s="12"/>
      <c r="Q198" s="12"/>
      <c r="R198" s="12"/>
      <c r="S198" s="12"/>
      <c r="T198" s="12"/>
      <c r="U198" s="12"/>
      <c r="V198" s="12"/>
      <c r="W198" s="12"/>
      <c r="X198" s="12"/>
      <c r="Y198" s="12"/>
      <c r="Z198" s="12"/>
      <c r="AA198" s="12"/>
      <c r="AB198" s="12"/>
      <c r="AC198" s="12"/>
    </row>
    <row r="199" ht="15.75" customHeight="1">
      <c r="A199" s="12"/>
      <c r="B199" s="12"/>
      <c r="C199" s="12"/>
      <c r="D199" s="12"/>
      <c r="E199" s="12"/>
      <c r="F199" s="12"/>
      <c r="G199" s="12"/>
      <c r="H199" s="12"/>
      <c r="I199" s="12"/>
      <c r="J199" s="12"/>
      <c r="K199" s="12"/>
      <c r="L199" s="12"/>
      <c r="M199" s="12"/>
      <c r="N199" s="12"/>
      <c r="O199" s="12"/>
      <c r="P199" s="12"/>
      <c r="Q199" s="12"/>
      <c r="R199" s="12"/>
      <c r="S199" s="12"/>
      <c r="T199" s="12"/>
      <c r="U199" s="12"/>
      <c r="V199" s="12"/>
      <c r="W199" s="12"/>
      <c r="X199" s="12"/>
      <c r="Y199" s="12"/>
      <c r="Z199" s="12"/>
      <c r="AA199" s="12"/>
      <c r="AB199" s="12"/>
      <c r="AC199" s="12"/>
    </row>
    <row r="200" ht="15.75" customHeight="1">
      <c r="A200" s="12"/>
      <c r="B200" s="12"/>
      <c r="C200" s="12"/>
      <c r="D200" s="12"/>
      <c r="E200" s="12"/>
      <c r="F200" s="12"/>
      <c r="G200" s="12"/>
      <c r="H200" s="12"/>
      <c r="I200" s="12"/>
      <c r="J200" s="12"/>
      <c r="K200" s="12"/>
      <c r="L200" s="12"/>
      <c r="M200" s="12"/>
      <c r="N200" s="12"/>
      <c r="O200" s="12"/>
      <c r="P200" s="12"/>
      <c r="Q200" s="12"/>
      <c r="R200" s="12"/>
      <c r="S200" s="12"/>
      <c r="T200" s="12"/>
      <c r="U200" s="12"/>
      <c r="V200" s="12"/>
      <c r="W200" s="12"/>
      <c r="X200" s="12"/>
      <c r="Y200" s="12"/>
      <c r="Z200" s="12"/>
      <c r="AA200" s="12"/>
      <c r="AB200" s="12"/>
      <c r="AC200" s="12"/>
    </row>
    <row r="201" ht="15.75" customHeight="1">
      <c r="A201" s="12"/>
      <c r="B201" s="12"/>
      <c r="C201" s="12"/>
      <c r="D201" s="12"/>
      <c r="E201" s="12"/>
      <c r="F201" s="12"/>
      <c r="G201" s="12"/>
      <c r="H201" s="12"/>
      <c r="I201" s="12"/>
      <c r="J201" s="12"/>
      <c r="K201" s="12"/>
      <c r="L201" s="12"/>
      <c r="M201" s="12"/>
      <c r="N201" s="12"/>
      <c r="O201" s="12"/>
      <c r="P201" s="12"/>
      <c r="Q201" s="12"/>
      <c r="R201" s="12"/>
      <c r="S201" s="12"/>
      <c r="T201" s="12"/>
      <c r="U201" s="12"/>
      <c r="V201" s="12"/>
      <c r="W201" s="12"/>
      <c r="X201" s="12"/>
      <c r="Y201" s="12"/>
      <c r="Z201" s="12"/>
      <c r="AA201" s="12"/>
      <c r="AB201" s="12"/>
      <c r="AC201" s="12"/>
    </row>
    <row r="202" ht="15.75" customHeight="1">
      <c r="A202" s="12"/>
      <c r="B202" s="12"/>
      <c r="C202" s="12"/>
      <c r="D202" s="12"/>
      <c r="E202" s="12"/>
      <c r="F202" s="12"/>
      <c r="G202" s="12"/>
      <c r="H202" s="12"/>
      <c r="I202" s="12"/>
      <c r="J202" s="12"/>
      <c r="K202" s="12"/>
      <c r="L202" s="12"/>
      <c r="M202" s="12"/>
      <c r="N202" s="12"/>
      <c r="O202" s="12"/>
      <c r="P202" s="12"/>
      <c r="Q202" s="12"/>
      <c r="R202" s="12"/>
      <c r="S202" s="12"/>
      <c r="T202" s="12"/>
      <c r="U202" s="12"/>
      <c r="V202" s="12"/>
      <c r="W202" s="12"/>
      <c r="X202" s="12"/>
      <c r="Y202" s="12"/>
      <c r="Z202" s="12"/>
      <c r="AA202" s="12"/>
      <c r="AB202" s="12"/>
      <c r="AC202" s="12"/>
    </row>
    <row r="203" ht="15.75" customHeight="1">
      <c r="A203" s="12"/>
      <c r="B203" s="12"/>
      <c r="C203" s="12"/>
      <c r="D203" s="12"/>
      <c r="E203" s="12"/>
      <c r="F203" s="12"/>
      <c r="G203" s="12"/>
      <c r="H203" s="12"/>
      <c r="I203" s="12"/>
      <c r="J203" s="12"/>
      <c r="K203" s="12"/>
      <c r="L203" s="12"/>
      <c r="M203" s="12"/>
      <c r="N203" s="12"/>
      <c r="O203" s="12"/>
      <c r="P203" s="12"/>
      <c r="Q203" s="12"/>
      <c r="R203" s="12"/>
      <c r="S203" s="12"/>
      <c r="T203" s="12"/>
      <c r="U203" s="12"/>
      <c r="V203" s="12"/>
      <c r="W203" s="12"/>
      <c r="X203" s="12"/>
      <c r="Y203" s="12"/>
      <c r="Z203" s="12"/>
      <c r="AA203" s="12"/>
      <c r="AB203" s="12"/>
      <c r="AC203" s="12"/>
    </row>
    <row r="204" ht="15.75" customHeight="1">
      <c r="A204" s="12"/>
      <c r="B204" s="12"/>
      <c r="C204" s="12"/>
      <c r="D204" s="12"/>
      <c r="E204" s="12"/>
      <c r="F204" s="12"/>
      <c r="G204" s="12"/>
      <c r="H204" s="12"/>
      <c r="I204" s="12"/>
      <c r="J204" s="12"/>
      <c r="K204" s="12"/>
      <c r="L204" s="12"/>
      <c r="M204" s="12"/>
      <c r="N204" s="12"/>
      <c r="O204" s="12"/>
      <c r="P204" s="12"/>
      <c r="Q204" s="12"/>
      <c r="R204" s="12"/>
      <c r="S204" s="12"/>
      <c r="T204" s="12"/>
      <c r="U204" s="12"/>
      <c r="V204" s="12"/>
      <c r="W204" s="12"/>
      <c r="X204" s="12"/>
      <c r="Y204" s="12"/>
      <c r="Z204" s="12"/>
      <c r="AA204" s="12"/>
      <c r="AB204" s="12"/>
      <c r="AC204" s="12"/>
    </row>
    <row r="205" ht="15.75" customHeight="1">
      <c r="A205" s="12"/>
      <c r="B205" s="12"/>
      <c r="C205" s="12"/>
      <c r="D205" s="12"/>
      <c r="E205" s="12"/>
      <c r="F205" s="12"/>
      <c r="G205" s="12"/>
      <c r="H205" s="12"/>
      <c r="I205" s="12"/>
      <c r="J205" s="12"/>
      <c r="K205" s="12"/>
      <c r="L205" s="12"/>
      <c r="M205" s="12"/>
      <c r="N205" s="12"/>
      <c r="O205" s="12"/>
      <c r="P205" s="12"/>
      <c r="Q205" s="12"/>
      <c r="R205" s="12"/>
      <c r="S205" s="12"/>
      <c r="T205" s="12"/>
      <c r="U205" s="12"/>
      <c r="V205" s="12"/>
      <c r="W205" s="12"/>
      <c r="X205" s="12"/>
      <c r="Y205" s="12"/>
      <c r="Z205" s="12"/>
      <c r="AA205" s="12"/>
      <c r="AB205" s="12"/>
      <c r="AC205" s="12"/>
    </row>
    <row r="206" ht="15.75" customHeight="1">
      <c r="A206" s="12"/>
      <c r="B206" s="12"/>
      <c r="C206" s="12"/>
      <c r="D206" s="12"/>
      <c r="E206" s="12"/>
      <c r="F206" s="12"/>
      <c r="G206" s="12"/>
      <c r="H206" s="12"/>
      <c r="I206" s="12"/>
      <c r="J206" s="12"/>
      <c r="K206" s="12"/>
      <c r="L206" s="12"/>
      <c r="M206" s="12"/>
      <c r="N206" s="12"/>
      <c r="O206" s="12"/>
      <c r="P206" s="12"/>
      <c r="Q206" s="12"/>
      <c r="R206" s="12"/>
      <c r="S206" s="12"/>
      <c r="T206" s="12"/>
      <c r="U206" s="12"/>
      <c r="V206" s="12"/>
      <c r="W206" s="12"/>
      <c r="X206" s="12"/>
      <c r="Y206" s="12"/>
      <c r="Z206" s="12"/>
      <c r="AA206" s="12"/>
      <c r="AB206" s="12"/>
      <c r="AC206" s="12"/>
    </row>
    <row r="207" ht="15.75" customHeight="1">
      <c r="A207" s="12"/>
      <c r="B207" s="12"/>
      <c r="C207" s="12"/>
      <c r="D207" s="12"/>
      <c r="E207" s="12"/>
      <c r="F207" s="12"/>
      <c r="G207" s="12"/>
      <c r="H207" s="12"/>
      <c r="I207" s="12"/>
      <c r="J207" s="12"/>
      <c r="K207" s="12"/>
      <c r="L207" s="12"/>
      <c r="M207" s="12"/>
      <c r="N207" s="12"/>
      <c r="O207" s="12"/>
      <c r="P207" s="12"/>
      <c r="Q207" s="12"/>
      <c r="R207" s="12"/>
      <c r="S207" s="12"/>
      <c r="T207" s="12"/>
      <c r="U207" s="12"/>
      <c r="V207" s="12"/>
      <c r="W207" s="12"/>
      <c r="X207" s="12"/>
      <c r="Y207" s="12"/>
      <c r="Z207" s="12"/>
      <c r="AA207" s="12"/>
      <c r="AB207" s="12"/>
      <c r="AC207" s="12"/>
    </row>
    <row r="208" ht="15.75" customHeight="1">
      <c r="A208" s="12"/>
      <c r="B208" s="12"/>
      <c r="C208" s="12"/>
      <c r="D208" s="12"/>
      <c r="E208" s="12"/>
      <c r="F208" s="12"/>
      <c r="G208" s="12"/>
      <c r="H208" s="12"/>
      <c r="I208" s="12"/>
      <c r="J208" s="12"/>
      <c r="K208" s="12"/>
      <c r="L208" s="12"/>
      <c r="M208" s="12"/>
      <c r="N208" s="12"/>
      <c r="O208" s="12"/>
      <c r="P208" s="12"/>
      <c r="Q208" s="12"/>
      <c r="R208" s="12"/>
      <c r="S208" s="12"/>
      <c r="T208" s="12"/>
      <c r="U208" s="12"/>
      <c r="V208" s="12"/>
      <c r="W208" s="12"/>
      <c r="X208" s="12"/>
      <c r="Y208" s="12"/>
      <c r="Z208" s="12"/>
      <c r="AA208" s="12"/>
      <c r="AB208" s="12"/>
      <c r="AC208" s="12"/>
    </row>
    <row r="209" ht="15.75" customHeight="1">
      <c r="A209" s="12"/>
      <c r="B209" s="12"/>
      <c r="C209" s="12"/>
      <c r="D209" s="12"/>
      <c r="E209" s="12"/>
      <c r="F209" s="12"/>
      <c r="G209" s="12"/>
      <c r="H209" s="12"/>
      <c r="I209" s="12"/>
      <c r="J209" s="12"/>
      <c r="K209" s="12"/>
      <c r="L209" s="12"/>
      <c r="M209" s="12"/>
      <c r="N209" s="12"/>
      <c r="O209" s="12"/>
      <c r="P209" s="12"/>
      <c r="Q209" s="12"/>
      <c r="R209" s="12"/>
      <c r="S209" s="12"/>
      <c r="T209" s="12"/>
      <c r="U209" s="12"/>
      <c r="V209" s="12"/>
      <c r="W209" s="12"/>
      <c r="X209" s="12"/>
      <c r="Y209" s="12"/>
      <c r="Z209" s="12"/>
      <c r="AA209" s="12"/>
      <c r="AB209" s="12"/>
      <c r="AC209" s="12"/>
    </row>
    <row r="210" ht="15.75" customHeight="1">
      <c r="A210" s="12"/>
      <c r="B210" s="12"/>
      <c r="C210" s="12"/>
      <c r="D210" s="12"/>
      <c r="E210" s="12"/>
      <c r="F210" s="12"/>
      <c r="G210" s="12"/>
      <c r="H210" s="12"/>
      <c r="I210" s="12"/>
      <c r="J210" s="12"/>
      <c r="K210" s="12"/>
      <c r="L210" s="12"/>
      <c r="M210" s="12"/>
      <c r="N210" s="12"/>
      <c r="O210" s="12"/>
      <c r="P210" s="12"/>
      <c r="Q210" s="12"/>
      <c r="R210" s="12"/>
      <c r="S210" s="12"/>
      <c r="T210" s="12"/>
      <c r="U210" s="12"/>
      <c r="V210" s="12"/>
      <c r="W210" s="12"/>
      <c r="X210" s="12"/>
      <c r="Y210" s="12"/>
      <c r="Z210" s="12"/>
      <c r="AA210" s="12"/>
      <c r="AB210" s="12"/>
      <c r="AC210" s="12"/>
    </row>
    <row r="211" ht="15.75" customHeight="1">
      <c r="A211" s="12"/>
      <c r="B211" s="12"/>
      <c r="C211" s="12"/>
      <c r="D211" s="12"/>
      <c r="E211" s="12"/>
      <c r="F211" s="12"/>
      <c r="G211" s="12"/>
      <c r="H211" s="12"/>
      <c r="I211" s="12"/>
      <c r="J211" s="12"/>
      <c r="K211" s="12"/>
      <c r="L211" s="12"/>
      <c r="M211" s="12"/>
      <c r="N211" s="12"/>
      <c r="O211" s="12"/>
      <c r="P211" s="12"/>
      <c r="Q211" s="12"/>
      <c r="R211" s="12"/>
      <c r="S211" s="12"/>
      <c r="T211" s="12"/>
      <c r="U211" s="12"/>
      <c r="V211" s="12"/>
      <c r="W211" s="12"/>
      <c r="X211" s="12"/>
      <c r="Y211" s="12"/>
      <c r="Z211" s="12"/>
      <c r="AA211" s="12"/>
      <c r="AB211" s="12"/>
      <c r="AC211" s="12"/>
    </row>
    <row r="212" ht="15.75" customHeight="1">
      <c r="A212" s="12"/>
      <c r="B212" s="12"/>
      <c r="C212" s="12"/>
      <c r="D212" s="12"/>
      <c r="E212" s="12"/>
      <c r="F212" s="12"/>
      <c r="G212" s="12"/>
      <c r="H212" s="12"/>
      <c r="I212" s="12"/>
      <c r="J212" s="12"/>
      <c r="K212" s="12"/>
      <c r="L212" s="12"/>
      <c r="M212" s="12"/>
      <c r="N212" s="12"/>
      <c r="O212" s="12"/>
      <c r="P212" s="12"/>
      <c r="Q212" s="12"/>
      <c r="R212" s="12"/>
      <c r="S212" s="12"/>
      <c r="T212" s="12"/>
      <c r="U212" s="12"/>
      <c r="V212" s="12"/>
      <c r="W212" s="12"/>
      <c r="X212" s="12"/>
      <c r="Y212" s="12"/>
      <c r="Z212" s="12"/>
      <c r="AA212" s="12"/>
      <c r="AB212" s="12"/>
      <c r="AC212" s="12"/>
    </row>
    <row r="213" ht="15.75" customHeight="1">
      <c r="A213" s="12"/>
      <c r="B213" s="12"/>
      <c r="C213" s="12"/>
      <c r="D213" s="12"/>
      <c r="E213" s="12"/>
      <c r="F213" s="12"/>
      <c r="G213" s="12"/>
      <c r="H213" s="12"/>
      <c r="I213" s="12"/>
      <c r="J213" s="12"/>
      <c r="K213" s="12"/>
      <c r="L213" s="12"/>
      <c r="M213" s="12"/>
      <c r="N213" s="12"/>
      <c r="O213" s="12"/>
      <c r="P213" s="12"/>
      <c r="Q213" s="12"/>
      <c r="R213" s="12"/>
      <c r="S213" s="12"/>
      <c r="T213" s="12"/>
      <c r="U213" s="12"/>
      <c r="V213" s="12"/>
      <c r="W213" s="12"/>
      <c r="X213" s="12"/>
      <c r="Y213" s="12"/>
      <c r="Z213" s="12"/>
      <c r="AA213" s="12"/>
      <c r="AB213" s="12"/>
      <c r="AC213" s="12"/>
    </row>
    <row r="214" ht="15.75" customHeight="1">
      <c r="A214" s="12"/>
      <c r="B214" s="12"/>
      <c r="C214" s="12"/>
      <c r="D214" s="12"/>
      <c r="E214" s="12"/>
      <c r="F214" s="12"/>
      <c r="G214" s="12"/>
      <c r="H214" s="12"/>
      <c r="I214" s="12"/>
      <c r="J214" s="12"/>
      <c r="K214" s="12"/>
      <c r="L214" s="12"/>
      <c r="M214" s="12"/>
      <c r="N214" s="12"/>
      <c r="O214" s="12"/>
      <c r="P214" s="12"/>
      <c r="Q214" s="12"/>
      <c r="R214" s="12"/>
      <c r="S214" s="12"/>
      <c r="T214" s="12"/>
      <c r="U214" s="12"/>
      <c r="V214" s="12"/>
      <c r="W214" s="12"/>
      <c r="X214" s="12"/>
      <c r="Y214" s="12"/>
      <c r="Z214" s="12"/>
      <c r="AA214" s="12"/>
      <c r="AB214" s="12"/>
      <c r="AC214" s="12"/>
    </row>
    <row r="215" ht="15.75" customHeight="1">
      <c r="A215" s="12"/>
      <c r="B215" s="12"/>
      <c r="C215" s="12"/>
      <c r="D215" s="12"/>
      <c r="E215" s="12"/>
      <c r="F215" s="12"/>
      <c r="G215" s="12"/>
      <c r="H215" s="12"/>
      <c r="I215" s="12"/>
      <c r="J215" s="12"/>
      <c r="K215" s="12"/>
      <c r="L215" s="12"/>
      <c r="M215" s="12"/>
      <c r="N215" s="12"/>
      <c r="O215" s="12"/>
      <c r="P215" s="12"/>
      <c r="Q215" s="12"/>
      <c r="R215" s="12"/>
      <c r="S215" s="12"/>
      <c r="T215" s="12"/>
      <c r="U215" s="12"/>
      <c r="V215" s="12"/>
      <c r="W215" s="12"/>
      <c r="X215" s="12"/>
      <c r="Y215" s="12"/>
      <c r="Z215" s="12"/>
      <c r="AA215" s="12"/>
      <c r="AB215" s="12"/>
      <c r="AC215" s="12"/>
    </row>
    <row r="216" ht="15.75" customHeight="1">
      <c r="A216" s="12"/>
      <c r="B216" s="12"/>
      <c r="C216" s="12"/>
      <c r="D216" s="12"/>
      <c r="E216" s="12"/>
      <c r="F216" s="12"/>
      <c r="G216" s="12"/>
      <c r="H216" s="12"/>
      <c r="I216" s="12"/>
      <c r="J216" s="12"/>
      <c r="K216" s="12"/>
      <c r="L216" s="12"/>
      <c r="M216" s="12"/>
      <c r="N216" s="12"/>
      <c r="O216" s="12"/>
      <c r="P216" s="12"/>
      <c r="Q216" s="12"/>
      <c r="R216" s="12"/>
      <c r="S216" s="12"/>
      <c r="T216" s="12"/>
      <c r="U216" s="12"/>
      <c r="V216" s="12"/>
      <c r="W216" s="12"/>
      <c r="X216" s="12"/>
      <c r="Y216" s="12"/>
      <c r="Z216" s="12"/>
      <c r="AA216" s="12"/>
      <c r="AB216" s="12"/>
      <c r="AC216" s="12"/>
    </row>
    <row r="217" ht="15.75" customHeight="1">
      <c r="A217" s="12"/>
      <c r="B217" s="12"/>
      <c r="C217" s="12"/>
      <c r="D217" s="12"/>
      <c r="E217" s="12"/>
      <c r="F217" s="12"/>
      <c r="G217" s="12"/>
      <c r="H217" s="12"/>
      <c r="I217" s="12"/>
      <c r="J217" s="12"/>
      <c r="K217" s="12"/>
      <c r="L217" s="12"/>
      <c r="M217" s="12"/>
      <c r="N217" s="12"/>
      <c r="O217" s="12"/>
      <c r="P217" s="12"/>
      <c r="Q217" s="12"/>
      <c r="R217" s="12"/>
      <c r="S217" s="12"/>
      <c r="T217" s="12"/>
      <c r="U217" s="12"/>
      <c r="V217" s="12"/>
      <c r="W217" s="12"/>
      <c r="X217" s="12"/>
      <c r="Y217" s="12"/>
      <c r="Z217" s="12"/>
      <c r="AA217" s="12"/>
      <c r="AB217" s="12"/>
      <c r="AC217" s="12"/>
    </row>
    <row r="218" ht="15.75" customHeight="1">
      <c r="A218" s="12"/>
      <c r="B218" s="12"/>
      <c r="C218" s="12"/>
      <c r="D218" s="12"/>
      <c r="E218" s="12"/>
      <c r="F218" s="12"/>
      <c r="G218" s="12"/>
      <c r="H218" s="12"/>
      <c r="I218" s="12"/>
      <c r="J218" s="12"/>
      <c r="K218" s="12"/>
      <c r="L218" s="12"/>
      <c r="M218" s="12"/>
      <c r="N218" s="12"/>
      <c r="O218" s="12"/>
      <c r="P218" s="12"/>
      <c r="Q218" s="12"/>
      <c r="R218" s="12"/>
      <c r="S218" s="12"/>
      <c r="T218" s="12"/>
      <c r="U218" s="12"/>
      <c r="V218" s="12"/>
      <c r="W218" s="12"/>
      <c r="X218" s="12"/>
      <c r="Y218" s="12"/>
      <c r="Z218" s="12"/>
      <c r="AA218" s="12"/>
      <c r="AB218" s="12"/>
      <c r="AC218" s="12"/>
    </row>
    <row r="219" ht="15.75" customHeight="1">
      <c r="A219" s="12"/>
      <c r="B219" s="12"/>
      <c r="C219" s="12"/>
      <c r="D219" s="12"/>
      <c r="E219" s="12"/>
      <c r="F219" s="12"/>
      <c r="G219" s="12"/>
      <c r="H219" s="12"/>
      <c r="I219" s="12"/>
      <c r="J219" s="12"/>
      <c r="K219" s="12"/>
      <c r="L219" s="12"/>
      <c r="M219" s="12"/>
      <c r="N219" s="12"/>
      <c r="O219" s="12"/>
      <c r="P219" s="12"/>
      <c r="Q219" s="12"/>
      <c r="R219" s="12"/>
      <c r="S219" s="12"/>
      <c r="T219" s="12"/>
      <c r="U219" s="12"/>
      <c r="V219" s="12"/>
      <c r="W219" s="12"/>
      <c r="X219" s="12"/>
      <c r="Y219" s="12"/>
      <c r="Z219" s="12"/>
      <c r="AA219" s="12"/>
      <c r="AB219" s="12"/>
      <c r="AC219" s="12"/>
    </row>
    <row r="220" ht="15.75" customHeight="1">
      <c r="A220" s="12"/>
      <c r="B220" s="12"/>
      <c r="C220" s="12"/>
      <c r="D220" s="12"/>
      <c r="E220" s="12"/>
      <c r="F220" s="12"/>
      <c r="G220" s="12"/>
      <c r="H220" s="12"/>
      <c r="I220" s="12"/>
      <c r="J220" s="12"/>
      <c r="K220" s="12"/>
      <c r="L220" s="12"/>
      <c r="M220" s="12"/>
      <c r="N220" s="12"/>
      <c r="O220" s="12"/>
      <c r="P220" s="12"/>
      <c r="Q220" s="12"/>
      <c r="R220" s="12"/>
      <c r="S220" s="12"/>
      <c r="T220" s="12"/>
      <c r="U220" s="12"/>
      <c r="V220" s="12"/>
      <c r="W220" s="12"/>
      <c r="X220" s="12"/>
      <c r="Y220" s="12"/>
      <c r="Z220" s="12"/>
      <c r="AA220" s="12"/>
      <c r="AB220" s="12"/>
      <c r="AC220" s="12"/>
    </row>
    <row r="221" ht="15.75" customHeight="1">
      <c r="A221" s="12"/>
      <c r="B221" s="12"/>
      <c r="C221" s="12"/>
      <c r="D221" s="12"/>
      <c r="E221" s="12"/>
      <c r="F221" s="12"/>
      <c r="G221" s="12"/>
      <c r="H221" s="12"/>
      <c r="I221" s="12"/>
      <c r="J221" s="12"/>
      <c r="K221" s="12"/>
      <c r="L221" s="12"/>
      <c r="M221" s="12"/>
      <c r="N221" s="12"/>
      <c r="O221" s="12"/>
      <c r="P221" s="12"/>
      <c r="Q221" s="12"/>
      <c r="R221" s="12"/>
      <c r="S221" s="12"/>
      <c r="T221" s="12"/>
      <c r="U221" s="12"/>
      <c r="V221" s="12"/>
      <c r="W221" s="12"/>
      <c r="X221" s="12"/>
      <c r="Y221" s="12"/>
      <c r="Z221" s="12"/>
      <c r="AA221" s="12"/>
      <c r="AB221" s="12"/>
      <c r="AC221" s="12"/>
    </row>
    <row r="222" ht="15.75" customHeight="1">
      <c r="A222" s="12"/>
      <c r="B222" s="12"/>
      <c r="C222" s="12"/>
      <c r="D222" s="12"/>
      <c r="E222" s="12"/>
      <c r="F222" s="12"/>
      <c r="G222" s="12"/>
      <c r="H222" s="12"/>
      <c r="I222" s="12"/>
      <c r="J222" s="12"/>
      <c r="K222" s="12"/>
      <c r="L222" s="12"/>
      <c r="M222" s="12"/>
      <c r="N222" s="12"/>
      <c r="O222" s="12"/>
      <c r="P222" s="12"/>
      <c r="Q222" s="12"/>
      <c r="R222" s="12"/>
      <c r="S222" s="12"/>
      <c r="T222" s="12"/>
      <c r="U222" s="12"/>
      <c r="V222" s="12"/>
      <c r="W222" s="12"/>
      <c r="X222" s="12"/>
      <c r="Y222" s="12"/>
      <c r="Z222" s="12"/>
      <c r="AA222" s="12"/>
      <c r="AB222" s="12"/>
      <c r="AC222" s="12"/>
    </row>
    <row r="223" ht="15.75" customHeight="1">
      <c r="A223" s="12"/>
      <c r="B223" s="12"/>
      <c r="C223" s="12"/>
      <c r="D223" s="12"/>
      <c r="E223" s="12"/>
      <c r="F223" s="12"/>
      <c r="G223" s="12"/>
      <c r="H223" s="12"/>
      <c r="I223" s="12"/>
      <c r="J223" s="12"/>
      <c r="K223" s="12"/>
      <c r="L223" s="12"/>
      <c r="M223" s="12"/>
      <c r="N223" s="12"/>
      <c r="O223" s="12"/>
      <c r="P223" s="12"/>
      <c r="Q223" s="12"/>
      <c r="R223" s="12"/>
      <c r="S223" s="12"/>
      <c r="T223" s="12"/>
      <c r="U223" s="12"/>
      <c r="V223" s="12"/>
      <c r="W223" s="12"/>
      <c r="X223" s="12"/>
      <c r="Y223" s="12"/>
      <c r="Z223" s="12"/>
      <c r="AA223" s="12"/>
      <c r="AB223" s="12"/>
      <c r="AC223" s="12"/>
    </row>
    <row r="224" ht="15.75" customHeight="1">
      <c r="A224" s="12"/>
      <c r="B224" s="12"/>
      <c r="C224" s="12"/>
      <c r="D224" s="12"/>
      <c r="E224" s="12"/>
      <c r="F224" s="12"/>
      <c r="G224" s="12"/>
      <c r="H224" s="12"/>
      <c r="I224" s="12"/>
      <c r="J224" s="12"/>
      <c r="K224" s="12"/>
      <c r="L224" s="12"/>
      <c r="M224" s="12"/>
      <c r="N224" s="12"/>
      <c r="O224" s="12"/>
      <c r="P224" s="12"/>
      <c r="Q224" s="12"/>
      <c r="R224" s="12"/>
      <c r="S224" s="12"/>
      <c r="T224" s="12"/>
      <c r="U224" s="12"/>
      <c r="V224" s="12"/>
      <c r="W224" s="12"/>
      <c r="X224" s="12"/>
      <c r="Y224" s="12"/>
      <c r="Z224" s="12"/>
      <c r="AA224" s="12"/>
      <c r="AB224" s="12"/>
      <c r="AC224" s="12"/>
    </row>
    <row r="225" ht="15.75" customHeight="1">
      <c r="A225" s="12"/>
      <c r="B225" s="12"/>
      <c r="C225" s="12"/>
      <c r="D225" s="12"/>
      <c r="E225" s="12"/>
      <c r="F225" s="12"/>
      <c r="G225" s="12"/>
      <c r="H225" s="12"/>
      <c r="I225" s="12"/>
      <c r="J225" s="12"/>
      <c r="K225" s="12"/>
      <c r="L225" s="12"/>
      <c r="M225" s="12"/>
      <c r="N225" s="12"/>
      <c r="O225" s="12"/>
      <c r="P225" s="12"/>
      <c r="Q225" s="12"/>
      <c r="R225" s="12"/>
      <c r="S225" s="12"/>
      <c r="T225" s="12"/>
      <c r="U225" s="12"/>
      <c r="V225" s="12"/>
      <c r="W225" s="12"/>
      <c r="X225" s="12"/>
      <c r="Y225" s="12"/>
      <c r="Z225" s="12"/>
      <c r="AA225" s="12"/>
      <c r="AB225" s="12"/>
      <c r="AC225" s="12"/>
    </row>
    <row r="226" ht="15.75" customHeight="1">
      <c r="A226" s="12"/>
      <c r="B226" s="12"/>
      <c r="C226" s="12"/>
      <c r="D226" s="12"/>
      <c r="E226" s="12"/>
      <c r="F226" s="12"/>
      <c r="G226" s="12"/>
      <c r="H226" s="12"/>
      <c r="I226" s="12"/>
      <c r="J226" s="12"/>
      <c r="K226" s="12"/>
      <c r="L226" s="12"/>
      <c r="M226" s="12"/>
      <c r="N226" s="12"/>
      <c r="O226" s="12"/>
      <c r="P226" s="12"/>
      <c r="Q226" s="12"/>
      <c r="R226" s="12"/>
      <c r="S226" s="12"/>
      <c r="T226" s="12"/>
      <c r="U226" s="12"/>
      <c r="V226" s="12"/>
      <c r="W226" s="12"/>
      <c r="X226" s="12"/>
      <c r="Y226" s="12"/>
      <c r="Z226" s="12"/>
      <c r="AA226" s="12"/>
      <c r="AB226" s="12"/>
      <c r="AC226" s="12"/>
    </row>
    <row r="227" ht="15.75" customHeight="1">
      <c r="A227" s="12"/>
      <c r="B227" s="12"/>
      <c r="C227" s="12"/>
      <c r="D227" s="12"/>
      <c r="E227" s="12"/>
      <c r="F227" s="12"/>
      <c r="G227" s="12"/>
      <c r="H227" s="12"/>
      <c r="I227" s="12"/>
      <c r="J227" s="12"/>
      <c r="K227" s="12"/>
      <c r="L227" s="12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  <c r="AA227" s="12"/>
      <c r="AB227" s="12"/>
      <c r="AC227" s="12"/>
    </row>
    <row r="228" ht="15.75" customHeight="1">
      <c r="A228" s="12"/>
      <c r="B228" s="12"/>
      <c r="C228" s="12"/>
      <c r="D228" s="12"/>
      <c r="E228" s="12"/>
      <c r="F228" s="12"/>
      <c r="G228" s="12"/>
      <c r="H228" s="12"/>
      <c r="I228" s="12"/>
      <c r="J228" s="12"/>
      <c r="K228" s="12"/>
      <c r="L228" s="12"/>
      <c r="M228" s="12"/>
      <c r="N228" s="12"/>
      <c r="O228" s="12"/>
      <c r="P228" s="12"/>
      <c r="Q228" s="12"/>
      <c r="R228" s="12"/>
      <c r="S228" s="12"/>
      <c r="T228" s="12"/>
      <c r="U228" s="12"/>
      <c r="V228" s="12"/>
      <c r="W228" s="12"/>
      <c r="X228" s="12"/>
      <c r="Y228" s="12"/>
      <c r="Z228" s="12"/>
      <c r="AA228" s="12"/>
      <c r="AB228" s="12"/>
      <c r="AC228" s="12"/>
    </row>
    <row r="229" ht="15.75" customHeight="1">
      <c r="A229" s="12"/>
      <c r="B229" s="12"/>
      <c r="C229" s="12"/>
      <c r="D229" s="12"/>
      <c r="E229" s="12"/>
      <c r="F229" s="12"/>
      <c r="G229" s="12"/>
      <c r="H229" s="12"/>
      <c r="I229" s="12"/>
      <c r="J229" s="12"/>
      <c r="K229" s="12"/>
      <c r="L229" s="12"/>
      <c r="M229" s="12"/>
      <c r="N229" s="12"/>
      <c r="O229" s="12"/>
      <c r="P229" s="12"/>
      <c r="Q229" s="12"/>
      <c r="R229" s="12"/>
      <c r="S229" s="12"/>
      <c r="T229" s="12"/>
      <c r="U229" s="12"/>
      <c r="V229" s="12"/>
      <c r="W229" s="12"/>
      <c r="X229" s="12"/>
      <c r="Y229" s="12"/>
      <c r="Z229" s="12"/>
      <c r="AA229" s="12"/>
      <c r="AB229" s="12"/>
      <c r="AC229" s="12"/>
    </row>
    <row r="230" ht="15.75" customHeight="1">
      <c r="A230" s="12"/>
      <c r="B230" s="12"/>
      <c r="C230" s="12"/>
      <c r="D230" s="12"/>
      <c r="E230" s="12"/>
      <c r="F230" s="12"/>
      <c r="G230" s="12"/>
      <c r="H230" s="12"/>
      <c r="I230" s="12"/>
      <c r="J230" s="12"/>
      <c r="K230" s="12"/>
      <c r="L230" s="12"/>
      <c r="M230" s="12"/>
      <c r="N230" s="12"/>
      <c r="O230" s="12"/>
      <c r="P230" s="12"/>
      <c r="Q230" s="12"/>
      <c r="R230" s="12"/>
      <c r="S230" s="12"/>
      <c r="T230" s="12"/>
      <c r="U230" s="12"/>
      <c r="V230" s="12"/>
      <c r="W230" s="12"/>
      <c r="X230" s="12"/>
      <c r="Y230" s="12"/>
      <c r="Z230" s="12"/>
      <c r="AA230" s="12"/>
      <c r="AB230" s="12"/>
      <c r="AC230" s="12"/>
    </row>
    <row r="231" ht="15.75" customHeight="1">
      <c r="A231" s="12"/>
      <c r="B231" s="12"/>
      <c r="C231" s="12"/>
      <c r="D231" s="12"/>
      <c r="E231" s="12"/>
      <c r="F231" s="12"/>
      <c r="G231" s="12"/>
      <c r="H231" s="12"/>
      <c r="I231" s="12"/>
      <c r="J231" s="12"/>
      <c r="K231" s="12"/>
      <c r="L231" s="12"/>
      <c r="M231" s="12"/>
      <c r="N231" s="12"/>
      <c r="O231" s="12"/>
      <c r="P231" s="12"/>
      <c r="Q231" s="12"/>
      <c r="R231" s="12"/>
      <c r="S231" s="12"/>
      <c r="T231" s="12"/>
      <c r="U231" s="12"/>
      <c r="V231" s="12"/>
      <c r="W231" s="12"/>
      <c r="X231" s="12"/>
      <c r="Y231" s="12"/>
      <c r="Z231" s="12"/>
      <c r="AA231" s="12"/>
      <c r="AB231" s="12"/>
      <c r="AC231" s="12"/>
    </row>
    <row r="232" ht="15.75" customHeight="1">
      <c r="A232" s="12"/>
      <c r="B232" s="12"/>
      <c r="C232" s="12"/>
      <c r="D232" s="12"/>
      <c r="E232" s="12"/>
      <c r="F232" s="12"/>
      <c r="G232" s="12"/>
      <c r="H232" s="12"/>
      <c r="I232" s="12"/>
      <c r="J232" s="12"/>
      <c r="K232" s="12"/>
      <c r="L232" s="12"/>
      <c r="M232" s="12"/>
      <c r="N232" s="12"/>
      <c r="O232" s="12"/>
      <c r="P232" s="12"/>
      <c r="Q232" s="12"/>
      <c r="R232" s="12"/>
      <c r="S232" s="12"/>
      <c r="T232" s="12"/>
      <c r="U232" s="12"/>
      <c r="V232" s="12"/>
      <c r="W232" s="12"/>
      <c r="X232" s="12"/>
      <c r="Y232" s="12"/>
      <c r="Z232" s="12"/>
      <c r="AA232" s="12"/>
      <c r="AB232" s="12"/>
      <c r="AC232" s="12"/>
    </row>
    <row r="233" ht="15.75" customHeight="1">
      <c r="A233" s="12"/>
      <c r="B233" s="12"/>
      <c r="C233" s="12"/>
      <c r="D233" s="12"/>
      <c r="E233" s="12"/>
      <c r="F233" s="12"/>
      <c r="G233" s="12"/>
      <c r="H233" s="12"/>
      <c r="I233" s="12"/>
      <c r="J233" s="12"/>
      <c r="K233" s="12"/>
      <c r="L233" s="12"/>
      <c r="M233" s="12"/>
      <c r="N233" s="12"/>
      <c r="O233" s="12"/>
      <c r="P233" s="12"/>
      <c r="Q233" s="12"/>
      <c r="R233" s="12"/>
      <c r="S233" s="12"/>
      <c r="T233" s="12"/>
      <c r="U233" s="12"/>
      <c r="V233" s="12"/>
      <c r="W233" s="12"/>
      <c r="X233" s="12"/>
      <c r="Y233" s="12"/>
      <c r="Z233" s="12"/>
      <c r="AA233" s="12"/>
      <c r="AB233" s="12"/>
      <c r="AC233" s="12"/>
    </row>
    <row r="234" ht="15.75" customHeight="1">
      <c r="A234" s="12"/>
      <c r="B234" s="12"/>
      <c r="C234" s="12"/>
      <c r="D234" s="12"/>
      <c r="E234" s="12"/>
      <c r="F234" s="12"/>
      <c r="G234" s="12"/>
      <c r="H234" s="12"/>
      <c r="I234" s="12"/>
      <c r="J234" s="12"/>
      <c r="K234" s="12"/>
      <c r="L234" s="12"/>
      <c r="M234" s="12"/>
      <c r="N234" s="12"/>
      <c r="O234" s="12"/>
      <c r="P234" s="12"/>
      <c r="Q234" s="12"/>
      <c r="R234" s="12"/>
      <c r="S234" s="12"/>
      <c r="T234" s="12"/>
      <c r="U234" s="12"/>
      <c r="V234" s="12"/>
      <c r="W234" s="12"/>
      <c r="X234" s="12"/>
      <c r="Y234" s="12"/>
      <c r="Z234" s="12"/>
      <c r="AA234" s="12"/>
      <c r="AB234" s="12"/>
      <c r="AC234" s="12"/>
    </row>
    <row r="235" ht="15.75" customHeight="1">
      <c r="A235" s="12"/>
      <c r="B235" s="12"/>
      <c r="C235" s="12"/>
      <c r="D235" s="12"/>
      <c r="E235" s="12"/>
      <c r="F235" s="12"/>
      <c r="G235" s="12"/>
      <c r="H235" s="12"/>
      <c r="I235" s="12"/>
      <c r="J235" s="12"/>
      <c r="K235" s="12"/>
      <c r="L235" s="12"/>
      <c r="M235" s="12"/>
      <c r="N235" s="12"/>
      <c r="O235" s="12"/>
      <c r="P235" s="12"/>
      <c r="Q235" s="12"/>
      <c r="R235" s="12"/>
      <c r="S235" s="12"/>
      <c r="T235" s="12"/>
      <c r="U235" s="12"/>
      <c r="V235" s="12"/>
      <c r="W235" s="12"/>
      <c r="X235" s="12"/>
      <c r="Y235" s="12"/>
      <c r="Z235" s="12"/>
      <c r="AA235" s="12"/>
      <c r="AB235" s="12"/>
      <c r="AC235" s="12"/>
    </row>
    <row r="236" ht="15.75" customHeight="1">
      <c r="A236" s="12"/>
      <c r="B236" s="12"/>
      <c r="C236" s="12"/>
      <c r="D236" s="12"/>
      <c r="E236" s="12"/>
      <c r="F236" s="12"/>
      <c r="G236" s="12"/>
      <c r="H236" s="12"/>
      <c r="I236" s="12"/>
      <c r="J236" s="12"/>
      <c r="K236" s="12"/>
      <c r="L236" s="12"/>
      <c r="M236" s="12"/>
      <c r="N236" s="12"/>
      <c r="O236" s="12"/>
      <c r="P236" s="12"/>
      <c r="Q236" s="12"/>
      <c r="R236" s="12"/>
      <c r="S236" s="12"/>
      <c r="T236" s="12"/>
      <c r="U236" s="12"/>
      <c r="V236" s="12"/>
      <c r="W236" s="12"/>
      <c r="X236" s="12"/>
      <c r="Y236" s="12"/>
      <c r="Z236" s="12"/>
      <c r="AA236" s="12"/>
      <c r="AB236" s="12"/>
      <c r="AC236" s="12"/>
    </row>
    <row r="237" ht="15.75" customHeight="1">
      <c r="A237" s="12"/>
      <c r="B237" s="12"/>
      <c r="C237" s="12"/>
      <c r="D237" s="12"/>
      <c r="E237" s="12"/>
      <c r="F237" s="12"/>
      <c r="G237" s="12"/>
      <c r="H237" s="12"/>
      <c r="I237" s="12"/>
      <c r="J237" s="12"/>
      <c r="K237" s="12"/>
      <c r="L237" s="12"/>
      <c r="M237" s="12"/>
      <c r="N237" s="12"/>
      <c r="O237" s="12"/>
      <c r="P237" s="12"/>
      <c r="Q237" s="12"/>
      <c r="R237" s="12"/>
      <c r="S237" s="12"/>
      <c r="T237" s="12"/>
      <c r="U237" s="12"/>
      <c r="V237" s="12"/>
      <c r="W237" s="12"/>
      <c r="X237" s="12"/>
      <c r="Y237" s="12"/>
      <c r="Z237" s="12"/>
      <c r="AA237" s="12"/>
      <c r="AB237" s="12"/>
      <c r="AC237" s="12"/>
    </row>
    <row r="238" ht="15.75" customHeight="1">
      <c r="A238" s="12"/>
      <c r="B238" s="12"/>
      <c r="C238" s="12"/>
      <c r="D238" s="12"/>
      <c r="E238" s="12"/>
      <c r="F238" s="12"/>
      <c r="G238" s="12"/>
      <c r="H238" s="12"/>
      <c r="I238" s="12"/>
      <c r="J238" s="12"/>
      <c r="K238" s="12"/>
      <c r="L238" s="12"/>
      <c r="M238" s="12"/>
      <c r="N238" s="12"/>
      <c r="O238" s="12"/>
      <c r="P238" s="12"/>
      <c r="Q238" s="12"/>
      <c r="R238" s="12"/>
      <c r="S238" s="12"/>
      <c r="T238" s="12"/>
      <c r="U238" s="12"/>
      <c r="V238" s="12"/>
      <c r="W238" s="12"/>
      <c r="X238" s="12"/>
      <c r="Y238" s="12"/>
      <c r="Z238" s="12"/>
      <c r="AA238" s="12"/>
      <c r="AB238" s="12"/>
      <c r="AC238" s="12"/>
    </row>
    <row r="239" ht="15.75" customHeight="1">
      <c r="A239" s="12"/>
      <c r="B239" s="12"/>
      <c r="C239" s="12"/>
      <c r="D239" s="12"/>
      <c r="E239" s="12"/>
      <c r="F239" s="12"/>
      <c r="G239" s="12"/>
      <c r="H239" s="12"/>
      <c r="I239" s="12"/>
      <c r="J239" s="12"/>
      <c r="K239" s="12"/>
      <c r="L239" s="12"/>
      <c r="M239" s="12"/>
      <c r="N239" s="12"/>
      <c r="O239" s="12"/>
      <c r="P239" s="12"/>
      <c r="Q239" s="12"/>
      <c r="R239" s="12"/>
      <c r="S239" s="12"/>
      <c r="T239" s="12"/>
      <c r="U239" s="12"/>
      <c r="V239" s="12"/>
      <c r="W239" s="12"/>
      <c r="X239" s="12"/>
      <c r="Y239" s="12"/>
      <c r="Z239" s="12"/>
      <c r="AA239" s="12"/>
      <c r="AB239" s="12"/>
      <c r="AC239" s="12"/>
    </row>
    <row r="240" ht="15.75" customHeight="1">
      <c r="A240" s="12"/>
      <c r="B240" s="12"/>
      <c r="C240" s="12"/>
      <c r="D240" s="12"/>
      <c r="E240" s="12"/>
      <c r="F240" s="12"/>
      <c r="G240" s="12"/>
      <c r="H240" s="12"/>
      <c r="I240" s="12"/>
      <c r="J240" s="12"/>
      <c r="K240" s="12"/>
      <c r="L240" s="12"/>
      <c r="M240" s="12"/>
      <c r="N240" s="12"/>
      <c r="O240" s="12"/>
      <c r="P240" s="12"/>
      <c r="Q240" s="12"/>
      <c r="R240" s="12"/>
      <c r="S240" s="12"/>
      <c r="T240" s="12"/>
      <c r="U240" s="12"/>
      <c r="V240" s="12"/>
      <c r="W240" s="12"/>
      <c r="X240" s="12"/>
      <c r="Y240" s="12"/>
      <c r="Z240" s="12"/>
      <c r="AA240" s="12"/>
      <c r="AB240" s="12"/>
      <c r="AC240" s="12"/>
    </row>
    <row r="241" ht="15.75" customHeight="1">
      <c r="A241" s="12"/>
      <c r="B241" s="12"/>
      <c r="C241" s="12"/>
      <c r="D241" s="12"/>
      <c r="E241" s="12"/>
      <c r="F241" s="12"/>
      <c r="G241" s="12"/>
      <c r="H241" s="12"/>
      <c r="I241" s="12"/>
      <c r="J241" s="12"/>
      <c r="K241" s="12"/>
      <c r="L241" s="12"/>
      <c r="M241" s="12"/>
      <c r="N241" s="12"/>
      <c r="O241" s="12"/>
      <c r="P241" s="12"/>
      <c r="Q241" s="12"/>
      <c r="R241" s="12"/>
      <c r="S241" s="12"/>
      <c r="T241" s="12"/>
      <c r="U241" s="12"/>
      <c r="V241" s="12"/>
      <c r="W241" s="12"/>
      <c r="X241" s="12"/>
      <c r="Y241" s="12"/>
      <c r="Z241" s="12"/>
      <c r="AA241" s="12"/>
      <c r="AB241" s="12"/>
      <c r="AC241" s="12"/>
    </row>
    <row r="242" ht="15.75" customHeight="1">
      <c r="A242" s="12"/>
      <c r="B242" s="12"/>
      <c r="C242" s="12"/>
      <c r="D242" s="12"/>
      <c r="E242" s="12"/>
      <c r="F242" s="12"/>
      <c r="G242" s="12"/>
      <c r="H242" s="12"/>
      <c r="I242" s="12"/>
      <c r="J242" s="12"/>
      <c r="K242" s="12"/>
      <c r="L242" s="12"/>
      <c r="M242" s="12"/>
      <c r="N242" s="12"/>
      <c r="O242" s="12"/>
      <c r="P242" s="12"/>
      <c r="Q242" s="12"/>
      <c r="R242" s="12"/>
      <c r="S242" s="12"/>
      <c r="T242" s="12"/>
      <c r="U242" s="12"/>
      <c r="V242" s="12"/>
      <c r="W242" s="12"/>
      <c r="X242" s="12"/>
      <c r="Y242" s="12"/>
      <c r="Z242" s="12"/>
      <c r="AA242" s="12"/>
      <c r="AB242" s="12"/>
      <c r="AC242" s="12"/>
    </row>
    <row r="243" ht="15.75" customHeight="1">
      <c r="A243" s="12"/>
      <c r="B243" s="12"/>
      <c r="C243" s="12"/>
      <c r="D243" s="12"/>
      <c r="E243" s="12"/>
      <c r="F243" s="12"/>
      <c r="G243" s="12"/>
      <c r="H243" s="12"/>
      <c r="I243" s="12"/>
      <c r="J243" s="12"/>
      <c r="K243" s="12"/>
      <c r="L243" s="12"/>
      <c r="M243" s="12"/>
      <c r="N243" s="12"/>
      <c r="O243" s="12"/>
      <c r="P243" s="12"/>
      <c r="Q243" s="12"/>
      <c r="R243" s="12"/>
      <c r="S243" s="12"/>
      <c r="T243" s="12"/>
      <c r="U243" s="12"/>
      <c r="V243" s="12"/>
      <c r="W243" s="12"/>
      <c r="X243" s="12"/>
      <c r="Y243" s="12"/>
      <c r="Z243" s="12"/>
      <c r="AA243" s="12"/>
      <c r="AB243" s="12"/>
      <c r="AC243" s="12"/>
    </row>
    <row r="244" ht="15.75" customHeight="1">
      <c r="A244" s="12"/>
      <c r="B244" s="12"/>
      <c r="C244" s="12"/>
      <c r="D244" s="12"/>
      <c r="E244" s="12"/>
      <c r="F244" s="12"/>
      <c r="G244" s="12"/>
      <c r="H244" s="12"/>
      <c r="I244" s="12"/>
      <c r="J244" s="12"/>
      <c r="K244" s="12"/>
      <c r="L244" s="12"/>
      <c r="M244" s="12"/>
      <c r="N244" s="12"/>
      <c r="O244" s="12"/>
      <c r="P244" s="12"/>
      <c r="Q244" s="12"/>
      <c r="R244" s="12"/>
      <c r="S244" s="12"/>
      <c r="T244" s="12"/>
      <c r="U244" s="12"/>
      <c r="V244" s="12"/>
      <c r="W244" s="12"/>
      <c r="X244" s="12"/>
      <c r="Y244" s="12"/>
      <c r="Z244" s="12"/>
      <c r="AA244" s="12"/>
      <c r="AB244" s="12"/>
      <c r="AC244" s="12"/>
    </row>
    <row r="245" ht="15.75" customHeight="1">
      <c r="A245" s="12"/>
      <c r="B245" s="12"/>
      <c r="C245" s="12"/>
      <c r="D245" s="12"/>
      <c r="E245" s="12"/>
      <c r="F245" s="12"/>
      <c r="G245" s="12"/>
      <c r="H245" s="12"/>
      <c r="I245" s="12"/>
      <c r="J245" s="12"/>
      <c r="K245" s="12"/>
      <c r="L245" s="12"/>
      <c r="M245" s="12"/>
      <c r="N245" s="12"/>
      <c r="O245" s="12"/>
      <c r="P245" s="12"/>
      <c r="Q245" s="12"/>
      <c r="R245" s="12"/>
      <c r="S245" s="12"/>
      <c r="T245" s="12"/>
      <c r="U245" s="12"/>
      <c r="V245" s="12"/>
      <c r="W245" s="12"/>
      <c r="X245" s="12"/>
      <c r="Y245" s="12"/>
      <c r="Z245" s="12"/>
      <c r="AA245" s="12"/>
      <c r="AB245" s="12"/>
      <c r="AC245" s="12"/>
    </row>
    <row r="246" ht="15.75" customHeight="1">
      <c r="A246" s="12"/>
      <c r="B246" s="12"/>
      <c r="C246" s="12"/>
      <c r="D246" s="12"/>
      <c r="E246" s="12"/>
      <c r="F246" s="12"/>
      <c r="G246" s="12"/>
      <c r="H246" s="12"/>
      <c r="I246" s="12"/>
      <c r="J246" s="12"/>
      <c r="K246" s="12"/>
      <c r="L246" s="12"/>
      <c r="M246" s="12"/>
      <c r="N246" s="12"/>
      <c r="O246" s="12"/>
      <c r="P246" s="12"/>
      <c r="Q246" s="12"/>
      <c r="R246" s="12"/>
      <c r="S246" s="12"/>
      <c r="T246" s="12"/>
      <c r="U246" s="12"/>
      <c r="V246" s="12"/>
      <c r="W246" s="12"/>
      <c r="X246" s="12"/>
      <c r="Y246" s="12"/>
      <c r="Z246" s="12"/>
      <c r="AA246" s="12"/>
      <c r="AB246" s="12"/>
      <c r="AC246" s="12"/>
    </row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40">
    <mergeCell ref="D2:G2"/>
    <mergeCell ref="K2:N2"/>
    <mergeCell ref="R2:U2"/>
    <mergeCell ref="Y2:AB2"/>
    <mergeCell ref="J3:N3"/>
    <mergeCell ref="Q3:U3"/>
    <mergeCell ref="X3:AB3"/>
    <mergeCell ref="X16:AB16"/>
    <mergeCell ref="Y17:AB17"/>
    <mergeCell ref="X18:AB18"/>
    <mergeCell ref="X31:AB31"/>
    <mergeCell ref="Y32:AB32"/>
    <mergeCell ref="X33:AB33"/>
    <mergeCell ref="X46:AB46"/>
    <mergeCell ref="Y47:AB47"/>
    <mergeCell ref="C3:G3"/>
    <mergeCell ref="C16:G16"/>
    <mergeCell ref="J16:N16"/>
    <mergeCell ref="Q16:U16"/>
    <mergeCell ref="D17:G17"/>
    <mergeCell ref="R17:U17"/>
    <mergeCell ref="C18:G18"/>
    <mergeCell ref="Q18:U18"/>
    <mergeCell ref="K17:N17"/>
    <mergeCell ref="J18:N18"/>
    <mergeCell ref="C31:G31"/>
    <mergeCell ref="J31:N31"/>
    <mergeCell ref="Q31:U31"/>
    <mergeCell ref="K32:N32"/>
    <mergeCell ref="R32:U32"/>
    <mergeCell ref="J46:N46"/>
    <mergeCell ref="K47:N47"/>
    <mergeCell ref="D32:G32"/>
    <mergeCell ref="C33:G33"/>
    <mergeCell ref="J33:N33"/>
    <mergeCell ref="Q33:U33"/>
    <mergeCell ref="C46:G46"/>
    <mergeCell ref="Q46:U46"/>
    <mergeCell ref="D47:G47"/>
    <mergeCell ref="R47:U47"/>
  </mergeCells>
  <conditionalFormatting sqref="B6:B15 B36:B45">
    <cfRule type="colorScale" priority="1">
      <colorScale>
        <cfvo type="min"/>
        <cfvo type="max"/>
        <color rgb="FFFFFFFF"/>
        <color rgb="FF57BB8A"/>
      </colorScale>
    </cfRule>
  </conditionalFormatting>
  <conditionalFormatting sqref="I6:I15 I36:I45">
    <cfRule type="colorScale" priority="2">
      <colorScale>
        <cfvo type="min"/>
        <cfvo type="max"/>
        <color rgb="FFFFFFFF"/>
        <color rgb="FF57BB8A"/>
      </colorScale>
    </cfRule>
  </conditionalFormatting>
  <conditionalFormatting sqref="P6:P15 P36:P45">
    <cfRule type="colorScale" priority="3">
      <colorScale>
        <cfvo type="min"/>
        <cfvo type="max"/>
        <color rgb="FFFFFFFF"/>
        <color rgb="FF57BB8A"/>
      </colorScale>
    </cfRule>
  </conditionalFormatting>
  <conditionalFormatting sqref="W6:W15 W36:W45">
    <cfRule type="colorScale" priority="4">
      <colorScale>
        <cfvo type="min"/>
        <cfvo type="max"/>
        <color rgb="FFFFFFFF"/>
        <color rgb="FF57BB8A"/>
      </colorScale>
    </cfRule>
  </conditionalFormatting>
  <printOptions/>
  <pageMargins bottom="1.0" footer="0.0" header="0.0" left="0.75" right="0.75" top="1.0"/>
  <pageSetup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0"/>
  <cols>
    <col customWidth="1" min="1" max="1" width="25.13"/>
    <col customWidth="1" min="2" max="7" width="12.63"/>
  </cols>
  <sheetData>
    <row r="1" ht="37.5" customHeight="1">
      <c r="A1" s="8"/>
      <c r="B1" s="9" t="s">
        <v>2</v>
      </c>
    </row>
    <row r="2" ht="15.75" customHeight="1">
      <c r="B2" s="10" t="s">
        <v>3</v>
      </c>
      <c r="C2" s="21" t="str">
        <f>'aluno 01'!C2</f>
        <v/>
      </c>
    </row>
    <row r="3" ht="15.75" customHeight="1">
      <c r="B3" s="10" t="s">
        <v>4</v>
      </c>
      <c r="C3" s="21" t="str">
        <f>'aluno 01'!C3</f>
        <v/>
      </c>
    </row>
    <row r="4" ht="15.75" customHeight="1">
      <c r="A4" s="15"/>
      <c r="B4" s="17"/>
      <c r="C4" s="19"/>
      <c r="D4" s="20"/>
      <c r="E4" s="22"/>
      <c r="F4" s="23"/>
      <c r="G4" s="23"/>
    </row>
    <row r="5" ht="15.75" customHeight="1">
      <c r="A5" s="24"/>
      <c r="B5" s="25" t="s">
        <v>6</v>
      </c>
      <c r="C5" s="25" t="s">
        <v>7</v>
      </c>
      <c r="D5" s="25" t="s">
        <v>8</v>
      </c>
      <c r="E5" s="25" t="s">
        <v>9</v>
      </c>
      <c r="F5" s="25" t="s">
        <v>11</v>
      </c>
      <c r="G5" s="5"/>
    </row>
    <row r="6" ht="15.75" customHeight="1">
      <c r="A6" s="26"/>
      <c r="B6" s="27" t="str">
        <f>'aluno 01'!B6</f>
        <v/>
      </c>
      <c r="C6" s="27" t="str">
        <f>'aluno 01'!C6</f>
        <v/>
      </c>
      <c r="D6" s="27" t="str">
        <f>'aluno 01'!D6</f>
        <v/>
      </c>
      <c r="E6" s="27" t="str">
        <f>'aluno 01'!E6</f>
        <v/>
      </c>
      <c r="F6" s="27" t="str">
        <f>'aluno 01'!F6</f>
        <v/>
      </c>
      <c r="G6" s="5"/>
    </row>
    <row r="7" ht="15.75" customHeight="1">
      <c r="A7" s="26"/>
      <c r="B7" s="28"/>
      <c r="C7" s="28"/>
      <c r="D7" s="28"/>
      <c r="E7" s="28"/>
      <c r="F7" s="28"/>
      <c r="G7" s="28"/>
    </row>
    <row r="8" ht="15.75" customHeight="1">
      <c r="A8" s="30" t="s">
        <v>15</v>
      </c>
    </row>
    <row r="9" ht="15.75" customHeight="1">
      <c r="A9" s="34" t="str">
        <f>'aluno 01'!A9</f>
        <v/>
      </c>
    </row>
    <row r="10" ht="15.75" customHeight="1"/>
    <row r="11" ht="15.75" customHeight="1">
      <c r="A11" s="30" t="s">
        <v>18</v>
      </c>
    </row>
    <row r="12" ht="15.75" customHeight="1">
      <c r="A12" s="2"/>
      <c r="B12" s="33" t="s">
        <v>10</v>
      </c>
      <c r="C12" s="33" t="s">
        <v>19</v>
      </c>
      <c r="D12" s="37" t="s">
        <v>13</v>
      </c>
      <c r="E12" s="37" t="s">
        <v>15</v>
      </c>
    </row>
    <row r="13" ht="15.75" customHeight="1">
      <c r="A13" s="39"/>
      <c r="B13" s="40"/>
      <c r="C13" s="40"/>
      <c r="D13" s="40"/>
      <c r="E13" s="34"/>
    </row>
    <row r="14" ht="15.75" customHeight="1">
      <c r="A14" s="42"/>
      <c r="B14" s="43"/>
      <c r="C14" s="43"/>
      <c r="D14" s="40"/>
      <c r="E14" s="34"/>
    </row>
    <row r="15" ht="15.75" customHeight="1">
      <c r="A15" s="39"/>
      <c r="B15" s="40"/>
      <c r="C15" s="40"/>
      <c r="D15" s="40"/>
      <c r="E15" s="34"/>
    </row>
    <row r="16" ht="15.75" customHeight="1">
      <c r="A16" s="45">
        <f>'bloco 03'!C3</f>
        <v>46302</v>
      </c>
    </row>
    <row r="17" ht="15.75" customHeight="1">
      <c r="A17" s="46" t="s">
        <v>20</v>
      </c>
    </row>
    <row r="18" ht="15.75" customHeight="1">
      <c r="A18" s="30" t="s">
        <v>5</v>
      </c>
    </row>
    <row r="19" ht="15.75" customHeight="1">
      <c r="A19" s="33"/>
      <c r="B19" s="33" t="s">
        <v>10</v>
      </c>
      <c r="C19" s="37" t="s">
        <v>12</v>
      </c>
      <c r="D19" s="37" t="s">
        <v>13</v>
      </c>
      <c r="E19" s="37" t="s">
        <v>21</v>
      </c>
      <c r="F19" s="37" t="s">
        <v>15</v>
      </c>
    </row>
    <row r="20" ht="15.75" customHeight="1">
      <c r="A20" s="14" t="str">
        <f>'bloco 03'!$B6</f>
        <v/>
      </c>
      <c r="B20" s="48" t="str">
        <f>'bloco 03'!C6</f>
        <v/>
      </c>
      <c r="C20" s="48" t="str">
        <f>'bloco 03'!D6</f>
        <v/>
      </c>
      <c r="D20" s="48" t="str">
        <f>'bloco 03'!E6</f>
        <v/>
      </c>
      <c r="E20" s="41" t="str">
        <f>IFERROR(('bloco 03'!F6),"")</f>
        <v/>
      </c>
      <c r="F20" s="49" t="str">
        <f>'bloco 03'!G6</f>
        <v/>
      </c>
    </row>
    <row r="21" ht="15.75" customHeight="1">
      <c r="A21" s="14" t="str">
        <f>'bloco 03'!$B7</f>
        <v/>
      </c>
      <c r="B21" s="48" t="str">
        <f>'bloco 03'!C7</f>
        <v/>
      </c>
      <c r="C21" s="48" t="str">
        <f>'bloco 03'!D7</f>
        <v/>
      </c>
      <c r="D21" s="48" t="str">
        <f>'bloco 03'!E7</f>
        <v/>
      </c>
      <c r="E21" s="41" t="str">
        <f>IFERROR(('bloco 03'!F7),"")</f>
        <v/>
      </c>
      <c r="F21" s="49" t="str">
        <f>'bloco 03'!G7</f>
        <v/>
      </c>
    </row>
    <row r="22" ht="15.75" customHeight="1">
      <c r="A22" s="14" t="str">
        <f>'bloco 03'!$B8</f>
        <v/>
      </c>
      <c r="B22" s="48" t="str">
        <f>'bloco 03'!C8</f>
        <v/>
      </c>
      <c r="C22" s="48" t="str">
        <f>'bloco 03'!D8</f>
        <v/>
      </c>
      <c r="D22" s="48" t="str">
        <f>'bloco 03'!E8</f>
        <v/>
      </c>
      <c r="E22" s="41" t="str">
        <f>IFERROR(('bloco 03'!F8),"")</f>
        <v/>
      </c>
      <c r="F22" s="49" t="str">
        <f>'bloco 03'!G8</f>
        <v/>
      </c>
    </row>
    <row r="23" ht="15.75" customHeight="1">
      <c r="A23" s="14" t="str">
        <f>'bloco 03'!$B9</f>
        <v/>
      </c>
      <c r="B23" s="48" t="str">
        <f>'bloco 03'!C9</f>
        <v/>
      </c>
      <c r="C23" s="48" t="str">
        <f>'bloco 03'!D9</f>
        <v/>
      </c>
      <c r="D23" s="48" t="str">
        <f>'bloco 03'!E9</f>
        <v/>
      </c>
      <c r="E23" s="41" t="str">
        <f>IFERROR(('bloco 03'!F9),"")</f>
        <v/>
      </c>
      <c r="F23" s="49" t="str">
        <f>'bloco 03'!G9</f>
        <v/>
      </c>
    </row>
    <row r="24" ht="15.75" customHeight="1">
      <c r="A24" s="14" t="str">
        <f>'bloco 03'!$B10</f>
        <v/>
      </c>
      <c r="B24" s="48" t="str">
        <f>'bloco 03'!C10</f>
        <v/>
      </c>
      <c r="C24" s="48" t="str">
        <f>'bloco 03'!D10</f>
        <v/>
      </c>
      <c r="D24" s="48" t="str">
        <f>'bloco 03'!E10</f>
        <v/>
      </c>
      <c r="E24" s="41" t="str">
        <f>IFERROR(('bloco 03'!F10),"")</f>
        <v/>
      </c>
      <c r="F24" s="49" t="str">
        <f>'bloco 03'!G10</f>
        <v/>
      </c>
    </row>
    <row r="25" ht="15.75" customHeight="1">
      <c r="A25" s="14" t="str">
        <f>'bloco 03'!$B11</f>
        <v/>
      </c>
      <c r="B25" s="48" t="str">
        <f>'bloco 03'!C11</f>
        <v/>
      </c>
      <c r="C25" s="48" t="str">
        <f>'bloco 03'!D11</f>
        <v/>
      </c>
      <c r="D25" s="48" t="str">
        <f>'bloco 03'!E11</f>
        <v/>
      </c>
      <c r="E25" s="41" t="str">
        <f>IFERROR(('bloco 03'!F11),"")</f>
        <v/>
      </c>
      <c r="F25" s="49" t="str">
        <f>'bloco 03'!G11</f>
        <v/>
      </c>
    </row>
    <row r="26" ht="15.75" customHeight="1">
      <c r="A26" s="14" t="str">
        <f>'bloco 03'!$B12</f>
        <v/>
      </c>
      <c r="B26" s="48" t="str">
        <f>'bloco 03'!C12</f>
        <v/>
      </c>
      <c r="C26" s="48" t="str">
        <f>'bloco 03'!D12</f>
        <v/>
      </c>
      <c r="D26" s="48" t="str">
        <f>'bloco 03'!E12</f>
        <v/>
      </c>
      <c r="E26" s="41" t="str">
        <f>IFERROR(('bloco 03'!F12),"")</f>
        <v/>
      </c>
      <c r="F26" s="49" t="str">
        <f>'bloco 03'!G12</f>
        <v/>
      </c>
    </row>
    <row r="27" ht="15.75" customHeight="1">
      <c r="A27" s="14" t="str">
        <f>'bloco 03'!$B13</f>
        <v/>
      </c>
      <c r="B27" s="48" t="str">
        <f>'bloco 03'!C13</f>
        <v/>
      </c>
      <c r="C27" s="48" t="str">
        <f>'bloco 03'!D13</f>
        <v/>
      </c>
      <c r="D27" s="48" t="str">
        <f>'bloco 03'!E13</f>
        <v/>
      </c>
      <c r="E27" s="41" t="str">
        <f>IFERROR(('bloco 03'!F13),"")</f>
        <v/>
      </c>
      <c r="F27" s="49" t="str">
        <f>'bloco 03'!G13</f>
        <v/>
      </c>
    </row>
    <row r="28" ht="15.75" customHeight="1">
      <c r="A28" s="14" t="str">
        <f>'bloco 03'!$B14</f>
        <v/>
      </c>
      <c r="B28" s="48" t="str">
        <f>'bloco 03'!C14</f>
        <v/>
      </c>
      <c r="C28" s="48" t="str">
        <f>'bloco 03'!D14</f>
        <v/>
      </c>
      <c r="D28" s="48" t="str">
        <f>'bloco 03'!E14</f>
        <v/>
      </c>
      <c r="E28" s="41" t="str">
        <f>IFERROR(('bloco 03'!F14),"")</f>
        <v/>
      </c>
      <c r="F28" s="49" t="str">
        <f>'bloco 03'!G14</f>
        <v/>
      </c>
    </row>
    <row r="29" ht="15.75" customHeight="1">
      <c r="A29" s="14" t="str">
        <f>'bloco 03'!$B15</f>
        <v/>
      </c>
      <c r="B29" s="48" t="str">
        <f>'bloco 03'!C15</f>
        <v/>
      </c>
      <c r="C29" s="48" t="str">
        <f>'bloco 03'!D15</f>
        <v/>
      </c>
      <c r="D29" s="48" t="str">
        <f>'bloco 03'!E15</f>
        <v/>
      </c>
      <c r="E29" s="41" t="str">
        <f>IFERROR(('bloco 03'!F15),"")</f>
        <v/>
      </c>
      <c r="F29" s="49" t="str">
        <f>'bloco 03'!G15</f>
        <v/>
      </c>
    </row>
    <row r="30" ht="15.75" customHeight="1">
      <c r="A30" s="30" t="s">
        <v>22</v>
      </c>
    </row>
    <row r="31" ht="15.75" customHeight="1">
      <c r="A31" s="33"/>
      <c r="B31" s="33" t="s">
        <v>10</v>
      </c>
      <c r="C31" s="37" t="s">
        <v>12</v>
      </c>
      <c r="D31" s="37" t="s">
        <v>13</v>
      </c>
      <c r="E31" s="37" t="s">
        <v>21</v>
      </c>
      <c r="F31" s="37" t="s">
        <v>15</v>
      </c>
    </row>
    <row r="32" ht="15.75" customHeight="1">
      <c r="A32" s="14" t="str">
        <f>'bloco 03'!$B21</f>
        <v/>
      </c>
      <c r="B32" s="48" t="str">
        <f>'bloco 03'!C21</f>
        <v/>
      </c>
      <c r="C32" s="48" t="str">
        <f>'bloco 03'!D21</f>
        <v/>
      </c>
      <c r="D32" s="48" t="str">
        <f>'bloco 03'!E21</f>
        <v/>
      </c>
      <c r="E32" s="41" t="str">
        <f>IFERROR(('bloco 03'!F21),"")</f>
        <v/>
      </c>
      <c r="F32" s="49" t="str">
        <f>'bloco 03'!G21</f>
        <v/>
      </c>
    </row>
    <row r="33" ht="15.75" customHeight="1">
      <c r="A33" s="14" t="str">
        <f>'bloco 03'!$B22</f>
        <v/>
      </c>
      <c r="B33" s="48" t="str">
        <f>'bloco 03'!C22</f>
        <v/>
      </c>
      <c r="C33" s="48" t="str">
        <f>'bloco 03'!D22</f>
        <v/>
      </c>
      <c r="D33" s="48" t="str">
        <f>'bloco 03'!E22</f>
        <v/>
      </c>
      <c r="E33" s="41" t="str">
        <f>IFERROR(('bloco 03'!F22),"")</f>
        <v/>
      </c>
      <c r="F33" s="49" t="str">
        <f>'bloco 03'!G22</f>
        <v/>
      </c>
    </row>
    <row r="34" ht="15.75" customHeight="1">
      <c r="A34" s="14" t="str">
        <f>'bloco 03'!$B23</f>
        <v/>
      </c>
      <c r="B34" s="48" t="str">
        <f>'bloco 03'!C23</f>
        <v/>
      </c>
      <c r="C34" s="48" t="str">
        <f>'bloco 03'!D23</f>
        <v/>
      </c>
      <c r="D34" s="48" t="str">
        <f>'bloco 03'!E23</f>
        <v/>
      </c>
      <c r="E34" s="41" t="str">
        <f>IFERROR(('bloco 03'!F23),"")</f>
        <v/>
      </c>
      <c r="F34" s="49" t="str">
        <f>'bloco 03'!G23</f>
        <v/>
      </c>
    </row>
    <row r="35" ht="15.75" customHeight="1">
      <c r="A35" s="14" t="str">
        <f>'bloco 03'!$B24</f>
        <v/>
      </c>
      <c r="B35" s="48" t="str">
        <f>'bloco 03'!C24</f>
        <v/>
      </c>
      <c r="C35" s="48" t="str">
        <f>'bloco 03'!D24</f>
        <v/>
      </c>
      <c r="D35" s="48" t="str">
        <f>'bloco 03'!E24</f>
        <v/>
      </c>
      <c r="E35" s="41" t="str">
        <f>IFERROR(('bloco 03'!F24),"")</f>
        <v/>
      </c>
      <c r="F35" s="49" t="str">
        <f>'bloco 03'!G24</f>
        <v/>
      </c>
    </row>
    <row r="36" ht="15.75" customHeight="1">
      <c r="A36" s="14" t="str">
        <f>'bloco 03'!$B25</f>
        <v/>
      </c>
      <c r="B36" s="48" t="str">
        <f>'bloco 03'!C25</f>
        <v/>
      </c>
      <c r="C36" s="48" t="str">
        <f>'bloco 03'!D25</f>
        <v/>
      </c>
      <c r="D36" s="48" t="str">
        <f>'bloco 03'!E25</f>
        <v/>
      </c>
      <c r="E36" s="41" t="str">
        <f>IFERROR(('bloco 03'!F25),"")</f>
        <v/>
      </c>
      <c r="F36" s="49" t="str">
        <f>'bloco 03'!G25</f>
        <v/>
      </c>
    </row>
    <row r="37" ht="15.75" customHeight="1">
      <c r="A37" s="14" t="str">
        <f>'bloco 03'!$B26</f>
        <v/>
      </c>
      <c r="B37" s="48" t="str">
        <f>'bloco 03'!C26</f>
        <v/>
      </c>
      <c r="C37" s="48" t="str">
        <f>'bloco 03'!D26</f>
        <v/>
      </c>
      <c r="D37" s="48" t="str">
        <f>'bloco 03'!E26</f>
        <v/>
      </c>
      <c r="E37" s="41" t="str">
        <f>IFERROR(('bloco 03'!F26),"")</f>
        <v/>
      </c>
      <c r="F37" s="49" t="str">
        <f>'bloco 03'!G26</f>
        <v/>
      </c>
    </row>
    <row r="38" ht="15.75" customHeight="1">
      <c r="A38" s="14" t="str">
        <f>'bloco 03'!$B27</f>
        <v/>
      </c>
      <c r="B38" s="48" t="str">
        <f>'bloco 03'!C27</f>
        <v/>
      </c>
      <c r="C38" s="48" t="str">
        <f>'bloco 03'!D27</f>
        <v/>
      </c>
      <c r="D38" s="48" t="str">
        <f>'bloco 03'!E27</f>
        <v/>
      </c>
      <c r="E38" s="41" t="str">
        <f>IFERROR(('bloco 03'!F27),"")</f>
        <v/>
      </c>
      <c r="F38" s="49" t="str">
        <f>'bloco 03'!G27</f>
        <v/>
      </c>
    </row>
    <row r="39" ht="15.75" customHeight="1">
      <c r="A39" s="14" t="str">
        <f>'bloco 03'!$B28</f>
        <v/>
      </c>
      <c r="B39" s="48" t="str">
        <f>'bloco 03'!C28</f>
        <v/>
      </c>
      <c r="C39" s="48" t="str">
        <f>'bloco 03'!D28</f>
        <v/>
      </c>
      <c r="D39" s="48" t="str">
        <f>'bloco 03'!E28</f>
        <v/>
      </c>
      <c r="E39" s="41" t="str">
        <f>IFERROR(('bloco 03'!F28),"")</f>
        <v/>
      </c>
      <c r="F39" s="49" t="str">
        <f>'bloco 03'!G28</f>
        <v/>
      </c>
    </row>
    <row r="40" ht="15.75" customHeight="1">
      <c r="A40" s="14" t="str">
        <f>'bloco 03'!$B29</f>
        <v/>
      </c>
      <c r="B40" s="48" t="str">
        <f>'bloco 03'!C29</f>
        <v/>
      </c>
      <c r="C40" s="48" t="str">
        <f>'bloco 03'!D29</f>
        <v/>
      </c>
      <c r="D40" s="48" t="str">
        <f>'bloco 03'!E29</f>
        <v/>
      </c>
      <c r="E40" s="41" t="str">
        <f>IFERROR(('bloco 03'!F29),"")</f>
        <v/>
      </c>
      <c r="F40" s="49" t="str">
        <f>'bloco 03'!G29</f>
        <v/>
      </c>
    </row>
    <row r="41" ht="15.75" customHeight="1">
      <c r="A41" s="14" t="str">
        <f>'bloco 03'!$B30</f>
        <v/>
      </c>
      <c r="B41" s="48" t="str">
        <f>'bloco 03'!C30</f>
        <v/>
      </c>
      <c r="C41" s="48" t="str">
        <f>'bloco 03'!D30</f>
        <v/>
      </c>
      <c r="D41" s="48" t="str">
        <f>'bloco 03'!E30</f>
        <v/>
      </c>
      <c r="E41" s="41" t="str">
        <f>IFERROR(('bloco 03'!F30),"")</f>
        <v/>
      </c>
      <c r="F41" s="49" t="str">
        <f>'bloco 03'!G30</f>
        <v/>
      </c>
    </row>
    <row r="42" ht="15.75" customHeight="1">
      <c r="A42" s="30" t="s">
        <v>26</v>
      </c>
    </row>
    <row r="43" ht="15.75" customHeight="1">
      <c r="A43" s="33"/>
      <c r="B43" s="33" t="s">
        <v>10</v>
      </c>
      <c r="C43" s="37" t="s">
        <v>12</v>
      </c>
      <c r="D43" s="37" t="s">
        <v>13</v>
      </c>
      <c r="E43" s="37" t="s">
        <v>21</v>
      </c>
      <c r="F43" s="37" t="s">
        <v>15</v>
      </c>
    </row>
    <row r="44" ht="15.75" customHeight="1">
      <c r="A44" s="14" t="str">
        <f>'bloco 03'!$B36</f>
        <v/>
      </c>
      <c r="B44" s="48" t="str">
        <f>'bloco 03'!C36</f>
        <v/>
      </c>
      <c r="C44" s="48" t="str">
        <f>'bloco 03'!D36</f>
        <v/>
      </c>
      <c r="D44" s="48" t="str">
        <f>'bloco 03'!E36</f>
        <v/>
      </c>
      <c r="E44" s="41" t="str">
        <f>IFERROR(('bloco 03'!F36),"")</f>
        <v/>
      </c>
      <c r="F44" s="49" t="str">
        <f>'bloco 03'!G36</f>
        <v/>
      </c>
    </row>
    <row r="45" ht="15.75" customHeight="1">
      <c r="A45" s="14" t="str">
        <f>'bloco 03'!$B37</f>
        <v/>
      </c>
      <c r="B45" s="48" t="str">
        <f>'bloco 03'!C37</f>
        <v/>
      </c>
      <c r="C45" s="48" t="str">
        <f>'bloco 03'!D37</f>
        <v/>
      </c>
      <c r="D45" s="48" t="str">
        <f>'bloco 03'!E37</f>
        <v/>
      </c>
      <c r="E45" s="41" t="str">
        <f>IFERROR(('bloco 03'!F37),"")</f>
        <v/>
      </c>
      <c r="F45" s="49" t="str">
        <f>'bloco 03'!G37</f>
        <v/>
      </c>
    </row>
    <row r="46" ht="15.75" customHeight="1">
      <c r="A46" s="14" t="str">
        <f>'bloco 03'!$B38</f>
        <v/>
      </c>
      <c r="B46" s="48" t="str">
        <f>'bloco 03'!C38</f>
        <v/>
      </c>
      <c r="C46" s="48" t="str">
        <f>'bloco 03'!D38</f>
        <v/>
      </c>
      <c r="D46" s="48" t="str">
        <f>'bloco 03'!E38</f>
        <v/>
      </c>
      <c r="E46" s="41" t="str">
        <f>IFERROR(('bloco 03'!F38),"")</f>
        <v/>
      </c>
      <c r="F46" s="49" t="str">
        <f>'bloco 03'!G38</f>
        <v/>
      </c>
    </row>
    <row r="47" ht="15.75" customHeight="1">
      <c r="A47" s="14" t="str">
        <f>'bloco 03'!$B39</f>
        <v/>
      </c>
      <c r="B47" s="48" t="str">
        <f>'bloco 03'!C39</f>
        <v/>
      </c>
      <c r="C47" s="48" t="str">
        <f>'bloco 03'!D39</f>
        <v/>
      </c>
      <c r="D47" s="48" t="str">
        <f>'bloco 03'!E39</f>
        <v/>
      </c>
      <c r="E47" s="41" t="str">
        <f>IFERROR(('bloco 03'!F39),"")</f>
        <v/>
      </c>
      <c r="F47" s="49" t="str">
        <f>'bloco 03'!G39</f>
        <v/>
      </c>
    </row>
    <row r="48" ht="15.75" customHeight="1">
      <c r="A48" s="14" t="str">
        <f>'bloco 03'!$B40</f>
        <v/>
      </c>
      <c r="B48" s="48" t="str">
        <f>'bloco 03'!C40</f>
        <v/>
      </c>
      <c r="C48" s="48" t="str">
        <f>'bloco 03'!D40</f>
        <v/>
      </c>
      <c r="D48" s="48" t="str">
        <f>'bloco 03'!E40</f>
        <v/>
      </c>
      <c r="E48" s="41" t="str">
        <f>IFERROR(('bloco 03'!F40),"")</f>
        <v/>
      </c>
      <c r="F48" s="49" t="str">
        <f>'bloco 03'!G40</f>
        <v/>
      </c>
    </row>
    <row r="49" ht="15.75" customHeight="1">
      <c r="A49" s="14" t="str">
        <f>'bloco 03'!$B41</f>
        <v/>
      </c>
      <c r="B49" s="48" t="str">
        <f>'bloco 03'!C41</f>
        <v/>
      </c>
      <c r="C49" s="48" t="str">
        <f>'bloco 03'!D41</f>
        <v/>
      </c>
      <c r="D49" s="48" t="str">
        <f>'bloco 03'!E41</f>
        <v/>
      </c>
      <c r="E49" s="41" t="str">
        <f>IFERROR(('bloco 03'!F41),"")</f>
        <v/>
      </c>
      <c r="F49" s="49" t="str">
        <f>'bloco 03'!G41</f>
        <v/>
      </c>
    </row>
    <row r="50" ht="15.75" customHeight="1">
      <c r="A50" s="14" t="str">
        <f>'bloco 03'!$B42</f>
        <v/>
      </c>
      <c r="B50" s="48" t="str">
        <f>'bloco 03'!C42</f>
        <v/>
      </c>
      <c r="C50" s="48" t="str">
        <f>'bloco 03'!D42</f>
        <v/>
      </c>
      <c r="D50" s="48" t="str">
        <f>'bloco 03'!E42</f>
        <v/>
      </c>
      <c r="E50" s="41" t="str">
        <f>IFERROR(('bloco 03'!F42),"")</f>
        <v/>
      </c>
      <c r="F50" s="49" t="str">
        <f>'bloco 03'!G42</f>
        <v/>
      </c>
    </row>
    <row r="51" ht="15.75" customHeight="1">
      <c r="A51" s="14" t="str">
        <f>'bloco 03'!$B43</f>
        <v/>
      </c>
      <c r="B51" s="48" t="str">
        <f>'bloco 03'!C43</f>
        <v/>
      </c>
      <c r="C51" s="48" t="str">
        <f>'bloco 03'!D43</f>
        <v/>
      </c>
      <c r="D51" s="48" t="str">
        <f>'bloco 03'!E43</f>
        <v/>
      </c>
      <c r="E51" s="41" t="str">
        <f>IFERROR(('bloco 03'!F43),"")</f>
        <v/>
      </c>
      <c r="F51" s="49" t="str">
        <f>'bloco 03'!G43</f>
        <v/>
      </c>
    </row>
    <row r="52" ht="15.75" customHeight="1">
      <c r="A52" s="14" t="str">
        <f>'bloco 03'!$B44</f>
        <v/>
      </c>
      <c r="B52" s="48" t="str">
        <f>'bloco 03'!C44</f>
        <v/>
      </c>
      <c r="C52" s="48" t="str">
        <f>'bloco 03'!D44</f>
        <v/>
      </c>
      <c r="D52" s="48" t="str">
        <f>'bloco 03'!E44</f>
        <v/>
      </c>
      <c r="E52" s="41" t="str">
        <f>IFERROR(('bloco 03'!F44),"")</f>
        <v/>
      </c>
      <c r="F52" s="49" t="str">
        <f>'bloco 03'!G44</f>
        <v/>
      </c>
    </row>
    <row r="53" ht="15.75" customHeight="1">
      <c r="A53" s="14" t="str">
        <f>'bloco 03'!$B45</f>
        <v/>
      </c>
      <c r="B53" s="48" t="str">
        <f>'bloco 03'!C45</f>
        <v/>
      </c>
      <c r="C53" s="48" t="str">
        <f>'bloco 03'!D45</f>
        <v/>
      </c>
      <c r="D53" s="48" t="str">
        <f>'bloco 03'!E45</f>
        <v/>
      </c>
      <c r="E53" s="41" t="str">
        <f>IFERROR(('bloco 03'!F45),"")</f>
        <v/>
      </c>
      <c r="F53" s="49" t="str">
        <f>'bloco 03'!G45</f>
        <v/>
      </c>
    </row>
    <row r="54" ht="15.75" customHeight="1">
      <c r="A54" s="45">
        <f>'bloco 03'!J3</f>
        <v>46309</v>
      </c>
    </row>
    <row r="55" ht="15.75" customHeight="1">
      <c r="A55" s="46" t="s">
        <v>23</v>
      </c>
    </row>
    <row r="56" ht="15.75" customHeight="1">
      <c r="A56" s="30" t="s">
        <v>5</v>
      </c>
    </row>
    <row r="57" ht="15.75" customHeight="1">
      <c r="A57" s="33"/>
      <c r="B57" s="33" t="s">
        <v>10</v>
      </c>
      <c r="C57" s="37" t="s">
        <v>12</v>
      </c>
      <c r="D57" s="37" t="s">
        <v>13</v>
      </c>
      <c r="E57" s="78" t="s">
        <v>21</v>
      </c>
      <c r="F57" s="37" t="s">
        <v>15</v>
      </c>
    </row>
    <row r="58" ht="15.75" customHeight="1">
      <c r="A58" s="14" t="str">
        <f>'bloco 03'!$I6</f>
        <v/>
      </c>
      <c r="B58" s="48" t="str">
        <f>'bloco 03'!J6</f>
        <v/>
      </c>
      <c r="C58" s="48" t="str">
        <f>'bloco 03'!K6</f>
        <v/>
      </c>
      <c r="D58" s="48" t="str">
        <f>'bloco 03'!L6</f>
        <v/>
      </c>
      <c r="E58" s="41" t="str">
        <f>IFERROR(('bloco 03'!M6),"")</f>
        <v/>
      </c>
      <c r="F58" s="49" t="str">
        <f>'bloco 03'!N6</f>
        <v/>
      </c>
    </row>
    <row r="59" ht="15.75" customHeight="1">
      <c r="A59" s="14" t="str">
        <f>'bloco 03'!$I7</f>
        <v/>
      </c>
      <c r="B59" s="48" t="str">
        <f>'bloco 03'!J7</f>
        <v/>
      </c>
      <c r="C59" s="48" t="str">
        <f>'bloco 03'!K7</f>
        <v/>
      </c>
      <c r="D59" s="48" t="str">
        <f>'bloco 03'!L7</f>
        <v/>
      </c>
      <c r="E59" s="41" t="str">
        <f>IFERROR(('bloco 03'!M7),"")</f>
        <v/>
      </c>
      <c r="F59" s="49" t="str">
        <f>'bloco 03'!N7</f>
        <v/>
      </c>
    </row>
    <row r="60" ht="15.75" customHeight="1">
      <c r="A60" s="14" t="str">
        <f>'bloco 03'!$I8</f>
        <v/>
      </c>
      <c r="B60" s="48" t="str">
        <f>'bloco 03'!J8</f>
        <v/>
      </c>
      <c r="C60" s="48" t="str">
        <f>'bloco 03'!K8</f>
        <v/>
      </c>
      <c r="D60" s="48" t="str">
        <f>'bloco 03'!L8</f>
        <v/>
      </c>
      <c r="E60" s="41" t="str">
        <f>IFERROR(('bloco 03'!M8),"")</f>
        <v/>
      </c>
      <c r="F60" s="49" t="str">
        <f>'bloco 03'!N8</f>
        <v/>
      </c>
    </row>
    <row r="61" ht="15.75" customHeight="1">
      <c r="A61" s="14" t="str">
        <f>'bloco 03'!$I9</f>
        <v/>
      </c>
      <c r="B61" s="48" t="str">
        <f>'bloco 03'!J9</f>
        <v/>
      </c>
      <c r="C61" s="48" t="str">
        <f>'bloco 03'!K9</f>
        <v/>
      </c>
      <c r="D61" s="48" t="str">
        <f>'bloco 03'!L9</f>
        <v/>
      </c>
      <c r="E61" s="41" t="str">
        <f>IFERROR(('bloco 03'!M9),"")</f>
        <v/>
      </c>
      <c r="F61" s="49" t="str">
        <f>'bloco 03'!N9</f>
        <v/>
      </c>
    </row>
    <row r="62" ht="15.75" customHeight="1">
      <c r="A62" s="14" t="str">
        <f>'bloco 03'!$I10</f>
        <v/>
      </c>
      <c r="B62" s="48" t="str">
        <f>'bloco 03'!J10</f>
        <v/>
      </c>
      <c r="C62" s="48" t="str">
        <f>'bloco 03'!K10</f>
        <v/>
      </c>
      <c r="D62" s="48" t="str">
        <f>'bloco 03'!L10</f>
        <v/>
      </c>
      <c r="E62" s="41" t="str">
        <f>IFERROR(('bloco 03'!M10),"")</f>
        <v/>
      </c>
      <c r="F62" s="49" t="str">
        <f>'bloco 03'!N10</f>
        <v/>
      </c>
    </row>
    <row r="63" ht="15.75" customHeight="1">
      <c r="A63" s="14" t="str">
        <f>'bloco 03'!$I11</f>
        <v/>
      </c>
      <c r="B63" s="48" t="str">
        <f>'bloco 03'!J11</f>
        <v/>
      </c>
      <c r="C63" s="48" t="str">
        <f>'bloco 03'!K11</f>
        <v/>
      </c>
      <c r="D63" s="48" t="str">
        <f>'bloco 03'!L11</f>
        <v/>
      </c>
      <c r="E63" s="41" t="str">
        <f>IFERROR(('bloco 03'!M11),"")</f>
        <v/>
      </c>
      <c r="F63" s="49" t="str">
        <f>'bloco 03'!N11</f>
        <v/>
      </c>
    </row>
    <row r="64" ht="15.75" customHeight="1">
      <c r="A64" s="14" t="str">
        <f>'bloco 03'!$I12</f>
        <v/>
      </c>
      <c r="B64" s="48" t="str">
        <f>'bloco 03'!J12</f>
        <v/>
      </c>
      <c r="C64" s="48" t="str">
        <f>'bloco 03'!K12</f>
        <v/>
      </c>
      <c r="D64" s="48" t="str">
        <f>'bloco 03'!L12</f>
        <v/>
      </c>
      <c r="E64" s="41" t="str">
        <f>IFERROR(('bloco 03'!M12),"")</f>
        <v/>
      </c>
      <c r="F64" s="49" t="str">
        <f>'bloco 03'!N12</f>
        <v/>
      </c>
    </row>
    <row r="65" ht="15.75" customHeight="1">
      <c r="A65" s="14" t="str">
        <f>'bloco 03'!$I13</f>
        <v/>
      </c>
      <c r="B65" s="48" t="str">
        <f>'bloco 03'!J13</f>
        <v/>
      </c>
      <c r="C65" s="48" t="str">
        <f>'bloco 03'!K13</f>
        <v/>
      </c>
      <c r="D65" s="48" t="str">
        <f>'bloco 03'!L13</f>
        <v/>
      </c>
      <c r="E65" s="41" t="str">
        <f>IFERROR(('bloco 03'!M13),"")</f>
        <v/>
      </c>
      <c r="F65" s="49" t="str">
        <f>'bloco 03'!N13</f>
        <v/>
      </c>
    </row>
    <row r="66" ht="15.75" customHeight="1">
      <c r="A66" s="14" t="str">
        <f>'bloco 03'!$I14</f>
        <v/>
      </c>
      <c r="B66" s="48" t="str">
        <f>'bloco 03'!J14</f>
        <v/>
      </c>
      <c r="C66" s="48" t="str">
        <f>'bloco 03'!K14</f>
        <v/>
      </c>
      <c r="D66" s="48" t="str">
        <f>'bloco 03'!L14</f>
        <v/>
      </c>
      <c r="E66" s="41" t="str">
        <f>IFERROR(('bloco 03'!M14),"")</f>
        <v/>
      </c>
      <c r="F66" s="49" t="str">
        <f>'bloco 03'!N14</f>
        <v/>
      </c>
    </row>
    <row r="67" ht="15.75" customHeight="1">
      <c r="A67" s="14" t="str">
        <f>'bloco 03'!$I15</f>
        <v/>
      </c>
      <c r="B67" s="48" t="str">
        <f>'bloco 03'!J15</f>
        <v/>
      </c>
      <c r="C67" s="48" t="str">
        <f>'bloco 03'!K15</f>
        <v/>
      </c>
      <c r="D67" s="48" t="str">
        <f>'bloco 03'!L15</f>
        <v/>
      </c>
      <c r="E67" s="41" t="str">
        <f>IFERROR(('bloco 03'!M15),"")</f>
        <v/>
      </c>
      <c r="F67" s="49" t="str">
        <f>'bloco 03'!N15</f>
        <v/>
      </c>
    </row>
    <row r="68" ht="15.75" customHeight="1">
      <c r="A68" s="30" t="s">
        <v>22</v>
      </c>
    </row>
    <row r="69" ht="15.75" customHeight="1">
      <c r="A69" s="33"/>
      <c r="B69" s="33" t="s">
        <v>10</v>
      </c>
      <c r="C69" s="37" t="s">
        <v>12</v>
      </c>
      <c r="D69" s="37" t="s">
        <v>13</v>
      </c>
      <c r="E69" s="37" t="s">
        <v>21</v>
      </c>
      <c r="F69" s="37" t="s">
        <v>15</v>
      </c>
    </row>
    <row r="70" ht="15.75" customHeight="1">
      <c r="A70" s="14" t="str">
        <f>'bloco 03'!$I21</f>
        <v/>
      </c>
      <c r="B70" s="48" t="str">
        <f>'bloco 03'!J21</f>
        <v/>
      </c>
      <c r="C70" s="48" t="str">
        <f>'bloco 03'!K21</f>
        <v/>
      </c>
      <c r="D70" s="48" t="str">
        <f>'bloco 03'!L21</f>
        <v/>
      </c>
      <c r="E70" s="41" t="str">
        <f>IFERROR(('bloco 03'!M21),"")</f>
        <v/>
      </c>
      <c r="F70" s="49" t="str">
        <f>'bloco 03'!N21</f>
        <v/>
      </c>
    </row>
    <row r="71" ht="15.75" customHeight="1">
      <c r="A71" s="14" t="str">
        <f>'bloco 03'!$I22</f>
        <v/>
      </c>
      <c r="B71" s="48" t="str">
        <f>'bloco 03'!J22</f>
        <v/>
      </c>
      <c r="C71" s="48" t="str">
        <f>'bloco 03'!K22</f>
        <v/>
      </c>
      <c r="D71" s="48" t="str">
        <f>'bloco 03'!L22</f>
        <v/>
      </c>
      <c r="E71" s="41" t="str">
        <f>IFERROR(('bloco 03'!M22),"")</f>
        <v/>
      </c>
      <c r="F71" s="49" t="str">
        <f>'bloco 03'!N22</f>
        <v/>
      </c>
    </row>
    <row r="72" ht="15.75" customHeight="1">
      <c r="A72" s="14" t="str">
        <f>'bloco 03'!$I23</f>
        <v/>
      </c>
      <c r="B72" s="48" t="str">
        <f>'bloco 03'!J23</f>
        <v/>
      </c>
      <c r="C72" s="48" t="str">
        <f>'bloco 03'!K23</f>
        <v/>
      </c>
      <c r="D72" s="48" t="str">
        <f>'bloco 03'!L23</f>
        <v/>
      </c>
      <c r="E72" s="41" t="str">
        <f>IFERROR(('bloco 03'!M23),"")</f>
        <v/>
      </c>
      <c r="F72" s="49" t="str">
        <f>'bloco 03'!N23</f>
        <v/>
      </c>
    </row>
    <row r="73" ht="15.75" customHeight="1">
      <c r="A73" s="14" t="str">
        <f>'bloco 03'!$I24</f>
        <v/>
      </c>
      <c r="B73" s="48" t="str">
        <f>'bloco 03'!J24</f>
        <v/>
      </c>
      <c r="C73" s="48" t="str">
        <f>'bloco 03'!K24</f>
        <v/>
      </c>
      <c r="D73" s="48" t="str">
        <f>'bloco 03'!L24</f>
        <v/>
      </c>
      <c r="E73" s="41" t="str">
        <f>IFERROR(('bloco 03'!M24),"")</f>
        <v/>
      </c>
      <c r="F73" s="49" t="str">
        <f>'bloco 03'!N24</f>
        <v/>
      </c>
    </row>
    <row r="74" ht="15.75" customHeight="1">
      <c r="A74" s="14" t="str">
        <f>'bloco 03'!$I25</f>
        <v/>
      </c>
      <c r="B74" s="48" t="str">
        <f>'bloco 03'!J25</f>
        <v/>
      </c>
      <c r="C74" s="48" t="str">
        <f>'bloco 03'!K25</f>
        <v/>
      </c>
      <c r="D74" s="48" t="str">
        <f>'bloco 03'!L25</f>
        <v/>
      </c>
      <c r="E74" s="41" t="str">
        <f>IFERROR(('bloco 03'!M25),"")</f>
        <v/>
      </c>
      <c r="F74" s="49" t="str">
        <f>'bloco 03'!N25</f>
        <v/>
      </c>
    </row>
    <row r="75" ht="15.75" customHeight="1">
      <c r="A75" s="14" t="str">
        <f>'bloco 03'!$I26</f>
        <v/>
      </c>
      <c r="B75" s="48" t="str">
        <f>'bloco 03'!J26</f>
        <v/>
      </c>
      <c r="C75" s="48" t="str">
        <f>'bloco 03'!K26</f>
        <v/>
      </c>
      <c r="D75" s="48" t="str">
        <f>'bloco 03'!L26</f>
        <v/>
      </c>
      <c r="E75" s="41" t="str">
        <f>IFERROR(('bloco 03'!M26),"")</f>
        <v/>
      </c>
      <c r="F75" s="49" t="str">
        <f>'bloco 03'!N26</f>
        <v/>
      </c>
    </row>
    <row r="76" ht="15.75" customHeight="1">
      <c r="A76" s="14" t="str">
        <f>'bloco 03'!$I27</f>
        <v/>
      </c>
      <c r="B76" s="48" t="str">
        <f>'bloco 03'!J27</f>
        <v/>
      </c>
      <c r="C76" s="48" t="str">
        <f>'bloco 03'!K27</f>
        <v/>
      </c>
      <c r="D76" s="48" t="str">
        <f>'bloco 03'!L27</f>
        <v/>
      </c>
      <c r="E76" s="41" t="str">
        <f>IFERROR(('bloco 03'!M27),"")</f>
        <v/>
      </c>
      <c r="F76" s="49" t="str">
        <f>'bloco 03'!N27</f>
        <v/>
      </c>
    </row>
    <row r="77" ht="15.75" customHeight="1">
      <c r="A77" s="14" t="str">
        <f>'bloco 03'!$I28</f>
        <v/>
      </c>
      <c r="B77" s="48" t="str">
        <f>'bloco 03'!J28</f>
        <v/>
      </c>
      <c r="C77" s="48" t="str">
        <f>'bloco 03'!K28</f>
        <v/>
      </c>
      <c r="D77" s="48" t="str">
        <f>'bloco 03'!L28</f>
        <v/>
      </c>
      <c r="E77" s="41" t="str">
        <f>IFERROR(('bloco 03'!M28),"")</f>
        <v/>
      </c>
      <c r="F77" s="49" t="str">
        <f>'bloco 03'!N28</f>
        <v/>
      </c>
    </row>
    <row r="78" ht="15.75" customHeight="1">
      <c r="A78" s="14" t="str">
        <f>'bloco 03'!$I29</f>
        <v/>
      </c>
      <c r="B78" s="48" t="str">
        <f>'bloco 03'!J29</f>
        <v/>
      </c>
      <c r="C78" s="48" t="str">
        <f>'bloco 03'!K29</f>
        <v/>
      </c>
      <c r="D78" s="48" t="str">
        <f>'bloco 03'!L29</f>
        <v/>
      </c>
      <c r="E78" s="41" t="str">
        <f>IFERROR(('bloco 03'!M29),"")</f>
        <v/>
      </c>
      <c r="F78" s="49" t="str">
        <f>'bloco 03'!N29</f>
        <v/>
      </c>
    </row>
    <row r="79" ht="15.75" customHeight="1">
      <c r="A79" s="14" t="str">
        <f>'bloco 03'!$I30</f>
        <v/>
      </c>
      <c r="B79" s="48" t="str">
        <f>'bloco 03'!J30</f>
        <v/>
      </c>
      <c r="C79" s="48" t="str">
        <f>'bloco 03'!K30</f>
        <v/>
      </c>
      <c r="D79" s="48" t="str">
        <f>'bloco 03'!L30</f>
        <v/>
      </c>
      <c r="E79" s="41" t="str">
        <f>IFERROR(('bloco 03'!M30),"")</f>
        <v/>
      </c>
      <c r="F79" s="49" t="str">
        <f>'bloco 03'!N30</f>
        <v/>
      </c>
    </row>
    <row r="80" ht="15.75" customHeight="1">
      <c r="A80" s="30" t="s">
        <v>26</v>
      </c>
    </row>
    <row r="81" ht="15.75" customHeight="1">
      <c r="A81" s="33"/>
      <c r="B81" s="33" t="s">
        <v>10</v>
      </c>
      <c r="C81" s="37" t="s">
        <v>12</v>
      </c>
      <c r="D81" s="37" t="s">
        <v>13</v>
      </c>
      <c r="E81" s="37" t="s">
        <v>21</v>
      </c>
      <c r="F81" s="37" t="s">
        <v>15</v>
      </c>
    </row>
    <row r="82" ht="15.75" customHeight="1">
      <c r="A82" s="14" t="str">
        <f>'bloco 03'!$I36</f>
        <v/>
      </c>
      <c r="B82" s="48" t="str">
        <f>'bloco 03'!J36</f>
        <v/>
      </c>
      <c r="C82" s="48" t="str">
        <f>'bloco 03'!K36</f>
        <v/>
      </c>
      <c r="D82" s="48" t="str">
        <f>'bloco 03'!L36</f>
        <v/>
      </c>
      <c r="E82" s="41" t="str">
        <f>IFERROR(('bloco 03'!M36),"")</f>
        <v/>
      </c>
      <c r="F82" s="49" t="str">
        <f>'bloco 03'!N36</f>
        <v/>
      </c>
    </row>
    <row r="83" ht="15.75" customHeight="1">
      <c r="A83" s="14" t="str">
        <f>'bloco 03'!$I37</f>
        <v/>
      </c>
      <c r="B83" s="48" t="str">
        <f>'bloco 03'!J37</f>
        <v/>
      </c>
      <c r="C83" s="48" t="str">
        <f>'bloco 03'!K37</f>
        <v/>
      </c>
      <c r="D83" s="48" t="str">
        <f>'bloco 03'!L37</f>
        <v/>
      </c>
      <c r="E83" s="41" t="str">
        <f>IFERROR(('bloco 03'!M37),"")</f>
        <v/>
      </c>
      <c r="F83" s="49" t="str">
        <f>'bloco 03'!N37</f>
        <v/>
      </c>
    </row>
    <row r="84" ht="15.75" customHeight="1">
      <c r="A84" s="14" t="str">
        <f>'bloco 03'!$I38</f>
        <v/>
      </c>
      <c r="B84" s="48" t="str">
        <f>'bloco 03'!J38</f>
        <v/>
      </c>
      <c r="C84" s="48" t="str">
        <f>'bloco 03'!K38</f>
        <v/>
      </c>
      <c r="D84" s="48" t="str">
        <f>'bloco 03'!L38</f>
        <v/>
      </c>
      <c r="E84" s="41" t="str">
        <f>IFERROR(('bloco 03'!M38),"")</f>
        <v/>
      </c>
      <c r="F84" s="49" t="str">
        <f>'bloco 03'!N38</f>
        <v/>
      </c>
    </row>
    <row r="85" ht="15.75" customHeight="1">
      <c r="A85" s="14" t="str">
        <f>'bloco 03'!$I39</f>
        <v/>
      </c>
      <c r="B85" s="48" t="str">
        <f>'bloco 03'!J39</f>
        <v/>
      </c>
      <c r="C85" s="48" t="str">
        <f>'bloco 03'!K39</f>
        <v/>
      </c>
      <c r="D85" s="48" t="str">
        <f>'bloco 03'!L39</f>
        <v/>
      </c>
      <c r="E85" s="41" t="str">
        <f>IFERROR(('bloco 03'!M39),"")</f>
        <v/>
      </c>
      <c r="F85" s="49" t="str">
        <f>'bloco 03'!N39</f>
        <v/>
      </c>
    </row>
    <row r="86" ht="15.75" customHeight="1">
      <c r="A86" s="14" t="str">
        <f>'bloco 03'!$I40</f>
        <v/>
      </c>
      <c r="B86" s="48" t="str">
        <f>'bloco 03'!J40</f>
        <v/>
      </c>
      <c r="C86" s="48" t="str">
        <f>'bloco 03'!K40</f>
        <v/>
      </c>
      <c r="D86" s="48" t="str">
        <f>'bloco 03'!L40</f>
        <v/>
      </c>
      <c r="E86" s="41" t="str">
        <f>IFERROR(('bloco 03'!M40),"")</f>
        <v/>
      </c>
      <c r="F86" s="49" t="str">
        <f>'bloco 03'!N40</f>
        <v/>
      </c>
    </row>
    <row r="87" ht="15.75" customHeight="1">
      <c r="A87" s="14" t="str">
        <f>'bloco 03'!$I41</f>
        <v/>
      </c>
      <c r="B87" s="48" t="str">
        <f>'bloco 03'!J41</f>
        <v/>
      </c>
      <c r="C87" s="48" t="str">
        <f>'bloco 03'!K41</f>
        <v/>
      </c>
      <c r="D87" s="48" t="str">
        <f>'bloco 03'!L41</f>
        <v/>
      </c>
      <c r="E87" s="41" t="str">
        <f>IFERROR(('bloco 03'!M41),"")</f>
        <v/>
      </c>
      <c r="F87" s="49" t="str">
        <f>'bloco 03'!N41</f>
        <v/>
      </c>
    </row>
    <row r="88" ht="15.75" customHeight="1">
      <c r="A88" s="14" t="str">
        <f>'bloco 03'!$I42</f>
        <v/>
      </c>
      <c r="B88" s="48" t="str">
        <f>'bloco 03'!J42</f>
        <v/>
      </c>
      <c r="C88" s="48" t="str">
        <f>'bloco 03'!K42</f>
        <v/>
      </c>
      <c r="D88" s="48" t="str">
        <f>'bloco 03'!L42</f>
        <v/>
      </c>
      <c r="E88" s="41" t="str">
        <f>IFERROR(('bloco 03'!M42),"")</f>
        <v/>
      </c>
      <c r="F88" s="49" t="str">
        <f>'bloco 03'!N42</f>
        <v/>
      </c>
    </row>
    <row r="89" ht="15.75" customHeight="1">
      <c r="A89" s="14" t="str">
        <f>'bloco 03'!$I43</f>
        <v/>
      </c>
      <c r="B89" s="48" t="str">
        <f>'bloco 03'!J43</f>
        <v/>
      </c>
      <c r="C89" s="48" t="str">
        <f>'bloco 03'!K43</f>
        <v/>
      </c>
      <c r="D89" s="48" t="str">
        <f>'bloco 03'!L43</f>
        <v/>
      </c>
      <c r="E89" s="41" t="str">
        <f>IFERROR(('bloco 03'!M43),"")</f>
        <v/>
      </c>
      <c r="F89" s="49" t="str">
        <f>'bloco 03'!N43</f>
        <v/>
      </c>
    </row>
    <row r="90" ht="15.75" customHeight="1">
      <c r="A90" s="14" t="str">
        <f>'bloco 03'!$I44</f>
        <v/>
      </c>
      <c r="B90" s="48" t="str">
        <f>'bloco 03'!J44</f>
        <v/>
      </c>
      <c r="C90" s="48" t="str">
        <f>'bloco 03'!K44</f>
        <v/>
      </c>
      <c r="D90" s="48" t="str">
        <f>'bloco 03'!L44</f>
        <v/>
      </c>
      <c r="E90" s="41" t="str">
        <f>IFERROR(('bloco 03'!M44),"")</f>
        <v/>
      </c>
      <c r="F90" s="49" t="str">
        <f>'bloco 03'!N44</f>
        <v/>
      </c>
    </row>
    <row r="91" ht="15.75" customHeight="1">
      <c r="A91" s="14" t="str">
        <f>'bloco 03'!$I45</f>
        <v/>
      </c>
      <c r="B91" s="48" t="str">
        <f>'bloco 03'!J45</f>
        <v/>
      </c>
      <c r="C91" s="48" t="str">
        <f>'bloco 03'!K45</f>
        <v/>
      </c>
      <c r="D91" s="48" t="str">
        <f>'bloco 03'!L45</f>
        <v/>
      </c>
      <c r="E91" s="41" t="str">
        <f>IFERROR(('bloco 03'!M45),"")</f>
        <v/>
      </c>
      <c r="F91" s="49" t="str">
        <f>'bloco 03'!N45</f>
        <v/>
      </c>
    </row>
    <row r="92" ht="15.75" customHeight="1">
      <c r="A92" s="48"/>
    </row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>
      <c r="A109" s="45">
        <f>'bloco 03'!Q3</f>
        <v>46316</v>
      </c>
    </row>
    <row r="110" ht="15.75" customHeight="1">
      <c r="A110" s="46" t="s">
        <v>24</v>
      </c>
    </row>
    <row r="111" ht="15.75" customHeight="1">
      <c r="A111" s="30" t="s">
        <v>5</v>
      </c>
    </row>
    <row r="112" ht="15.75" customHeight="1">
      <c r="A112" s="33"/>
      <c r="B112" s="33" t="s">
        <v>10</v>
      </c>
      <c r="C112" s="37" t="s">
        <v>12</v>
      </c>
      <c r="D112" s="37" t="s">
        <v>13</v>
      </c>
      <c r="E112" s="37" t="s">
        <v>21</v>
      </c>
      <c r="F112" s="37" t="s">
        <v>15</v>
      </c>
    </row>
    <row r="113" ht="15.75" customHeight="1">
      <c r="A113" s="14" t="str">
        <f>'bloco 03'!$P6</f>
        <v/>
      </c>
      <c r="B113" s="48" t="str">
        <f>'bloco 03'!Q6</f>
        <v/>
      </c>
      <c r="C113" s="48" t="str">
        <f>'bloco 03'!R6</f>
        <v/>
      </c>
      <c r="D113" s="48" t="str">
        <f>'bloco 03'!S6</f>
        <v/>
      </c>
      <c r="E113" s="41" t="str">
        <f>IFERROR(('bloco 03'!T6),"")</f>
        <v/>
      </c>
      <c r="F113" s="49" t="str">
        <f>'bloco 03'!U6</f>
        <v/>
      </c>
    </row>
    <row r="114" ht="15.75" customHeight="1">
      <c r="A114" s="14" t="str">
        <f>'bloco 03'!$P7</f>
        <v/>
      </c>
      <c r="B114" s="48" t="str">
        <f>'bloco 03'!Q7</f>
        <v/>
      </c>
      <c r="C114" s="48" t="str">
        <f>'bloco 03'!R7</f>
        <v/>
      </c>
      <c r="D114" s="48" t="str">
        <f>'bloco 03'!S7</f>
        <v/>
      </c>
      <c r="E114" s="41" t="str">
        <f>IFERROR(('bloco 03'!T7),"")</f>
        <v/>
      </c>
      <c r="F114" s="49" t="str">
        <f>'bloco 03'!U7</f>
        <v/>
      </c>
    </row>
    <row r="115" ht="15.75" customHeight="1">
      <c r="A115" s="14" t="str">
        <f>'bloco 03'!$P8</f>
        <v/>
      </c>
      <c r="B115" s="48" t="str">
        <f>'bloco 03'!Q8</f>
        <v/>
      </c>
      <c r="C115" s="48" t="str">
        <f>'bloco 03'!R8</f>
        <v/>
      </c>
      <c r="D115" s="48" t="str">
        <f>'bloco 03'!S8</f>
        <v/>
      </c>
      <c r="E115" s="41" t="str">
        <f>IFERROR(('bloco 03'!T8),"")</f>
        <v/>
      </c>
      <c r="F115" s="49" t="str">
        <f>'bloco 03'!U8</f>
        <v/>
      </c>
    </row>
    <row r="116" ht="15.75" customHeight="1">
      <c r="A116" s="14" t="str">
        <f>'bloco 03'!$P9</f>
        <v/>
      </c>
      <c r="B116" s="48" t="str">
        <f>'bloco 03'!Q9</f>
        <v/>
      </c>
      <c r="C116" s="48" t="str">
        <f>'bloco 03'!R9</f>
        <v/>
      </c>
      <c r="D116" s="48" t="str">
        <f>'bloco 03'!S9</f>
        <v/>
      </c>
      <c r="E116" s="41" t="str">
        <f>IFERROR(('bloco 03'!T9),"")</f>
        <v/>
      </c>
      <c r="F116" s="49" t="str">
        <f>'bloco 03'!U9</f>
        <v/>
      </c>
    </row>
    <row r="117" ht="15.75" customHeight="1">
      <c r="A117" s="14" t="str">
        <f>'bloco 03'!$P10</f>
        <v/>
      </c>
      <c r="B117" s="48" t="str">
        <f>'bloco 03'!Q10</f>
        <v/>
      </c>
      <c r="C117" s="48" t="str">
        <f>'bloco 03'!R10</f>
        <v/>
      </c>
      <c r="D117" s="48" t="str">
        <f>'bloco 03'!S10</f>
        <v/>
      </c>
      <c r="E117" s="41" t="str">
        <f>IFERROR(('bloco 03'!T10),"")</f>
        <v/>
      </c>
      <c r="F117" s="49" t="str">
        <f>'bloco 03'!U10</f>
        <v/>
      </c>
    </row>
    <row r="118" ht="15.75" customHeight="1">
      <c r="A118" s="14" t="str">
        <f>'bloco 03'!$P11</f>
        <v/>
      </c>
      <c r="B118" s="48" t="str">
        <f>'bloco 03'!Q11</f>
        <v/>
      </c>
      <c r="C118" s="48" t="str">
        <f>'bloco 03'!R11</f>
        <v/>
      </c>
      <c r="D118" s="48" t="str">
        <f>'bloco 03'!S11</f>
        <v/>
      </c>
      <c r="E118" s="41" t="str">
        <f>IFERROR(('bloco 03'!T11),"")</f>
        <v/>
      </c>
      <c r="F118" s="49" t="str">
        <f>'bloco 03'!U11</f>
        <v/>
      </c>
    </row>
    <row r="119" ht="15.75" customHeight="1">
      <c r="A119" s="14" t="str">
        <f>'bloco 03'!$P12</f>
        <v/>
      </c>
      <c r="B119" s="48" t="str">
        <f>'bloco 03'!Q12</f>
        <v/>
      </c>
      <c r="C119" s="48" t="str">
        <f>'bloco 03'!R12</f>
        <v/>
      </c>
      <c r="D119" s="48" t="str">
        <f>'bloco 03'!S12</f>
        <v/>
      </c>
      <c r="E119" s="41" t="str">
        <f>IFERROR(('bloco 03'!T12),"")</f>
        <v/>
      </c>
      <c r="F119" s="49" t="str">
        <f>'bloco 03'!U12</f>
        <v/>
      </c>
    </row>
    <row r="120" ht="15.75" customHeight="1">
      <c r="A120" s="14" t="str">
        <f>'bloco 03'!$P13</f>
        <v/>
      </c>
      <c r="B120" s="48" t="str">
        <f>'bloco 03'!Q13</f>
        <v/>
      </c>
      <c r="C120" s="48" t="str">
        <f>'bloco 03'!R13</f>
        <v/>
      </c>
      <c r="D120" s="48" t="str">
        <f>'bloco 03'!S13</f>
        <v/>
      </c>
      <c r="E120" s="41" t="str">
        <f>IFERROR(('bloco 03'!T13),"")</f>
        <v/>
      </c>
      <c r="F120" s="49" t="str">
        <f>'bloco 03'!U13</f>
        <v/>
      </c>
    </row>
    <row r="121" ht="15.75" customHeight="1">
      <c r="A121" s="14" t="str">
        <f>'bloco 03'!$P14</f>
        <v/>
      </c>
      <c r="B121" s="48" t="str">
        <f>'bloco 03'!Q14</f>
        <v/>
      </c>
      <c r="C121" s="48" t="str">
        <f>'bloco 03'!R14</f>
        <v/>
      </c>
      <c r="D121" s="48" t="str">
        <f>'bloco 03'!S14</f>
        <v/>
      </c>
      <c r="E121" s="41" t="str">
        <f>IFERROR(('bloco 03'!T14),"")</f>
        <v/>
      </c>
      <c r="F121" s="49" t="str">
        <f>'bloco 03'!U14</f>
        <v/>
      </c>
    </row>
    <row r="122" ht="15.75" customHeight="1">
      <c r="A122" s="14" t="str">
        <f>'bloco 03'!$P15</f>
        <v/>
      </c>
      <c r="B122" s="48" t="str">
        <f>'bloco 03'!Q15</f>
        <v/>
      </c>
      <c r="C122" s="48" t="str">
        <f>'bloco 03'!R15</f>
        <v/>
      </c>
      <c r="D122" s="48" t="str">
        <f>'bloco 03'!S15</f>
        <v/>
      </c>
      <c r="E122" s="41" t="str">
        <f>IFERROR(('bloco 03'!T15),"")</f>
        <v/>
      </c>
      <c r="F122" s="49" t="str">
        <f>'bloco 03'!U15</f>
        <v/>
      </c>
    </row>
    <row r="123" ht="15.75" customHeight="1">
      <c r="A123" s="30" t="s">
        <v>22</v>
      </c>
    </row>
    <row r="124" ht="15.75" customHeight="1">
      <c r="A124" s="33"/>
      <c r="B124" s="33" t="s">
        <v>10</v>
      </c>
      <c r="C124" s="37" t="s">
        <v>12</v>
      </c>
      <c r="D124" s="37" t="s">
        <v>13</v>
      </c>
      <c r="E124" s="37" t="s">
        <v>21</v>
      </c>
      <c r="F124" s="37" t="s">
        <v>15</v>
      </c>
    </row>
    <row r="125" ht="15.75" customHeight="1">
      <c r="A125" s="14" t="str">
        <f>'bloco 03'!$P21</f>
        <v/>
      </c>
      <c r="B125" s="48" t="str">
        <f>'bloco 03'!Q21</f>
        <v/>
      </c>
      <c r="C125" s="48" t="str">
        <f>'bloco 03'!R21</f>
        <v/>
      </c>
      <c r="D125" s="48" t="str">
        <f>'bloco 03'!S21</f>
        <v/>
      </c>
      <c r="E125" s="41" t="str">
        <f>IFERROR(('bloco 03'!T21),"")</f>
        <v/>
      </c>
      <c r="F125" s="49" t="str">
        <f>'bloco 03'!U21</f>
        <v/>
      </c>
    </row>
    <row r="126" ht="15.75" customHeight="1">
      <c r="A126" s="14" t="str">
        <f>'bloco 03'!$P22</f>
        <v/>
      </c>
      <c r="B126" s="48" t="str">
        <f>'bloco 03'!Q22</f>
        <v/>
      </c>
      <c r="C126" s="48" t="str">
        <f>'bloco 03'!R22</f>
        <v/>
      </c>
      <c r="D126" s="48" t="str">
        <f>'bloco 03'!S22</f>
        <v/>
      </c>
      <c r="E126" s="41" t="str">
        <f>IFERROR(('bloco 03'!T22),"")</f>
        <v/>
      </c>
      <c r="F126" s="49" t="str">
        <f>'bloco 03'!U22</f>
        <v/>
      </c>
    </row>
    <row r="127" ht="15.75" customHeight="1">
      <c r="A127" s="14" t="str">
        <f>'bloco 03'!$P23</f>
        <v/>
      </c>
      <c r="B127" s="48" t="str">
        <f>'bloco 03'!Q23</f>
        <v/>
      </c>
      <c r="C127" s="48" t="str">
        <f>'bloco 03'!R23</f>
        <v/>
      </c>
      <c r="D127" s="48" t="str">
        <f>'bloco 03'!S23</f>
        <v/>
      </c>
      <c r="E127" s="41" t="str">
        <f>IFERROR(('bloco 03'!T23),"")</f>
        <v/>
      </c>
      <c r="F127" s="49" t="str">
        <f>'bloco 03'!U23</f>
        <v/>
      </c>
    </row>
    <row r="128" ht="15.75" customHeight="1">
      <c r="A128" s="14" t="str">
        <f>'bloco 03'!$P24</f>
        <v/>
      </c>
      <c r="B128" s="48" t="str">
        <f>'bloco 03'!Q24</f>
        <v/>
      </c>
      <c r="C128" s="48" t="str">
        <f>'bloco 03'!R24</f>
        <v/>
      </c>
      <c r="D128" s="48" t="str">
        <f>'bloco 03'!S24</f>
        <v/>
      </c>
      <c r="E128" s="41" t="str">
        <f>IFERROR(('bloco 03'!T24),"")</f>
        <v/>
      </c>
      <c r="F128" s="49" t="str">
        <f>'bloco 03'!U24</f>
        <v/>
      </c>
    </row>
    <row r="129" ht="15.75" customHeight="1">
      <c r="A129" s="14" t="str">
        <f>'bloco 03'!$P25</f>
        <v/>
      </c>
      <c r="B129" s="48" t="str">
        <f>'bloco 03'!Q25</f>
        <v/>
      </c>
      <c r="C129" s="48" t="str">
        <f>'bloco 03'!R25</f>
        <v/>
      </c>
      <c r="D129" s="48" t="str">
        <f>'bloco 03'!S25</f>
        <v/>
      </c>
      <c r="E129" s="41" t="str">
        <f>IFERROR(('bloco 03'!T25),"")</f>
        <v/>
      </c>
      <c r="F129" s="49" t="str">
        <f>'bloco 03'!U25</f>
        <v/>
      </c>
    </row>
    <row r="130" ht="15.75" customHeight="1">
      <c r="A130" s="14" t="str">
        <f>'bloco 03'!$P26</f>
        <v/>
      </c>
      <c r="B130" s="48" t="str">
        <f>'bloco 03'!Q26</f>
        <v/>
      </c>
      <c r="C130" s="48" t="str">
        <f>'bloco 03'!R26</f>
        <v/>
      </c>
      <c r="D130" s="48" t="str">
        <f>'bloco 03'!S26</f>
        <v/>
      </c>
      <c r="E130" s="41" t="str">
        <f>IFERROR(('bloco 03'!T26),"")</f>
        <v/>
      </c>
      <c r="F130" s="49" t="str">
        <f>'bloco 03'!U26</f>
        <v/>
      </c>
    </row>
    <row r="131" ht="15.75" customHeight="1">
      <c r="A131" s="14" t="str">
        <f>'bloco 03'!$P27</f>
        <v/>
      </c>
      <c r="B131" s="48" t="str">
        <f>'bloco 03'!Q27</f>
        <v/>
      </c>
      <c r="C131" s="48" t="str">
        <f>'bloco 03'!R27</f>
        <v/>
      </c>
      <c r="D131" s="48" t="str">
        <f>'bloco 03'!S27</f>
        <v/>
      </c>
      <c r="E131" s="41" t="str">
        <f>IFERROR(('bloco 03'!T27),"")</f>
        <v/>
      </c>
      <c r="F131" s="49" t="str">
        <f>'bloco 03'!U27</f>
        <v/>
      </c>
    </row>
    <row r="132" ht="15.75" customHeight="1">
      <c r="A132" s="14" t="str">
        <f>'bloco 03'!$P28</f>
        <v/>
      </c>
      <c r="B132" s="48" t="str">
        <f>'bloco 03'!Q28</f>
        <v/>
      </c>
      <c r="C132" s="48" t="str">
        <f>'bloco 03'!R28</f>
        <v/>
      </c>
      <c r="D132" s="48" t="str">
        <f>'bloco 03'!S28</f>
        <v/>
      </c>
      <c r="E132" s="41" t="str">
        <f>IFERROR(('bloco 03'!T28),"")</f>
        <v/>
      </c>
      <c r="F132" s="49" t="str">
        <f>'bloco 03'!U28</f>
        <v/>
      </c>
    </row>
    <row r="133" ht="15.75" customHeight="1">
      <c r="A133" s="14" t="str">
        <f>'bloco 03'!$P29</f>
        <v/>
      </c>
      <c r="B133" s="48" t="str">
        <f>'bloco 03'!Q29</f>
        <v/>
      </c>
      <c r="C133" s="48" t="str">
        <f>'bloco 03'!R29</f>
        <v/>
      </c>
      <c r="D133" s="48" t="str">
        <f>'bloco 03'!S29</f>
        <v/>
      </c>
      <c r="E133" s="41" t="str">
        <f>IFERROR(('bloco 03'!T29),"")</f>
        <v/>
      </c>
      <c r="F133" s="49" t="str">
        <f>'bloco 03'!U29</f>
        <v/>
      </c>
    </row>
    <row r="134" ht="15.75" customHeight="1">
      <c r="A134" s="14" t="str">
        <f>'bloco 03'!$P30</f>
        <v/>
      </c>
      <c r="B134" s="48" t="str">
        <f>'bloco 03'!Q30</f>
        <v/>
      </c>
      <c r="C134" s="48" t="str">
        <f>'bloco 03'!R30</f>
        <v/>
      </c>
      <c r="D134" s="48" t="str">
        <f>'bloco 03'!S30</f>
        <v/>
      </c>
      <c r="E134" s="41" t="str">
        <f>IFERROR(('bloco 03'!T30),"")</f>
        <v/>
      </c>
      <c r="F134" s="49" t="str">
        <f>'bloco 03'!U30</f>
        <v/>
      </c>
    </row>
    <row r="135" ht="15.75" customHeight="1">
      <c r="A135" s="30" t="s">
        <v>26</v>
      </c>
    </row>
    <row r="136" ht="15.75" customHeight="1">
      <c r="A136" s="33"/>
      <c r="B136" s="33" t="s">
        <v>10</v>
      </c>
      <c r="C136" s="37" t="s">
        <v>12</v>
      </c>
      <c r="D136" s="37" t="s">
        <v>13</v>
      </c>
      <c r="E136" s="37" t="s">
        <v>21</v>
      </c>
      <c r="F136" s="37" t="s">
        <v>15</v>
      </c>
    </row>
    <row r="137" ht="15.75" customHeight="1">
      <c r="A137" s="14" t="str">
        <f>'bloco 03'!$P36</f>
        <v/>
      </c>
      <c r="B137" s="48" t="str">
        <f>'bloco 03'!Q36</f>
        <v/>
      </c>
      <c r="C137" s="48" t="str">
        <f>'bloco 03'!R36</f>
        <v/>
      </c>
      <c r="D137" s="48" t="str">
        <f>'bloco 03'!S36</f>
        <v/>
      </c>
      <c r="E137" s="41" t="str">
        <f>IFERROR(('bloco 03'!T36),"")</f>
        <v/>
      </c>
      <c r="F137" s="49" t="str">
        <f>'bloco 03'!U36</f>
        <v/>
      </c>
    </row>
    <row r="138" ht="15.75" customHeight="1">
      <c r="A138" s="14" t="str">
        <f>'bloco 03'!$P37</f>
        <v/>
      </c>
      <c r="B138" s="48" t="str">
        <f>'bloco 03'!Q37</f>
        <v/>
      </c>
      <c r="C138" s="48" t="str">
        <f>'bloco 03'!R37</f>
        <v/>
      </c>
      <c r="D138" s="48" t="str">
        <f>'bloco 03'!S37</f>
        <v/>
      </c>
      <c r="E138" s="41" t="str">
        <f>IFERROR(('bloco 03'!T37),"")</f>
        <v/>
      </c>
      <c r="F138" s="49" t="str">
        <f>'bloco 03'!U37</f>
        <v/>
      </c>
    </row>
    <row r="139" ht="15.75" customHeight="1">
      <c r="A139" s="14" t="str">
        <f>'bloco 03'!$P38</f>
        <v/>
      </c>
      <c r="B139" s="48" t="str">
        <f>'bloco 03'!Q38</f>
        <v/>
      </c>
      <c r="C139" s="48" t="str">
        <f>'bloco 03'!R38</f>
        <v/>
      </c>
      <c r="D139" s="48" t="str">
        <f>'bloco 03'!S38</f>
        <v/>
      </c>
      <c r="E139" s="41" t="str">
        <f>IFERROR(('bloco 03'!T38),"")</f>
        <v/>
      </c>
      <c r="F139" s="49" t="str">
        <f>'bloco 03'!U38</f>
        <v/>
      </c>
    </row>
    <row r="140" ht="15.75" customHeight="1">
      <c r="A140" s="14" t="str">
        <f>'bloco 03'!$P39</f>
        <v/>
      </c>
      <c r="B140" s="48" t="str">
        <f>'bloco 03'!Q39</f>
        <v/>
      </c>
      <c r="C140" s="48" t="str">
        <f>'bloco 03'!R39</f>
        <v/>
      </c>
      <c r="D140" s="48" t="str">
        <f>'bloco 03'!S39</f>
        <v/>
      </c>
      <c r="E140" s="41" t="str">
        <f>IFERROR(('bloco 03'!T39),"")</f>
        <v/>
      </c>
      <c r="F140" s="49" t="str">
        <f>'bloco 03'!U39</f>
        <v/>
      </c>
    </row>
    <row r="141" ht="15.75" customHeight="1">
      <c r="A141" s="14" t="str">
        <f>'bloco 03'!$P40</f>
        <v/>
      </c>
      <c r="B141" s="48" t="str">
        <f>'bloco 03'!Q40</f>
        <v/>
      </c>
      <c r="C141" s="48" t="str">
        <f>'bloco 03'!R40</f>
        <v/>
      </c>
      <c r="D141" s="48" t="str">
        <f>'bloco 03'!S40</f>
        <v/>
      </c>
      <c r="E141" s="41" t="str">
        <f>IFERROR(('bloco 03'!T40),"")</f>
        <v/>
      </c>
      <c r="F141" s="49" t="str">
        <f>'bloco 03'!U40</f>
        <v/>
      </c>
    </row>
    <row r="142" ht="15.75" customHeight="1">
      <c r="A142" s="14" t="str">
        <f>'bloco 03'!$P41</f>
        <v/>
      </c>
      <c r="B142" s="48" t="str">
        <f>'bloco 03'!Q41</f>
        <v/>
      </c>
      <c r="C142" s="48" t="str">
        <f>'bloco 03'!R41</f>
        <v/>
      </c>
      <c r="D142" s="48" t="str">
        <f>'bloco 03'!S41</f>
        <v/>
      </c>
      <c r="E142" s="41" t="str">
        <f>IFERROR(('bloco 03'!T41),"")</f>
        <v/>
      </c>
      <c r="F142" s="49" t="str">
        <f>'bloco 03'!U41</f>
        <v/>
      </c>
    </row>
    <row r="143" ht="15.75" customHeight="1">
      <c r="A143" s="14" t="str">
        <f>'bloco 03'!$P42</f>
        <v/>
      </c>
      <c r="B143" s="48" t="str">
        <f>'bloco 03'!Q42</f>
        <v/>
      </c>
      <c r="C143" s="48" t="str">
        <f>'bloco 03'!R42</f>
        <v/>
      </c>
      <c r="D143" s="48" t="str">
        <f>'bloco 03'!S42</f>
        <v/>
      </c>
      <c r="E143" s="41" t="str">
        <f>IFERROR(('bloco 03'!T42),"")</f>
        <v/>
      </c>
      <c r="F143" s="49" t="str">
        <f>'bloco 03'!U42</f>
        <v/>
      </c>
    </row>
    <row r="144" ht="15.75" customHeight="1">
      <c r="A144" s="14" t="str">
        <f>'bloco 03'!$P43</f>
        <v/>
      </c>
      <c r="B144" s="48" t="str">
        <f>'bloco 03'!Q43</f>
        <v/>
      </c>
      <c r="C144" s="48" t="str">
        <f>'bloco 03'!R43</f>
        <v/>
      </c>
      <c r="D144" s="48" t="str">
        <f>'bloco 03'!S43</f>
        <v/>
      </c>
      <c r="E144" s="41" t="str">
        <f>IFERROR(('bloco 03'!T43),"")</f>
        <v/>
      </c>
      <c r="F144" s="49" t="str">
        <f>'bloco 03'!U43</f>
        <v/>
      </c>
    </row>
    <row r="145" ht="15.75" customHeight="1">
      <c r="A145" s="14" t="str">
        <f>'bloco 03'!$P44</f>
        <v/>
      </c>
      <c r="B145" s="48" t="str">
        <f>'bloco 03'!Q44</f>
        <v/>
      </c>
      <c r="C145" s="48" t="str">
        <f>'bloco 03'!R44</f>
        <v/>
      </c>
      <c r="D145" s="48" t="str">
        <f>'bloco 03'!S44</f>
        <v/>
      </c>
      <c r="E145" s="41" t="str">
        <f>IFERROR(('bloco 03'!T44),"")</f>
        <v/>
      </c>
      <c r="F145" s="49" t="str">
        <f>'bloco 03'!U44</f>
        <v/>
      </c>
    </row>
    <row r="146" ht="15.75" customHeight="1">
      <c r="A146" s="14" t="str">
        <f>'bloco 03'!$P45</f>
        <v/>
      </c>
      <c r="B146" s="48" t="str">
        <f>'bloco 03'!Q45</f>
        <v/>
      </c>
      <c r="C146" s="48" t="str">
        <f>'bloco 03'!R45</f>
        <v/>
      </c>
      <c r="D146" s="48" t="str">
        <f>'bloco 03'!S45</f>
        <v/>
      </c>
      <c r="E146" s="41" t="str">
        <f>IFERROR(('bloco 03'!T45),"")</f>
        <v/>
      </c>
      <c r="F146" s="49" t="str">
        <f>'bloco 03'!U45</f>
        <v/>
      </c>
    </row>
    <row r="147" ht="15.75" customHeight="1">
      <c r="A147" s="48"/>
    </row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>
      <c r="A164" s="45">
        <f>'bloco 03'!X3</f>
        <v>46323</v>
      </c>
    </row>
    <row r="165" ht="15.75" customHeight="1">
      <c r="A165" s="46" t="s">
        <v>25</v>
      </c>
    </row>
    <row r="166" ht="15.75" customHeight="1">
      <c r="A166" s="30" t="s">
        <v>5</v>
      </c>
    </row>
    <row r="167" ht="15.75" customHeight="1">
      <c r="A167" s="33"/>
      <c r="B167" s="33" t="s">
        <v>10</v>
      </c>
      <c r="C167" s="37" t="s">
        <v>12</v>
      </c>
      <c r="D167" s="37" t="s">
        <v>13</v>
      </c>
      <c r="E167" s="37" t="s">
        <v>21</v>
      </c>
      <c r="F167" s="37" t="s">
        <v>15</v>
      </c>
    </row>
    <row r="168" ht="15.75" customHeight="1">
      <c r="A168" s="14" t="str">
        <f>'bloco 03'!$W6</f>
        <v/>
      </c>
      <c r="B168" s="48" t="str">
        <f>'bloco 03'!X6</f>
        <v/>
      </c>
      <c r="C168" s="48" t="str">
        <f>'bloco 03'!Y6</f>
        <v/>
      </c>
      <c r="D168" s="48" t="str">
        <f>'bloco 03'!Z6</f>
        <v/>
      </c>
      <c r="E168" s="41" t="str">
        <f>IFERROR(('bloco 03'!AA6),"")</f>
        <v/>
      </c>
      <c r="F168" s="49" t="str">
        <f>'bloco 03'!AB6</f>
        <v/>
      </c>
    </row>
    <row r="169" ht="15.75" customHeight="1">
      <c r="A169" s="14" t="str">
        <f>'bloco 03'!$W7</f>
        <v/>
      </c>
      <c r="B169" s="48" t="str">
        <f>'bloco 03'!X7</f>
        <v/>
      </c>
      <c r="C169" s="48" t="str">
        <f>'bloco 03'!Y7</f>
        <v/>
      </c>
      <c r="D169" s="48" t="str">
        <f>'bloco 03'!Z7</f>
        <v/>
      </c>
      <c r="E169" s="41" t="str">
        <f>IFERROR(('bloco 03'!AA7),"")</f>
        <v/>
      </c>
      <c r="F169" s="49" t="str">
        <f>'bloco 03'!AB7</f>
        <v/>
      </c>
    </row>
    <row r="170" ht="15.75" customHeight="1">
      <c r="A170" s="14" t="str">
        <f>'bloco 03'!$W8</f>
        <v/>
      </c>
      <c r="B170" s="48" t="str">
        <f>'bloco 03'!X8</f>
        <v/>
      </c>
      <c r="C170" s="48" t="str">
        <f>'bloco 03'!Y8</f>
        <v/>
      </c>
      <c r="D170" s="48" t="str">
        <f>'bloco 03'!Z8</f>
        <v/>
      </c>
      <c r="E170" s="41" t="str">
        <f>IFERROR(('bloco 03'!AA8),"")</f>
        <v/>
      </c>
      <c r="F170" s="49" t="str">
        <f>'bloco 03'!AB8</f>
        <v/>
      </c>
    </row>
    <row r="171" ht="15.75" customHeight="1">
      <c r="A171" s="14" t="str">
        <f>'bloco 03'!$W9</f>
        <v/>
      </c>
      <c r="B171" s="48" t="str">
        <f>'bloco 03'!X9</f>
        <v/>
      </c>
      <c r="C171" s="48" t="str">
        <f>'bloco 03'!Y9</f>
        <v/>
      </c>
      <c r="D171" s="48" t="str">
        <f>'bloco 03'!Z9</f>
        <v/>
      </c>
      <c r="E171" s="41" t="str">
        <f>IFERROR(('bloco 03'!AA9),"")</f>
        <v/>
      </c>
      <c r="F171" s="49" t="str">
        <f>'bloco 03'!AB9</f>
        <v/>
      </c>
    </row>
    <row r="172" ht="15.75" customHeight="1">
      <c r="A172" s="14" t="str">
        <f>'bloco 03'!$W10</f>
        <v/>
      </c>
      <c r="B172" s="48" t="str">
        <f>'bloco 03'!X10</f>
        <v/>
      </c>
      <c r="C172" s="48" t="str">
        <f>'bloco 03'!Y10</f>
        <v/>
      </c>
      <c r="D172" s="48" t="str">
        <f>'bloco 03'!Z10</f>
        <v/>
      </c>
      <c r="E172" s="41" t="str">
        <f>IFERROR(('bloco 03'!AA10),"")</f>
        <v/>
      </c>
      <c r="F172" s="49" t="str">
        <f>'bloco 03'!AB10</f>
        <v/>
      </c>
    </row>
    <row r="173" ht="15.75" customHeight="1">
      <c r="A173" s="14" t="str">
        <f>'bloco 03'!$W11</f>
        <v/>
      </c>
      <c r="B173" s="48" t="str">
        <f>'bloco 03'!X11</f>
        <v/>
      </c>
      <c r="C173" s="48" t="str">
        <f>'bloco 03'!Y11</f>
        <v/>
      </c>
      <c r="D173" s="48" t="str">
        <f>'bloco 03'!Z11</f>
        <v/>
      </c>
      <c r="E173" s="41" t="str">
        <f>IFERROR(('bloco 03'!AA11),"")</f>
        <v/>
      </c>
      <c r="F173" s="49" t="str">
        <f>'bloco 03'!AB11</f>
        <v/>
      </c>
    </row>
    <row r="174" ht="15.75" customHeight="1">
      <c r="A174" s="14" t="str">
        <f>'bloco 03'!$W12</f>
        <v/>
      </c>
      <c r="B174" s="48" t="str">
        <f>'bloco 03'!X12</f>
        <v/>
      </c>
      <c r="C174" s="48" t="str">
        <f>'bloco 03'!Y12</f>
        <v/>
      </c>
      <c r="D174" s="48" t="str">
        <f>'bloco 03'!Z12</f>
        <v/>
      </c>
      <c r="E174" s="41" t="str">
        <f>IFERROR(('bloco 03'!AA12),"")</f>
        <v/>
      </c>
      <c r="F174" s="49" t="str">
        <f>'bloco 03'!AB12</f>
        <v/>
      </c>
    </row>
    <row r="175" ht="15.75" customHeight="1">
      <c r="A175" s="14" t="str">
        <f>'bloco 03'!$W13</f>
        <v/>
      </c>
      <c r="B175" s="48" t="str">
        <f>'bloco 03'!X13</f>
        <v/>
      </c>
      <c r="C175" s="48" t="str">
        <f>'bloco 03'!Y13</f>
        <v/>
      </c>
      <c r="D175" s="48" t="str">
        <f>'bloco 03'!Z13</f>
        <v/>
      </c>
      <c r="E175" s="41" t="str">
        <f>IFERROR(('bloco 03'!AA13),"")</f>
        <v/>
      </c>
      <c r="F175" s="49" t="str">
        <f>'bloco 03'!AB13</f>
        <v/>
      </c>
    </row>
    <row r="176" ht="15.75" customHeight="1">
      <c r="A176" s="14" t="str">
        <f>'bloco 03'!$W14</f>
        <v/>
      </c>
      <c r="B176" s="48" t="str">
        <f>'bloco 03'!X14</f>
        <v/>
      </c>
      <c r="C176" s="48" t="str">
        <f>'bloco 03'!Y14</f>
        <v/>
      </c>
      <c r="D176" s="48" t="str">
        <f>'bloco 03'!Z14</f>
        <v/>
      </c>
      <c r="E176" s="41" t="str">
        <f>IFERROR(('bloco 03'!AA14),"")</f>
        <v/>
      </c>
      <c r="F176" s="49" t="str">
        <f>'bloco 03'!AB14</f>
        <v/>
      </c>
    </row>
    <row r="177" ht="15.75" customHeight="1">
      <c r="A177" s="14" t="str">
        <f>'bloco 03'!$W15</f>
        <v/>
      </c>
      <c r="B177" s="48" t="str">
        <f>'bloco 03'!X15</f>
        <v/>
      </c>
      <c r="C177" s="48" t="str">
        <f>'bloco 03'!Y15</f>
        <v/>
      </c>
      <c r="D177" s="48" t="str">
        <f>'bloco 03'!Z15</f>
        <v/>
      </c>
      <c r="E177" s="41" t="str">
        <f>IFERROR(('bloco 03'!AA15),"")</f>
        <v/>
      </c>
      <c r="F177" s="49" t="str">
        <f>'bloco 03'!AB15</f>
        <v/>
      </c>
    </row>
    <row r="178" ht="15.75" customHeight="1">
      <c r="A178" s="30" t="s">
        <v>22</v>
      </c>
    </row>
    <row r="179" ht="15.75" customHeight="1">
      <c r="A179" s="33"/>
      <c r="B179" s="33" t="s">
        <v>10</v>
      </c>
      <c r="C179" s="37" t="s">
        <v>12</v>
      </c>
      <c r="D179" s="37" t="s">
        <v>13</v>
      </c>
      <c r="E179" s="37" t="s">
        <v>21</v>
      </c>
      <c r="F179" s="37" t="s">
        <v>15</v>
      </c>
    </row>
    <row r="180" ht="15.75" customHeight="1">
      <c r="A180" s="14" t="str">
        <f>'bloco 03'!$W21</f>
        <v/>
      </c>
      <c r="B180" s="48" t="str">
        <f>'bloco 03'!X21</f>
        <v/>
      </c>
      <c r="C180" s="48" t="str">
        <f>'bloco 03'!Y21</f>
        <v/>
      </c>
      <c r="D180" s="48" t="str">
        <f>'bloco 03'!Z21</f>
        <v/>
      </c>
      <c r="E180" s="41" t="str">
        <f>IFERROR(('bloco 03'!AA21),"")</f>
        <v/>
      </c>
      <c r="F180" s="49" t="str">
        <f>'bloco 03'!AB21</f>
        <v/>
      </c>
    </row>
    <row r="181" ht="15.75" customHeight="1">
      <c r="A181" s="14" t="str">
        <f>'bloco 03'!$W22</f>
        <v/>
      </c>
      <c r="B181" s="48" t="str">
        <f>'bloco 03'!X22</f>
        <v/>
      </c>
      <c r="C181" s="48" t="str">
        <f>'bloco 03'!Y22</f>
        <v/>
      </c>
      <c r="D181" s="48" t="str">
        <f>'bloco 03'!Z22</f>
        <v/>
      </c>
      <c r="E181" s="41" t="str">
        <f>IFERROR(('bloco 03'!AA22),"")</f>
        <v/>
      </c>
      <c r="F181" s="49" t="str">
        <f>'bloco 03'!AB22</f>
        <v/>
      </c>
    </row>
    <row r="182" ht="15.75" customHeight="1">
      <c r="A182" s="14" t="str">
        <f>'bloco 03'!$W23</f>
        <v/>
      </c>
      <c r="B182" s="48" t="str">
        <f>'bloco 03'!X23</f>
        <v/>
      </c>
      <c r="C182" s="48" t="str">
        <f>'bloco 03'!Y23</f>
        <v/>
      </c>
      <c r="D182" s="48" t="str">
        <f>'bloco 03'!Z23</f>
        <v/>
      </c>
      <c r="E182" s="41" t="str">
        <f>IFERROR(('bloco 03'!AA23),"")</f>
        <v/>
      </c>
      <c r="F182" s="49" t="str">
        <f>'bloco 03'!AB23</f>
        <v/>
      </c>
    </row>
    <row r="183" ht="15.75" customHeight="1">
      <c r="A183" s="14" t="str">
        <f>'bloco 03'!$W24</f>
        <v/>
      </c>
      <c r="B183" s="48" t="str">
        <f>'bloco 03'!X24</f>
        <v/>
      </c>
      <c r="C183" s="48" t="str">
        <f>'bloco 03'!Y24</f>
        <v/>
      </c>
      <c r="D183" s="48" t="str">
        <f>'bloco 03'!Z24</f>
        <v/>
      </c>
      <c r="E183" s="41" t="str">
        <f>IFERROR(('bloco 03'!AA24),"")</f>
        <v/>
      </c>
      <c r="F183" s="49" t="str">
        <f>'bloco 03'!AB24</f>
        <v/>
      </c>
    </row>
    <row r="184" ht="15.75" customHeight="1">
      <c r="A184" s="14" t="str">
        <f>'bloco 03'!$W25</f>
        <v/>
      </c>
      <c r="B184" s="48" t="str">
        <f>'bloco 03'!X25</f>
        <v/>
      </c>
      <c r="C184" s="48" t="str">
        <f>'bloco 03'!Y25</f>
        <v/>
      </c>
      <c r="D184" s="48" t="str">
        <f>'bloco 03'!Z25</f>
        <v/>
      </c>
      <c r="E184" s="41" t="str">
        <f>IFERROR(('bloco 03'!AA25),"")</f>
        <v/>
      </c>
      <c r="F184" s="49" t="str">
        <f>'bloco 03'!AB25</f>
        <v/>
      </c>
    </row>
    <row r="185" ht="15.75" customHeight="1">
      <c r="A185" s="14" t="str">
        <f>'bloco 03'!$W26</f>
        <v/>
      </c>
      <c r="B185" s="48" t="str">
        <f>'bloco 03'!X26</f>
        <v/>
      </c>
      <c r="C185" s="48" t="str">
        <f>'bloco 03'!Y26</f>
        <v/>
      </c>
      <c r="D185" s="48" t="str">
        <f>'bloco 03'!Z26</f>
        <v/>
      </c>
      <c r="E185" s="41" t="str">
        <f>IFERROR(('bloco 03'!AA26),"")</f>
        <v/>
      </c>
      <c r="F185" s="49" t="str">
        <f>'bloco 03'!AB26</f>
        <v/>
      </c>
    </row>
    <row r="186" ht="15.75" customHeight="1">
      <c r="A186" s="14" t="str">
        <f>'bloco 03'!$W27</f>
        <v/>
      </c>
      <c r="B186" s="48" t="str">
        <f>'bloco 03'!X27</f>
        <v/>
      </c>
      <c r="C186" s="48" t="str">
        <f>'bloco 03'!Y27</f>
        <v/>
      </c>
      <c r="D186" s="48" t="str">
        <f>'bloco 03'!Z27</f>
        <v/>
      </c>
      <c r="E186" s="41" t="str">
        <f>IFERROR(('bloco 03'!AA27),"")</f>
        <v/>
      </c>
      <c r="F186" s="49" t="str">
        <f>'bloco 03'!AB27</f>
        <v/>
      </c>
    </row>
    <row r="187" ht="15.75" customHeight="1">
      <c r="A187" s="14" t="str">
        <f>'bloco 03'!$W28</f>
        <v/>
      </c>
      <c r="B187" s="48" t="str">
        <f>'bloco 03'!X28</f>
        <v/>
      </c>
      <c r="C187" s="48" t="str">
        <f>'bloco 03'!Y28</f>
        <v/>
      </c>
      <c r="D187" s="48" t="str">
        <f>'bloco 03'!Z28</f>
        <v/>
      </c>
      <c r="E187" s="41" t="str">
        <f>IFERROR(('bloco 03'!AA28),"")</f>
        <v/>
      </c>
      <c r="F187" s="49" t="str">
        <f>'bloco 03'!AB28</f>
        <v/>
      </c>
    </row>
    <row r="188" ht="15.75" customHeight="1">
      <c r="A188" s="14" t="str">
        <f>'bloco 03'!$W29</f>
        <v/>
      </c>
      <c r="B188" s="48" t="str">
        <f>'bloco 03'!X29</f>
        <v/>
      </c>
      <c r="C188" s="48" t="str">
        <f>'bloco 03'!Y29</f>
        <v/>
      </c>
      <c r="D188" s="48" t="str">
        <f>'bloco 03'!Z29</f>
        <v/>
      </c>
      <c r="E188" s="41" t="str">
        <f>IFERROR(('bloco 03'!AA29),"")</f>
        <v/>
      </c>
      <c r="F188" s="49" t="str">
        <f>'bloco 03'!AB29</f>
        <v/>
      </c>
    </row>
    <row r="189" ht="15.75" customHeight="1">
      <c r="A189" s="14" t="str">
        <f>'bloco 03'!$W30</f>
        <v/>
      </c>
      <c r="B189" s="48" t="str">
        <f>'bloco 03'!X30</f>
        <v/>
      </c>
      <c r="C189" s="48" t="str">
        <f>'bloco 03'!Y30</f>
        <v/>
      </c>
      <c r="D189" s="48" t="str">
        <f>'bloco 03'!Z30</f>
        <v/>
      </c>
      <c r="E189" s="41" t="str">
        <f>IFERROR(('bloco 03'!AA30),"")</f>
        <v/>
      </c>
      <c r="F189" s="49" t="str">
        <f>'bloco 03'!AB30</f>
        <v/>
      </c>
    </row>
    <row r="190" ht="15.75" customHeight="1">
      <c r="A190" s="30" t="s">
        <v>26</v>
      </c>
    </row>
    <row r="191" ht="15.75" customHeight="1">
      <c r="A191" s="33"/>
      <c r="B191" s="33" t="s">
        <v>10</v>
      </c>
      <c r="C191" s="37" t="s">
        <v>12</v>
      </c>
      <c r="D191" s="37" t="s">
        <v>13</v>
      </c>
      <c r="E191" s="37" t="s">
        <v>21</v>
      </c>
      <c r="F191" s="37" t="s">
        <v>15</v>
      </c>
    </row>
    <row r="192" ht="15.75" customHeight="1">
      <c r="A192" s="14" t="str">
        <f>'bloco 03'!$W36</f>
        <v/>
      </c>
      <c r="B192" s="48" t="str">
        <f>'bloco 03'!X36</f>
        <v/>
      </c>
      <c r="C192" s="48" t="str">
        <f>'bloco 03'!Y36</f>
        <v/>
      </c>
      <c r="D192" s="48" t="str">
        <f>'bloco 03'!Z36</f>
        <v/>
      </c>
      <c r="E192" s="41" t="str">
        <f>IFERROR(('bloco 03'!AA36),"")</f>
        <v/>
      </c>
      <c r="F192" s="49" t="str">
        <f>'bloco 03'!AB36</f>
        <v/>
      </c>
    </row>
    <row r="193" ht="15.75" customHeight="1">
      <c r="A193" s="14" t="str">
        <f>'bloco 03'!$W37</f>
        <v/>
      </c>
      <c r="B193" s="48" t="str">
        <f>'bloco 03'!X37</f>
        <v/>
      </c>
      <c r="C193" s="48" t="str">
        <f>'bloco 03'!Y37</f>
        <v/>
      </c>
      <c r="D193" s="48" t="str">
        <f>'bloco 03'!Z37</f>
        <v/>
      </c>
      <c r="E193" s="41" t="str">
        <f>IFERROR(('bloco 03'!AA37),"")</f>
        <v/>
      </c>
      <c r="F193" s="49" t="str">
        <f>'bloco 03'!AB37</f>
        <v/>
      </c>
    </row>
    <row r="194" ht="15.75" customHeight="1">
      <c r="A194" s="14" t="str">
        <f>'bloco 03'!$W38</f>
        <v/>
      </c>
      <c r="B194" s="48" t="str">
        <f>'bloco 03'!X38</f>
        <v/>
      </c>
      <c r="C194" s="48" t="str">
        <f>'bloco 03'!Y38</f>
        <v/>
      </c>
      <c r="D194" s="48" t="str">
        <f>'bloco 03'!Z38</f>
        <v/>
      </c>
      <c r="E194" s="41" t="str">
        <f>IFERROR(('bloco 03'!AA38),"")</f>
        <v/>
      </c>
      <c r="F194" s="49" t="str">
        <f>'bloco 03'!AB38</f>
        <v/>
      </c>
    </row>
    <row r="195" ht="15.75" customHeight="1">
      <c r="A195" s="14" t="str">
        <f>'bloco 03'!$W39</f>
        <v/>
      </c>
      <c r="B195" s="48" t="str">
        <f>'bloco 03'!X39</f>
        <v/>
      </c>
      <c r="C195" s="48" t="str">
        <f>'bloco 03'!Y39</f>
        <v/>
      </c>
      <c r="D195" s="48" t="str">
        <f>'bloco 03'!Z39</f>
        <v/>
      </c>
      <c r="E195" s="41" t="str">
        <f>IFERROR(('bloco 03'!AA39),"")</f>
        <v/>
      </c>
      <c r="F195" s="49" t="str">
        <f>'bloco 03'!AB39</f>
        <v/>
      </c>
    </row>
    <row r="196" ht="15.75" customHeight="1">
      <c r="A196" s="14" t="str">
        <f>'bloco 03'!$W40</f>
        <v/>
      </c>
      <c r="B196" s="48" t="str">
        <f>'bloco 03'!X40</f>
        <v/>
      </c>
      <c r="C196" s="48" t="str">
        <f>'bloco 03'!Y40</f>
        <v/>
      </c>
      <c r="D196" s="48" t="str">
        <f>'bloco 03'!Z40</f>
        <v/>
      </c>
      <c r="E196" s="41" t="str">
        <f>IFERROR(('bloco 03'!AA40),"")</f>
        <v/>
      </c>
      <c r="F196" s="49" t="str">
        <f>'bloco 03'!AB40</f>
        <v/>
      </c>
    </row>
    <row r="197" ht="15.75" customHeight="1">
      <c r="A197" s="14" t="str">
        <f>'bloco 03'!$W41</f>
        <v/>
      </c>
      <c r="B197" s="48" t="str">
        <f>'bloco 03'!X41</f>
        <v/>
      </c>
      <c r="C197" s="48" t="str">
        <f>'bloco 03'!Y41</f>
        <v/>
      </c>
      <c r="D197" s="48" t="str">
        <f>'bloco 03'!Z41</f>
        <v/>
      </c>
      <c r="E197" s="41" t="str">
        <f>IFERROR(('bloco 03'!AA41),"")</f>
        <v/>
      </c>
      <c r="F197" s="49" t="str">
        <f>'bloco 03'!AB41</f>
        <v/>
      </c>
    </row>
    <row r="198" ht="15.75" customHeight="1">
      <c r="A198" s="14" t="str">
        <f>'bloco 03'!$W42</f>
        <v/>
      </c>
      <c r="B198" s="48" t="str">
        <f>'bloco 03'!X42</f>
        <v/>
      </c>
      <c r="C198" s="48" t="str">
        <f>'bloco 03'!Y42</f>
        <v/>
      </c>
      <c r="D198" s="48" t="str">
        <f>'bloco 03'!Z42</f>
        <v/>
      </c>
      <c r="E198" s="41" t="str">
        <f>IFERROR(('bloco 03'!AA42),"")</f>
        <v/>
      </c>
      <c r="F198" s="49" t="str">
        <f>'bloco 03'!AB42</f>
        <v/>
      </c>
    </row>
    <row r="199" ht="15.75" customHeight="1">
      <c r="A199" s="14" t="str">
        <f>'bloco 03'!$W43</f>
        <v/>
      </c>
      <c r="B199" s="48" t="str">
        <f>'bloco 03'!X43</f>
        <v/>
      </c>
      <c r="C199" s="48" t="str">
        <f>'bloco 03'!Y43</f>
        <v/>
      </c>
      <c r="D199" s="48" t="str">
        <f>'bloco 03'!Z43</f>
        <v/>
      </c>
      <c r="E199" s="41" t="str">
        <f>IFERROR(('bloco 03'!AA43),"")</f>
        <v/>
      </c>
      <c r="F199" s="49" t="str">
        <f>'bloco 03'!AB43</f>
        <v/>
      </c>
    </row>
    <row r="200" ht="15.75" customHeight="1">
      <c r="A200" s="14" t="str">
        <f>'bloco 03'!$W44</f>
        <v/>
      </c>
      <c r="B200" s="48" t="str">
        <f>'bloco 03'!X44</f>
        <v/>
      </c>
      <c r="C200" s="48" t="str">
        <f>'bloco 03'!Y44</f>
        <v/>
      </c>
      <c r="D200" s="48" t="str">
        <f>'bloco 03'!Z44</f>
        <v/>
      </c>
      <c r="E200" s="41" t="str">
        <f>IFERROR(('bloco 03'!AA44),"")</f>
        <v/>
      </c>
      <c r="F200" s="49" t="str">
        <f>'bloco 03'!AB44</f>
        <v/>
      </c>
    </row>
    <row r="201" ht="15.75" customHeight="1">
      <c r="A201" s="14" t="str">
        <f>'bloco 03'!$W45</f>
        <v/>
      </c>
      <c r="B201" s="48" t="str">
        <f>'bloco 03'!X45</f>
        <v/>
      </c>
      <c r="C201" s="48" t="str">
        <f>'bloco 03'!Y45</f>
        <v/>
      </c>
      <c r="D201" s="48" t="str">
        <f>'bloco 03'!Z45</f>
        <v/>
      </c>
      <c r="E201" s="41" t="str">
        <f>IFERROR(('bloco 03'!AA45),"")</f>
        <v/>
      </c>
      <c r="F201" s="49" t="str">
        <f>'bloco 03'!AB45</f>
        <v/>
      </c>
    </row>
    <row r="202" ht="15.75" customHeight="1">
      <c r="A202" s="48"/>
    </row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>
      <c r="A219" s="12"/>
      <c r="B219" s="12"/>
      <c r="C219" s="12"/>
      <c r="D219" s="12"/>
      <c r="E219" s="12"/>
      <c r="F219" s="12"/>
      <c r="G219" s="12"/>
    </row>
    <row r="220" ht="15.75" customHeight="1">
      <c r="A220" s="12"/>
      <c r="B220" s="12"/>
      <c r="C220" s="12"/>
      <c r="D220" s="12"/>
      <c r="E220" s="12"/>
      <c r="F220" s="12"/>
      <c r="G220" s="12"/>
    </row>
    <row r="221" ht="15.75" customHeight="1">
      <c r="A221" s="12"/>
      <c r="B221" s="12"/>
      <c r="C221" s="12"/>
      <c r="D221" s="12"/>
      <c r="E221" s="12"/>
      <c r="F221" s="12"/>
      <c r="G221" s="12"/>
    </row>
    <row r="222" ht="15.75" customHeight="1">
      <c r="A222" s="12"/>
      <c r="B222" s="12"/>
      <c r="C222" s="12"/>
      <c r="D222" s="12"/>
      <c r="E222" s="12"/>
      <c r="F222" s="12"/>
      <c r="G222" s="12"/>
    </row>
    <row r="223" ht="15.75" customHeight="1">
      <c r="A223" s="12"/>
      <c r="B223" s="12"/>
      <c r="C223" s="12"/>
      <c r="D223" s="12"/>
      <c r="E223" s="12"/>
      <c r="F223" s="12"/>
      <c r="G223" s="12"/>
    </row>
    <row r="224" ht="15.75" customHeight="1">
      <c r="A224" s="12"/>
      <c r="B224" s="12"/>
      <c r="C224" s="12"/>
      <c r="D224" s="12"/>
      <c r="E224" s="12"/>
      <c r="F224" s="12"/>
      <c r="G224" s="12"/>
    </row>
    <row r="225" ht="15.75" customHeight="1">
      <c r="A225" s="12"/>
      <c r="B225" s="12"/>
      <c r="C225" s="12"/>
      <c r="D225" s="12"/>
      <c r="E225" s="12"/>
      <c r="F225" s="12"/>
      <c r="G225" s="12"/>
    </row>
    <row r="226" ht="15.75" customHeight="1">
      <c r="A226" s="12"/>
      <c r="B226" s="12"/>
      <c r="C226" s="12"/>
      <c r="D226" s="12"/>
      <c r="E226" s="12"/>
      <c r="F226" s="12"/>
      <c r="G226" s="12"/>
    </row>
    <row r="227" ht="15.75" customHeight="1">
      <c r="A227" s="12"/>
      <c r="B227" s="12"/>
      <c r="C227" s="12"/>
      <c r="D227" s="12"/>
      <c r="E227" s="12"/>
      <c r="F227" s="12"/>
      <c r="G227" s="12"/>
    </row>
    <row r="228" ht="15.75" customHeight="1">
      <c r="A228" s="12"/>
      <c r="B228" s="12"/>
      <c r="C228" s="12"/>
      <c r="D228" s="12"/>
      <c r="E228" s="12"/>
      <c r="F228" s="12"/>
      <c r="G228" s="12"/>
    </row>
    <row r="229" ht="15.75" customHeight="1">
      <c r="A229" s="12"/>
      <c r="B229" s="12"/>
      <c r="C229" s="12"/>
      <c r="D229" s="12"/>
      <c r="E229" s="12"/>
      <c r="F229" s="12"/>
      <c r="G229" s="12"/>
    </row>
    <row r="230" ht="15.75" customHeight="1">
      <c r="A230" s="12"/>
      <c r="B230" s="12"/>
      <c r="C230" s="12"/>
      <c r="D230" s="12"/>
      <c r="E230" s="12"/>
      <c r="F230" s="12"/>
      <c r="G230" s="12"/>
    </row>
    <row r="231" ht="15.75" customHeight="1">
      <c r="A231" s="12"/>
      <c r="B231" s="12"/>
      <c r="C231" s="12"/>
      <c r="D231" s="12"/>
      <c r="E231" s="12"/>
      <c r="F231" s="12"/>
      <c r="G231" s="12"/>
    </row>
    <row r="232" ht="15.75" customHeight="1">
      <c r="A232" s="12"/>
      <c r="B232" s="12"/>
      <c r="C232" s="12"/>
      <c r="D232" s="12"/>
      <c r="E232" s="12"/>
      <c r="F232" s="12"/>
      <c r="G232" s="12"/>
    </row>
    <row r="233" ht="15.75" customHeight="1">
      <c r="A233" s="12"/>
      <c r="B233" s="12"/>
      <c r="C233" s="12"/>
      <c r="D233" s="12"/>
      <c r="E233" s="12"/>
      <c r="F233" s="12"/>
      <c r="G233" s="12"/>
    </row>
    <row r="234" ht="15.75" customHeight="1">
      <c r="A234" s="12"/>
      <c r="B234" s="12"/>
      <c r="C234" s="12"/>
      <c r="D234" s="12"/>
      <c r="E234" s="12"/>
      <c r="F234" s="12"/>
      <c r="G234" s="12"/>
    </row>
    <row r="235" ht="15.75" customHeight="1">
      <c r="A235" s="12"/>
      <c r="B235" s="12"/>
      <c r="C235" s="12"/>
      <c r="D235" s="12"/>
      <c r="E235" s="12"/>
      <c r="F235" s="12"/>
      <c r="G235" s="12"/>
    </row>
    <row r="236" ht="15.75" customHeight="1">
      <c r="A236" s="12"/>
      <c r="B236" s="12"/>
      <c r="C236" s="12"/>
      <c r="D236" s="12"/>
      <c r="E236" s="12"/>
      <c r="F236" s="12"/>
      <c r="G236" s="12"/>
    </row>
    <row r="237" ht="15.75" customHeight="1">
      <c r="A237" s="12"/>
      <c r="B237" s="12"/>
      <c r="C237" s="12"/>
      <c r="D237" s="12"/>
      <c r="E237" s="12"/>
      <c r="F237" s="12"/>
      <c r="G237" s="12"/>
    </row>
    <row r="238" ht="15.75" customHeight="1">
      <c r="A238" s="12"/>
      <c r="B238" s="12"/>
      <c r="C238" s="12"/>
      <c r="D238" s="12"/>
      <c r="E238" s="12"/>
      <c r="F238" s="12"/>
      <c r="G238" s="12"/>
    </row>
    <row r="239" ht="15.75" customHeight="1">
      <c r="A239" s="12"/>
      <c r="B239" s="12"/>
      <c r="C239" s="12"/>
      <c r="D239" s="12"/>
      <c r="E239" s="12"/>
      <c r="F239" s="12"/>
      <c r="G239" s="12"/>
    </row>
    <row r="240" ht="15.75" customHeight="1">
      <c r="A240" s="12"/>
      <c r="B240" s="12"/>
      <c r="C240" s="12"/>
      <c r="D240" s="12"/>
      <c r="E240" s="12"/>
      <c r="F240" s="12"/>
      <c r="G240" s="12"/>
    </row>
    <row r="241" ht="15.75" customHeight="1">
      <c r="A241" s="12"/>
      <c r="B241" s="12"/>
      <c r="C241" s="12"/>
      <c r="D241" s="12"/>
      <c r="E241" s="12"/>
      <c r="F241" s="12"/>
      <c r="G241" s="12"/>
    </row>
    <row r="242" ht="15.75" customHeight="1">
      <c r="A242" s="12"/>
      <c r="B242" s="12"/>
      <c r="C242" s="12"/>
      <c r="D242" s="12"/>
      <c r="E242" s="12"/>
      <c r="F242" s="12"/>
      <c r="G242" s="12"/>
    </row>
    <row r="243" ht="15.75" customHeight="1">
      <c r="A243" s="12"/>
      <c r="B243" s="12"/>
      <c r="C243" s="12"/>
      <c r="D243" s="12"/>
      <c r="E243" s="12"/>
      <c r="F243" s="12"/>
      <c r="G243" s="12"/>
    </row>
    <row r="244" ht="15.75" customHeight="1">
      <c r="A244" s="12"/>
      <c r="B244" s="12"/>
      <c r="C244" s="12"/>
      <c r="D244" s="12"/>
      <c r="E244" s="12"/>
      <c r="F244" s="12"/>
      <c r="G244" s="12"/>
    </row>
    <row r="245" ht="15.75" customHeight="1">
      <c r="A245" s="12"/>
      <c r="B245" s="12"/>
      <c r="C245" s="12"/>
      <c r="D245" s="12"/>
      <c r="E245" s="12"/>
      <c r="F245" s="12"/>
      <c r="G245" s="12"/>
    </row>
    <row r="246" ht="15.75" customHeight="1">
      <c r="A246" s="12"/>
      <c r="B246" s="12"/>
      <c r="C246" s="12"/>
      <c r="D246" s="12"/>
      <c r="E246" s="12"/>
      <c r="F246" s="12"/>
      <c r="G246" s="12"/>
    </row>
    <row r="247" ht="15.75" customHeight="1">
      <c r="A247" s="12"/>
      <c r="B247" s="12"/>
      <c r="C247" s="12"/>
      <c r="D247" s="12"/>
      <c r="E247" s="12"/>
      <c r="F247" s="12"/>
      <c r="G247" s="12"/>
    </row>
    <row r="248" ht="15.75" customHeight="1">
      <c r="A248" s="12"/>
      <c r="B248" s="12"/>
      <c r="C248" s="12"/>
      <c r="D248" s="12"/>
      <c r="E248" s="12"/>
      <c r="F248" s="12"/>
      <c r="G248" s="12"/>
    </row>
    <row r="249" ht="15.75" customHeight="1">
      <c r="A249" s="12"/>
      <c r="B249" s="12"/>
      <c r="C249" s="12"/>
      <c r="D249" s="12"/>
      <c r="E249" s="12"/>
      <c r="F249" s="12"/>
      <c r="G249" s="12"/>
    </row>
    <row r="250" ht="15.75" customHeight="1">
      <c r="A250" s="12"/>
      <c r="B250" s="12"/>
      <c r="C250" s="12"/>
      <c r="D250" s="12"/>
      <c r="E250" s="12"/>
      <c r="F250" s="12"/>
      <c r="G250" s="12"/>
    </row>
    <row r="251" ht="15.75" customHeight="1">
      <c r="A251" s="12"/>
      <c r="B251" s="12"/>
      <c r="C251" s="12"/>
      <c r="D251" s="12"/>
      <c r="E251" s="12"/>
      <c r="F251" s="12"/>
      <c r="G251" s="12"/>
    </row>
    <row r="252" ht="15.75" customHeight="1">
      <c r="A252" s="12"/>
      <c r="B252" s="12"/>
      <c r="C252" s="12"/>
      <c r="D252" s="12"/>
      <c r="E252" s="12"/>
      <c r="F252" s="12"/>
      <c r="G252" s="12"/>
    </row>
    <row r="253" ht="15.75" customHeight="1">
      <c r="A253" s="12"/>
      <c r="B253" s="12"/>
      <c r="C253" s="12"/>
      <c r="D253" s="12"/>
      <c r="E253" s="12"/>
      <c r="F253" s="12"/>
      <c r="G253" s="12"/>
    </row>
    <row r="254" ht="15.75" customHeight="1">
      <c r="A254" s="12"/>
      <c r="B254" s="12"/>
      <c r="C254" s="12"/>
      <c r="D254" s="12"/>
      <c r="E254" s="12"/>
      <c r="F254" s="12"/>
      <c r="G254" s="12"/>
    </row>
    <row r="255" ht="15.75" customHeight="1">
      <c r="A255" s="12"/>
      <c r="B255" s="12"/>
      <c r="C255" s="12"/>
      <c r="D255" s="12"/>
      <c r="E255" s="12"/>
      <c r="F255" s="12"/>
      <c r="G255" s="12"/>
    </row>
    <row r="256" ht="15.75" customHeight="1">
      <c r="A256" s="12"/>
      <c r="B256" s="12"/>
      <c r="C256" s="12"/>
      <c r="D256" s="12"/>
      <c r="E256" s="12"/>
      <c r="F256" s="12"/>
      <c r="G256" s="12"/>
    </row>
    <row r="257" ht="15.75" customHeight="1">
      <c r="A257" s="12"/>
      <c r="B257" s="12"/>
      <c r="C257" s="12"/>
      <c r="D257" s="12"/>
      <c r="E257" s="12"/>
      <c r="F257" s="12"/>
      <c r="G257" s="12"/>
    </row>
    <row r="258" ht="15.75" customHeight="1">
      <c r="A258" s="12"/>
      <c r="B258" s="12"/>
      <c r="C258" s="12"/>
      <c r="D258" s="12"/>
      <c r="E258" s="12"/>
      <c r="F258" s="12"/>
      <c r="G258" s="12"/>
    </row>
    <row r="259" ht="15.75" customHeight="1">
      <c r="A259" s="12"/>
      <c r="B259" s="12"/>
      <c r="C259" s="12"/>
      <c r="D259" s="12"/>
      <c r="E259" s="12"/>
      <c r="F259" s="12"/>
      <c r="G259" s="12"/>
    </row>
    <row r="260" ht="15.75" customHeight="1">
      <c r="A260" s="12"/>
      <c r="B260" s="12"/>
      <c r="C260" s="12"/>
      <c r="D260" s="12"/>
      <c r="E260" s="12"/>
      <c r="F260" s="12"/>
      <c r="G260" s="12"/>
    </row>
    <row r="261" ht="15.75" customHeight="1">
      <c r="A261" s="12"/>
      <c r="B261" s="12"/>
      <c r="C261" s="12"/>
      <c r="D261" s="12"/>
      <c r="E261" s="12"/>
      <c r="F261" s="12"/>
      <c r="G261" s="12"/>
    </row>
    <row r="262" ht="15.75" customHeight="1">
      <c r="A262" s="12"/>
      <c r="B262" s="12"/>
      <c r="C262" s="12"/>
      <c r="D262" s="12"/>
      <c r="E262" s="12"/>
      <c r="F262" s="12"/>
      <c r="G262" s="12"/>
    </row>
    <row r="263" ht="15.75" customHeight="1">
      <c r="A263" s="12"/>
      <c r="B263" s="12"/>
      <c r="C263" s="12"/>
      <c r="D263" s="12"/>
      <c r="E263" s="12"/>
      <c r="F263" s="12"/>
      <c r="G263" s="12"/>
    </row>
    <row r="264" ht="15.75" customHeight="1">
      <c r="A264" s="12"/>
      <c r="B264" s="12"/>
      <c r="C264" s="12"/>
      <c r="D264" s="12"/>
      <c r="E264" s="12"/>
      <c r="F264" s="12"/>
      <c r="G264" s="12"/>
    </row>
    <row r="265" ht="15.75" customHeight="1">
      <c r="A265" s="12"/>
      <c r="B265" s="12"/>
      <c r="C265" s="12"/>
      <c r="D265" s="12"/>
      <c r="E265" s="12"/>
      <c r="F265" s="12"/>
      <c r="G265" s="12"/>
    </row>
    <row r="266" ht="15.75" customHeight="1">
      <c r="A266" s="12"/>
      <c r="B266" s="12"/>
      <c r="C266" s="12"/>
      <c r="D266" s="12"/>
      <c r="E266" s="12"/>
      <c r="F266" s="12"/>
      <c r="G266" s="12"/>
    </row>
    <row r="267" ht="15.75" customHeight="1">
      <c r="A267" s="12"/>
      <c r="B267" s="12"/>
      <c r="C267" s="12"/>
      <c r="D267" s="12"/>
      <c r="E267" s="12"/>
      <c r="F267" s="12"/>
      <c r="G267" s="12"/>
    </row>
    <row r="268" ht="15.75" customHeight="1">
      <c r="A268" s="12"/>
      <c r="B268" s="12"/>
      <c r="C268" s="12"/>
      <c r="D268" s="12"/>
      <c r="E268" s="12"/>
      <c r="F268" s="12"/>
      <c r="G268" s="12"/>
    </row>
    <row r="269" ht="15.75" customHeight="1">
      <c r="A269" s="12"/>
      <c r="B269" s="12"/>
      <c r="C269" s="12"/>
      <c r="D269" s="12"/>
      <c r="E269" s="12"/>
      <c r="F269" s="12"/>
      <c r="G269" s="12"/>
    </row>
    <row r="270" ht="15.75" customHeight="1">
      <c r="A270" s="12"/>
      <c r="B270" s="12"/>
      <c r="C270" s="12"/>
      <c r="D270" s="12"/>
      <c r="E270" s="12"/>
      <c r="F270" s="12"/>
      <c r="G270" s="12"/>
    </row>
    <row r="271" ht="15.75" customHeight="1">
      <c r="A271" s="12"/>
      <c r="B271" s="12"/>
      <c r="C271" s="12"/>
      <c r="D271" s="12"/>
      <c r="E271" s="12"/>
      <c r="F271" s="12"/>
      <c r="G271" s="12"/>
    </row>
    <row r="272" ht="15.75" customHeight="1">
      <c r="A272" s="12"/>
      <c r="B272" s="12"/>
      <c r="C272" s="12"/>
      <c r="D272" s="12"/>
      <c r="E272" s="12"/>
      <c r="F272" s="12"/>
      <c r="G272" s="12"/>
    </row>
    <row r="273" ht="15.75" customHeight="1">
      <c r="A273" s="12"/>
      <c r="B273" s="12"/>
      <c r="C273" s="12"/>
      <c r="D273" s="12"/>
      <c r="E273" s="12"/>
      <c r="F273" s="12"/>
      <c r="G273" s="12"/>
    </row>
    <row r="274" ht="15.75" customHeight="1">
      <c r="A274" s="12"/>
      <c r="B274" s="12"/>
      <c r="C274" s="12"/>
      <c r="D274" s="12"/>
      <c r="E274" s="12"/>
      <c r="F274" s="12"/>
      <c r="G274" s="12"/>
    </row>
    <row r="275" ht="15.75" customHeight="1">
      <c r="A275" s="12"/>
      <c r="B275" s="12"/>
      <c r="C275" s="12"/>
      <c r="D275" s="12"/>
      <c r="E275" s="12"/>
      <c r="F275" s="12"/>
      <c r="G275" s="12"/>
    </row>
    <row r="276" ht="15.75" customHeight="1">
      <c r="A276" s="12"/>
      <c r="B276" s="12"/>
      <c r="C276" s="12"/>
      <c r="D276" s="12"/>
      <c r="E276" s="12"/>
      <c r="F276" s="12"/>
      <c r="G276" s="12"/>
    </row>
    <row r="277" ht="15.75" customHeight="1">
      <c r="A277" s="12"/>
      <c r="B277" s="12"/>
      <c r="C277" s="12"/>
      <c r="D277" s="12"/>
      <c r="E277" s="12"/>
      <c r="F277" s="12"/>
      <c r="G277" s="12"/>
    </row>
    <row r="278" ht="15.75" customHeight="1">
      <c r="A278" s="12"/>
      <c r="B278" s="12"/>
      <c r="C278" s="12"/>
      <c r="D278" s="12"/>
      <c r="E278" s="12"/>
      <c r="F278" s="12"/>
      <c r="G278" s="12"/>
    </row>
    <row r="279" ht="15.75" customHeight="1">
      <c r="A279" s="12"/>
      <c r="B279" s="12"/>
      <c r="C279" s="12"/>
      <c r="D279" s="12"/>
      <c r="E279" s="12"/>
      <c r="F279" s="12"/>
      <c r="G279" s="12"/>
    </row>
    <row r="280" ht="15.75" customHeight="1">
      <c r="A280" s="12"/>
      <c r="B280" s="12"/>
      <c r="C280" s="12"/>
      <c r="D280" s="12"/>
      <c r="E280" s="12"/>
      <c r="F280" s="12"/>
      <c r="G280" s="12"/>
    </row>
    <row r="281" ht="15.75" customHeight="1">
      <c r="A281" s="12"/>
      <c r="B281" s="12"/>
      <c r="C281" s="12"/>
      <c r="D281" s="12"/>
      <c r="E281" s="12"/>
      <c r="F281" s="12"/>
      <c r="G281" s="12"/>
    </row>
    <row r="282" ht="15.75" customHeight="1">
      <c r="A282" s="12"/>
      <c r="B282" s="12"/>
      <c r="C282" s="12"/>
      <c r="D282" s="12"/>
      <c r="E282" s="12"/>
      <c r="F282" s="12"/>
      <c r="G282" s="12"/>
    </row>
    <row r="283" ht="15.75" customHeight="1">
      <c r="A283" s="12"/>
      <c r="B283" s="12"/>
      <c r="C283" s="12"/>
      <c r="D283" s="12"/>
      <c r="E283" s="12"/>
      <c r="F283" s="12"/>
      <c r="G283" s="12"/>
    </row>
    <row r="284" ht="15.75" customHeight="1">
      <c r="A284" s="12"/>
      <c r="B284" s="12"/>
      <c r="C284" s="12"/>
      <c r="D284" s="12"/>
      <c r="E284" s="12"/>
      <c r="F284" s="12"/>
      <c r="G284" s="12"/>
    </row>
    <row r="285" ht="15.75" customHeight="1">
      <c r="A285" s="12"/>
      <c r="B285" s="12"/>
      <c r="C285" s="12"/>
      <c r="D285" s="12"/>
      <c r="E285" s="12"/>
      <c r="F285" s="12"/>
      <c r="G285" s="12"/>
    </row>
    <row r="286" ht="15.75" customHeight="1">
      <c r="A286" s="12"/>
      <c r="B286" s="12"/>
      <c r="C286" s="12"/>
      <c r="D286" s="12"/>
      <c r="E286" s="12"/>
      <c r="F286" s="12"/>
      <c r="G286" s="12"/>
    </row>
    <row r="287" ht="15.75" customHeight="1">
      <c r="A287" s="12"/>
      <c r="B287" s="12"/>
      <c r="C287" s="12"/>
      <c r="D287" s="12"/>
      <c r="E287" s="12"/>
      <c r="F287" s="12"/>
      <c r="G287" s="12"/>
    </row>
    <row r="288" ht="15.75" customHeight="1">
      <c r="A288" s="12"/>
      <c r="B288" s="12"/>
      <c r="C288" s="12"/>
      <c r="D288" s="12"/>
      <c r="E288" s="12"/>
      <c r="F288" s="12"/>
      <c r="G288" s="12"/>
    </row>
    <row r="289" ht="15.75" customHeight="1">
      <c r="A289" s="12"/>
      <c r="B289" s="12"/>
      <c r="C289" s="12"/>
      <c r="D289" s="12"/>
      <c r="E289" s="12"/>
      <c r="F289" s="12"/>
      <c r="G289" s="12"/>
    </row>
    <row r="290" ht="15.75" customHeight="1">
      <c r="A290" s="12"/>
      <c r="B290" s="12"/>
      <c r="C290" s="12"/>
      <c r="D290" s="12"/>
      <c r="E290" s="12"/>
      <c r="F290" s="12"/>
      <c r="G290" s="12"/>
    </row>
    <row r="291" ht="15.75" customHeight="1">
      <c r="A291" s="12"/>
      <c r="B291" s="12"/>
      <c r="C291" s="12"/>
      <c r="D291" s="12"/>
      <c r="E291" s="12"/>
      <c r="F291" s="12"/>
      <c r="G291" s="12"/>
    </row>
    <row r="292" ht="15.75" customHeight="1">
      <c r="A292" s="12"/>
      <c r="B292" s="12"/>
      <c r="C292" s="12"/>
      <c r="D292" s="12"/>
      <c r="E292" s="12"/>
      <c r="F292" s="12"/>
      <c r="G292" s="12"/>
    </row>
    <row r="293" ht="15.75" customHeight="1">
      <c r="A293" s="12"/>
      <c r="B293" s="12"/>
      <c r="C293" s="12"/>
      <c r="D293" s="12"/>
      <c r="E293" s="12"/>
      <c r="F293" s="12"/>
      <c r="G293" s="12"/>
    </row>
    <row r="294" ht="15.75" customHeight="1">
      <c r="A294" s="12"/>
      <c r="B294" s="12"/>
      <c r="C294" s="12"/>
      <c r="D294" s="12"/>
      <c r="E294" s="12"/>
      <c r="F294" s="12"/>
      <c r="G294" s="12"/>
    </row>
    <row r="295" ht="15.75" customHeight="1">
      <c r="A295" s="12"/>
      <c r="B295" s="12"/>
      <c r="C295" s="12"/>
      <c r="D295" s="12"/>
      <c r="E295" s="12"/>
      <c r="F295" s="12"/>
      <c r="G295" s="12"/>
    </row>
    <row r="296" ht="15.75" customHeight="1">
      <c r="A296" s="12"/>
      <c r="B296" s="12"/>
      <c r="C296" s="12"/>
      <c r="D296" s="12"/>
      <c r="E296" s="12"/>
      <c r="F296" s="12"/>
      <c r="G296" s="12"/>
    </row>
    <row r="297" ht="15.75" customHeight="1">
      <c r="A297" s="12"/>
      <c r="B297" s="12"/>
      <c r="C297" s="12"/>
      <c r="D297" s="12"/>
      <c r="E297" s="12"/>
      <c r="F297" s="12"/>
      <c r="G297" s="12"/>
    </row>
    <row r="298" ht="15.75" customHeight="1">
      <c r="A298" s="12"/>
      <c r="B298" s="12"/>
      <c r="C298" s="12"/>
      <c r="D298" s="12"/>
      <c r="E298" s="12"/>
      <c r="F298" s="12"/>
      <c r="G298" s="12"/>
    </row>
    <row r="299" ht="15.75" customHeight="1">
      <c r="A299" s="12"/>
      <c r="B299" s="12"/>
      <c r="C299" s="12"/>
      <c r="D299" s="12"/>
      <c r="E299" s="12"/>
      <c r="F299" s="12"/>
      <c r="G299" s="12"/>
    </row>
    <row r="300" ht="15.75" customHeight="1">
      <c r="A300" s="12"/>
      <c r="B300" s="12"/>
      <c r="C300" s="12"/>
      <c r="D300" s="12"/>
      <c r="E300" s="12"/>
      <c r="F300" s="12"/>
      <c r="G300" s="12"/>
    </row>
    <row r="301" ht="15.75" customHeight="1">
      <c r="A301" s="12"/>
      <c r="B301" s="12"/>
      <c r="C301" s="12"/>
      <c r="D301" s="12"/>
      <c r="E301" s="12"/>
      <c r="F301" s="12"/>
      <c r="G301" s="12"/>
    </row>
    <row r="302" ht="15.75" customHeight="1">
      <c r="A302" s="12"/>
      <c r="B302" s="12"/>
      <c r="C302" s="12"/>
      <c r="D302" s="12"/>
      <c r="E302" s="12"/>
      <c r="F302" s="12"/>
      <c r="G302" s="12"/>
    </row>
    <row r="303" ht="15.75" customHeight="1">
      <c r="A303" s="12"/>
      <c r="B303" s="12"/>
      <c r="C303" s="12"/>
      <c r="D303" s="12"/>
      <c r="E303" s="12"/>
      <c r="F303" s="12"/>
      <c r="G303" s="12"/>
    </row>
    <row r="304" ht="15.75" customHeight="1">
      <c r="A304" s="12"/>
      <c r="B304" s="12"/>
      <c r="C304" s="12"/>
      <c r="D304" s="12"/>
      <c r="E304" s="12"/>
      <c r="F304" s="12"/>
      <c r="G304" s="12"/>
    </row>
    <row r="305" ht="15.75" customHeight="1">
      <c r="A305" s="12"/>
      <c r="B305" s="12"/>
      <c r="C305" s="12"/>
      <c r="D305" s="12"/>
      <c r="E305" s="12"/>
      <c r="F305" s="12"/>
      <c r="G305" s="12"/>
    </row>
    <row r="306" ht="15.75" customHeight="1">
      <c r="A306" s="12"/>
      <c r="B306" s="12"/>
      <c r="C306" s="12"/>
      <c r="D306" s="12"/>
      <c r="E306" s="12"/>
      <c r="F306" s="12"/>
      <c r="G306" s="12"/>
    </row>
    <row r="307" ht="15.75" customHeight="1">
      <c r="A307" s="12"/>
      <c r="B307" s="12"/>
      <c r="C307" s="12"/>
      <c r="D307" s="12"/>
      <c r="E307" s="12"/>
      <c r="F307" s="12"/>
      <c r="G307" s="12"/>
    </row>
    <row r="308" ht="15.75" customHeight="1">
      <c r="A308" s="12"/>
      <c r="B308" s="12"/>
      <c r="C308" s="12"/>
      <c r="D308" s="12"/>
      <c r="E308" s="12"/>
      <c r="F308" s="12"/>
      <c r="G308" s="12"/>
    </row>
    <row r="309" ht="15.75" customHeight="1">
      <c r="A309" s="12"/>
      <c r="B309" s="12"/>
      <c r="C309" s="12"/>
      <c r="D309" s="12"/>
      <c r="E309" s="12"/>
      <c r="F309" s="12"/>
      <c r="G309" s="12"/>
    </row>
    <row r="310" ht="15.75" customHeight="1">
      <c r="A310" s="12"/>
      <c r="B310" s="12"/>
      <c r="C310" s="12"/>
      <c r="D310" s="12"/>
      <c r="E310" s="12"/>
      <c r="F310" s="12"/>
      <c r="G310" s="12"/>
    </row>
    <row r="311" ht="15.75" customHeight="1">
      <c r="A311" s="12"/>
      <c r="B311" s="12"/>
      <c r="C311" s="12"/>
      <c r="D311" s="12"/>
      <c r="E311" s="12"/>
      <c r="F311" s="12"/>
      <c r="G311" s="12"/>
    </row>
    <row r="312" ht="15.75" customHeight="1">
      <c r="A312" s="12"/>
      <c r="B312" s="12"/>
      <c r="C312" s="12"/>
      <c r="D312" s="12"/>
      <c r="E312" s="12"/>
      <c r="F312" s="12"/>
      <c r="G312" s="12"/>
    </row>
    <row r="313" ht="15.75" customHeight="1">
      <c r="A313" s="12"/>
      <c r="B313" s="12"/>
      <c r="C313" s="12"/>
      <c r="D313" s="12"/>
      <c r="E313" s="12"/>
      <c r="F313" s="12"/>
      <c r="G313" s="12"/>
    </row>
    <row r="314" ht="15.75" customHeight="1">
      <c r="A314" s="12"/>
      <c r="B314" s="12"/>
      <c r="C314" s="12"/>
      <c r="D314" s="12"/>
      <c r="E314" s="12"/>
      <c r="F314" s="12"/>
      <c r="G314" s="12"/>
    </row>
    <row r="315" ht="15.75" customHeight="1">
      <c r="A315" s="12"/>
      <c r="B315" s="12"/>
      <c r="C315" s="12"/>
      <c r="D315" s="12"/>
      <c r="E315" s="12"/>
      <c r="F315" s="12"/>
      <c r="G315" s="12"/>
    </row>
    <row r="316" ht="15.75" customHeight="1">
      <c r="A316" s="12"/>
      <c r="B316" s="12"/>
      <c r="C316" s="12"/>
      <c r="D316" s="12"/>
      <c r="E316" s="12"/>
      <c r="F316" s="12"/>
      <c r="G316" s="12"/>
    </row>
    <row r="317" ht="15.75" customHeight="1">
      <c r="A317" s="12"/>
      <c r="B317" s="12"/>
      <c r="C317" s="12"/>
      <c r="D317" s="12"/>
      <c r="E317" s="12"/>
      <c r="F317" s="12"/>
      <c r="G317" s="12"/>
    </row>
    <row r="318" ht="15.75" customHeight="1">
      <c r="A318" s="12"/>
      <c r="B318" s="12"/>
      <c r="C318" s="12"/>
      <c r="D318" s="12"/>
      <c r="E318" s="12"/>
      <c r="F318" s="12"/>
      <c r="G318" s="12"/>
    </row>
    <row r="319" ht="15.75" customHeight="1">
      <c r="A319" s="12"/>
      <c r="B319" s="12"/>
      <c r="C319" s="12"/>
      <c r="D319" s="12"/>
      <c r="E319" s="12"/>
      <c r="F319" s="12"/>
      <c r="G319" s="12"/>
    </row>
    <row r="320" ht="15.75" customHeight="1">
      <c r="A320" s="12"/>
      <c r="B320" s="12"/>
      <c r="C320" s="12"/>
      <c r="D320" s="12"/>
      <c r="E320" s="12"/>
      <c r="F320" s="12"/>
      <c r="G320" s="12"/>
    </row>
    <row r="321" ht="15.75" customHeight="1">
      <c r="A321" s="12"/>
      <c r="B321" s="12"/>
      <c r="C321" s="12"/>
      <c r="D321" s="12"/>
      <c r="E321" s="12"/>
      <c r="F321" s="12"/>
      <c r="G321" s="12"/>
    </row>
    <row r="322" ht="15.75" customHeight="1">
      <c r="A322" s="12"/>
      <c r="B322" s="12"/>
      <c r="C322" s="12"/>
      <c r="D322" s="12"/>
      <c r="E322" s="12"/>
      <c r="F322" s="12"/>
      <c r="G322" s="12"/>
    </row>
    <row r="323" ht="15.75" customHeight="1">
      <c r="A323" s="12"/>
      <c r="B323" s="12"/>
      <c r="C323" s="12"/>
      <c r="D323" s="12"/>
      <c r="E323" s="12"/>
      <c r="F323" s="12"/>
      <c r="G323" s="12"/>
    </row>
    <row r="324" ht="15.75" customHeight="1">
      <c r="A324" s="12"/>
      <c r="B324" s="12"/>
      <c r="C324" s="12"/>
      <c r="D324" s="12"/>
      <c r="E324" s="12"/>
      <c r="F324" s="12"/>
      <c r="G324" s="12"/>
    </row>
    <row r="325" ht="15.75" customHeight="1">
      <c r="A325" s="12"/>
      <c r="B325" s="12"/>
      <c r="C325" s="12"/>
      <c r="D325" s="12"/>
      <c r="E325" s="12"/>
      <c r="F325" s="12"/>
      <c r="G325" s="12"/>
    </row>
    <row r="326" ht="15.75" customHeight="1">
      <c r="A326" s="12"/>
      <c r="B326" s="12"/>
      <c r="C326" s="12"/>
      <c r="D326" s="12"/>
      <c r="E326" s="12"/>
      <c r="F326" s="12"/>
      <c r="G326" s="12"/>
    </row>
    <row r="327" ht="15.75" customHeight="1">
      <c r="A327" s="12"/>
      <c r="B327" s="12"/>
      <c r="C327" s="12"/>
      <c r="D327" s="12"/>
      <c r="E327" s="12"/>
      <c r="F327" s="12"/>
      <c r="G327" s="12"/>
    </row>
    <row r="328" ht="15.75" customHeight="1">
      <c r="A328" s="12"/>
      <c r="B328" s="12"/>
      <c r="C328" s="12"/>
      <c r="D328" s="12"/>
      <c r="E328" s="12"/>
      <c r="F328" s="12"/>
      <c r="G328" s="12"/>
    </row>
    <row r="329" ht="15.75" customHeight="1">
      <c r="A329" s="12"/>
      <c r="B329" s="12"/>
      <c r="C329" s="12"/>
      <c r="D329" s="12"/>
      <c r="E329" s="12"/>
      <c r="F329" s="12"/>
      <c r="G329" s="12"/>
    </row>
    <row r="330" ht="15.75" customHeight="1">
      <c r="A330" s="12"/>
      <c r="B330" s="12"/>
      <c r="C330" s="12"/>
      <c r="D330" s="12"/>
      <c r="E330" s="12"/>
      <c r="F330" s="12"/>
      <c r="G330" s="12"/>
    </row>
    <row r="331" ht="15.75" customHeight="1">
      <c r="A331" s="12"/>
      <c r="B331" s="12"/>
      <c r="C331" s="12"/>
      <c r="D331" s="12"/>
      <c r="E331" s="12"/>
      <c r="F331" s="12"/>
      <c r="G331" s="12"/>
    </row>
    <row r="332" ht="15.75" customHeight="1">
      <c r="A332" s="12"/>
      <c r="B332" s="12"/>
      <c r="C332" s="12"/>
      <c r="D332" s="12"/>
      <c r="E332" s="12"/>
      <c r="F332" s="12"/>
      <c r="G332" s="12"/>
    </row>
    <row r="333" ht="15.75" customHeight="1">
      <c r="A333" s="12"/>
      <c r="B333" s="12"/>
      <c r="C333" s="12"/>
      <c r="D333" s="12"/>
      <c r="E333" s="12"/>
      <c r="F333" s="12"/>
      <c r="G333" s="12"/>
    </row>
    <row r="334" ht="15.75" customHeight="1">
      <c r="A334" s="12"/>
      <c r="B334" s="12"/>
      <c r="C334" s="12"/>
      <c r="D334" s="12"/>
      <c r="E334" s="12"/>
      <c r="F334" s="12"/>
      <c r="G334" s="12"/>
    </row>
    <row r="335" ht="15.75" customHeight="1">
      <c r="A335" s="12"/>
      <c r="B335" s="12"/>
      <c r="C335" s="12"/>
      <c r="D335" s="12"/>
      <c r="E335" s="12"/>
      <c r="F335" s="12"/>
      <c r="G335" s="12"/>
    </row>
    <row r="336" ht="15.75" customHeight="1">
      <c r="A336" s="12"/>
      <c r="B336" s="12"/>
      <c r="C336" s="12"/>
      <c r="D336" s="12"/>
      <c r="E336" s="12"/>
      <c r="F336" s="12"/>
      <c r="G336" s="12"/>
    </row>
    <row r="337" ht="15.75" customHeight="1">
      <c r="A337" s="12"/>
      <c r="B337" s="12"/>
      <c r="C337" s="12"/>
      <c r="D337" s="12"/>
      <c r="E337" s="12"/>
      <c r="F337" s="12"/>
      <c r="G337" s="12"/>
    </row>
    <row r="338" ht="15.75" customHeight="1">
      <c r="A338" s="12"/>
      <c r="B338" s="12"/>
      <c r="C338" s="12"/>
      <c r="D338" s="12"/>
      <c r="E338" s="12"/>
      <c r="F338" s="12"/>
      <c r="G338" s="12"/>
    </row>
    <row r="339" ht="15.75" customHeight="1">
      <c r="A339" s="12"/>
      <c r="B339" s="12"/>
      <c r="C339" s="12"/>
      <c r="D339" s="12"/>
      <c r="E339" s="12"/>
      <c r="F339" s="12"/>
      <c r="G339" s="12"/>
    </row>
    <row r="340" ht="15.75" customHeight="1">
      <c r="A340" s="12"/>
      <c r="B340" s="12"/>
      <c r="C340" s="12"/>
      <c r="D340" s="12"/>
      <c r="E340" s="12"/>
      <c r="F340" s="12"/>
      <c r="G340" s="12"/>
    </row>
    <row r="341" ht="15.75" customHeight="1">
      <c r="A341" s="12"/>
      <c r="B341" s="12"/>
      <c r="C341" s="12"/>
      <c r="D341" s="12"/>
      <c r="E341" s="12"/>
      <c r="F341" s="12"/>
      <c r="G341" s="12"/>
    </row>
    <row r="342" ht="15.75" customHeight="1">
      <c r="A342" s="12"/>
      <c r="B342" s="12"/>
      <c r="C342" s="12"/>
      <c r="D342" s="12"/>
      <c r="E342" s="12"/>
      <c r="F342" s="12"/>
      <c r="G342" s="12"/>
    </row>
    <row r="343" ht="15.75" customHeight="1">
      <c r="A343" s="12"/>
      <c r="B343" s="12"/>
      <c r="C343" s="12"/>
      <c r="D343" s="12"/>
      <c r="E343" s="12"/>
      <c r="F343" s="12"/>
      <c r="G343" s="12"/>
    </row>
    <row r="344" ht="15.75" customHeight="1">
      <c r="A344" s="12"/>
      <c r="B344" s="12"/>
      <c r="C344" s="12"/>
      <c r="D344" s="12"/>
      <c r="E344" s="12"/>
      <c r="F344" s="12"/>
      <c r="G344" s="12"/>
    </row>
    <row r="345" ht="15.75" customHeight="1">
      <c r="A345" s="12"/>
      <c r="B345" s="12"/>
      <c r="C345" s="12"/>
      <c r="D345" s="12"/>
      <c r="E345" s="12"/>
      <c r="F345" s="12"/>
      <c r="G345" s="12"/>
    </row>
    <row r="346" ht="15.75" customHeight="1">
      <c r="A346" s="12"/>
      <c r="B346" s="12"/>
      <c r="C346" s="12"/>
      <c r="D346" s="12"/>
      <c r="E346" s="12"/>
      <c r="F346" s="12"/>
      <c r="G346" s="12"/>
    </row>
    <row r="347" ht="15.75" customHeight="1">
      <c r="A347" s="12"/>
      <c r="B347" s="12"/>
      <c r="C347" s="12"/>
      <c r="D347" s="12"/>
      <c r="E347" s="12"/>
      <c r="F347" s="12"/>
      <c r="G347" s="12"/>
    </row>
    <row r="348" ht="15.75" customHeight="1">
      <c r="A348" s="12"/>
      <c r="B348" s="12"/>
      <c r="C348" s="12"/>
      <c r="D348" s="12"/>
      <c r="E348" s="12"/>
      <c r="F348" s="12"/>
      <c r="G348" s="12"/>
    </row>
    <row r="349" ht="15.75" customHeight="1">
      <c r="A349" s="12"/>
      <c r="B349" s="12"/>
      <c r="C349" s="12"/>
      <c r="D349" s="12"/>
      <c r="E349" s="12"/>
      <c r="F349" s="12"/>
      <c r="G349" s="12"/>
    </row>
    <row r="350" ht="15.75" customHeight="1">
      <c r="A350" s="12"/>
      <c r="B350" s="12"/>
      <c r="C350" s="12"/>
      <c r="D350" s="12"/>
      <c r="E350" s="12"/>
      <c r="F350" s="12"/>
      <c r="G350" s="12"/>
    </row>
    <row r="351" ht="15.75" customHeight="1">
      <c r="A351" s="12"/>
      <c r="B351" s="12"/>
      <c r="C351" s="12"/>
      <c r="D351" s="12"/>
      <c r="E351" s="12"/>
      <c r="F351" s="12"/>
      <c r="G351" s="12"/>
    </row>
    <row r="352" ht="15.75" customHeight="1">
      <c r="A352" s="12"/>
      <c r="B352" s="12"/>
      <c r="C352" s="12"/>
      <c r="D352" s="12"/>
      <c r="E352" s="12"/>
      <c r="F352" s="12"/>
      <c r="G352" s="12"/>
    </row>
    <row r="353" ht="15.75" customHeight="1">
      <c r="A353" s="12"/>
      <c r="B353" s="12"/>
      <c r="C353" s="12"/>
      <c r="D353" s="12"/>
      <c r="E353" s="12"/>
      <c r="F353" s="12"/>
      <c r="G353" s="12"/>
    </row>
    <row r="354" ht="15.75" customHeight="1">
      <c r="A354" s="12"/>
      <c r="B354" s="12"/>
      <c r="C354" s="12"/>
      <c r="D354" s="12"/>
      <c r="E354" s="12"/>
      <c r="F354" s="12"/>
      <c r="G354" s="12"/>
    </row>
    <row r="355" ht="15.75" customHeight="1">
      <c r="A355" s="12"/>
      <c r="B355" s="12"/>
      <c r="C355" s="12"/>
      <c r="D355" s="12"/>
      <c r="E355" s="12"/>
      <c r="F355" s="12"/>
      <c r="G355" s="12"/>
    </row>
    <row r="356" ht="15.75" customHeight="1">
      <c r="A356" s="12"/>
      <c r="B356" s="12"/>
      <c r="C356" s="12"/>
      <c r="D356" s="12"/>
      <c r="E356" s="12"/>
      <c r="F356" s="12"/>
      <c r="G356" s="12"/>
    </row>
    <row r="357" ht="15.75" customHeight="1">
      <c r="A357" s="12"/>
      <c r="B357" s="12"/>
      <c r="C357" s="12"/>
      <c r="D357" s="12"/>
      <c r="E357" s="12"/>
      <c r="F357" s="12"/>
      <c r="G357" s="12"/>
    </row>
    <row r="358" ht="15.75" customHeight="1">
      <c r="A358" s="12"/>
      <c r="B358" s="12"/>
      <c r="C358" s="12"/>
      <c r="D358" s="12"/>
      <c r="E358" s="12"/>
      <c r="F358" s="12"/>
      <c r="G358" s="12"/>
    </row>
    <row r="359" ht="15.75" customHeight="1">
      <c r="A359" s="12"/>
      <c r="B359" s="12"/>
      <c r="C359" s="12"/>
      <c r="D359" s="12"/>
      <c r="E359" s="12"/>
      <c r="F359" s="12"/>
      <c r="G359" s="12"/>
    </row>
    <row r="360" ht="15.75" customHeight="1">
      <c r="A360" s="12"/>
      <c r="B360" s="12"/>
      <c r="C360" s="12"/>
      <c r="D360" s="12"/>
      <c r="E360" s="12"/>
      <c r="F360" s="12"/>
      <c r="G360" s="12"/>
    </row>
    <row r="361" ht="15.75" customHeight="1">
      <c r="A361" s="12"/>
      <c r="B361" s="12"/>
      <c r="C361" s="12"/>
      <c r="D361" s="12"/>
      <c r="E361" s="12"/>
      <c r="F361" s="12"/>
      <c r="G361" s="12"/>
    </row>
    <row r="362" ht="15.75" customHeight="1">
      <c r="A362" s="12"/>
      <c r="B362" s="12"/>
      <c r="C362" s="12"/>
      <c r="D362" s="12"/>
      <c r="E362" s="12"/>
      <c r="F362" s="12"/>
      <c r="G362" s="12"/>
    </row>
    <row r="363" ht="15.75" customHeight="1">
      <c r="A363" s="12"/>
      <c r="B363" s="12"/>
      <c r="C363" s="12"/>
      <c r="D363" s="12"/>
      <c r="E363" s="12"/>
      <c r="F363" s="12"/>
      <c r="G363" s="12"/>
    </row>
    <row r="364" ht="15.75" customHeight="1">
      <c r="A364" s="12"/>
      <c r="B364" s="12"/>
      <c r="C364" s="12"/>
      <c r="D364" s="12"/>
      <c r="E364" s="12"/>
      <c r="F364" s="12"/>
      <c r="G364" s="12"/>
    </row>
    <row r="365" ht="15.75" customHeight="1">
      <c r="A365" s="12"/>
      <c r="B365" s="12"/>
      <c r="C365" s="12"/>
      <c r="D365" s="12"/>
      <c r="E365" s="12"/>
      <c r="F365" s="12"/>
      <c r="G365" s="12"/>
    </row>
    <row r="366" ht="15.75" customHeight="1">
      <c r="A366" s="12"/>
      <c r="B366" s="12"/>
      <c r="C366" s="12"/>
      <c r="D366" s="12"/>
      <c r="E366" s="12"/>
      <c r="F366" s="12"/>
      <c r="G366" s="12"/>
    </row>
    <row r="367" ht="15.75" customHeight="1">
      <c r="A367" s="12"/>
      <c r="B367" s="12"/>
      <c r="C367" s="12"/>
      <c r="D367" s="12"/>
      <c r="E367" s="12"/>
      <c r="F367" s="12"/>
      <c r="G367" s="12"/>
    </row>
    <row r="368" ht="15.75" customHeight="1">
      <c r="A368" s="12"/>
      <c r="B368" s="12"/>
      <c r="C368" s="12"/>
      <c r="D368" s="12"/>
      <c r="E368" s="12"/>
      <c r="F368" s="12"/>
      <c r="G368" s="12"/>
    </row>
    <row r="369" ht="15.75" customHeight="1">
      <c r="A369" s="12"/>
      <c r="B369" s="12"/>
      <c r="C369" s="12"/>
      <c r="D369" s="12"/>
      <c r="E369" s="12"/>
      <c r="F369" s="12"/>
      <c r="G369" s="12"/>
    </row>
    <row r="370" ht="15.75" customHeight="1">
      <c r="A370" s="12"/>
      <c r="B370" s="12"/>
      <c r="C370" s="12"/>
      <c r="D370" s="12"/>
      <c r="E370" s="12"/>
      <c r="F370" s="12"/>
      <c r="G370" s="12"/>
    </row>
    <row r="371" ht="15.75" customHeight="1">
      <c r="A371" s="12"/>
      <c r="B371" s="12"/>
      <c r="C371" s="12"/>
      <c r="D371" s="12"/>
      <c r="E371" s="12"/>
      <c r="F371" s="12"/>
      <c r="G371" s="12"/>
    </row>
    <row r="372" ht="15.75" customHeight="1">
      <c r="A372" s="12"/>
      <c r="B372" s="12"/>
      <c r="C372" s="12"/>
      <c r="D372" s="12"/>
      <c r="E372" s="12"/>
      <c r="F372" s="12"/>
      <c r="G372" s="12"/>
    </row>
    <row r="373" ht="15.75" customHeight="1">
      <c r="A373" s="12"/>
      <c r="B373" s="12"/>
      <c r="C373" s="12"/>
      <c r="D373" s="12"/>
      <c r="E373" s="12"/>
      <c r="F373" s="12"/>
      <c r="G373" s="12"/>
    </row>
    <row r="374" ht="15.75" customHeight="1">
      <c r="A374" s="12"/>
      <c r="B374" s="12"/>
      <c r="C374" s="12"/>
      <c r="D374" s="12"/>
      <c r="E374" s="12"/>
      <c r="F374" s="12"/>
      <c r="G374" s="12"/>
    </row>
    <row r="375" ht="15.75" customHeight="1">
      <c r="A375" s="12"/>
      <c r="B375" s="12"/>
      <c r="C375" s="12"/>
      <c r="D375" s="12"/>
      <c r="E375" s="12"/>
      <c r="F375" s="12"/>
      <c r="G375" s="12"/>
    </row>
    <row r="376" ht="15.75" customHeight="1">
      <c r="A376" s="12"/>
      <c r="B376" s="12"/>
      <c r="C376" s="12"/>
      <c r="D376" s="12"/>
      <c r="E376" s="12"/>
      <c r="F376" s="12"/>
      <c r="G376" s="12"/>
    </row>
    <row r="377" ht="15.75" customHeight="1">
      <c r="A377" s="12"/>
      <c r="B377" s="12"/>
      <c r="C377" s="12"/>
      <c r="D377" s="12"/>
      <c r="E377" s="12"/>
      <c r="F377" s="12"/>
      <c r="G377" s="12"/>
    </row>
    <row r="378" ht="15.75" customHeight="1">
      <c r="A378" s="12"/>
      <c r="B378" s="12"/>
      <c r="C378" s="12"/>
      <c r="D378" s="12"/>
      <c r="E378" s="12"/>
      <c r="F378" s="12"/>
      <c r="G378" s="12"/>
    </row>
    <row r="379" ht="15.75" customHeight="1">
      <c r="A379" s="12"/>
      <c r="B379" s="12"/>
      <c r="C379" s="12"/>
      <c r="D379" s="12"/>
      <c r="E379" s="12"/>
      <c r="F379" s="12"/>
      <c r="G379" s="12"/>
    </row>
    <row r="380" ht="15.75" customHeight="1">
      <c r="A380" s="12"/>
      <c r="B380" s="12"/>
      <c r="C380" s="12"/>
      <c r="D380" s="12"/>
      <c r="E380" s="12"/>
      <c r="F380" s="12"/>
      <c r="G380" s="12"/>
    </row>
    <row r="381" ht="15.75" customHeight="1">
      <c r="A381" s="12"/>
      <c r="B381" s="12"/>
      <c r="C381" s="12"/>
      <c r="D381" s="12"/>
      <c r="E381" s="12"/>
      <c r="F381" s="12"/>
      <c r="G381" s="12"/>
    </row>
    <row r="382" ht="15.75" customHeight="1">
      <c r="A382" s="12"/>
      <c r="B382" s="12"/>
      <c r="C382" s="12"/>
      <c r="D382" s="12"/>
      <c r="E382" s="12"/>
      <c r="F382" s="12"/>
      <c r="G382" s="12"/>
    </row>
    <row r="383" ht="15.75" customHeight="1">
      <c r="A383" s="12"/>
      <c r="B383" s="12"/>
      <c r="C383" s="12"/>
      <c r="D383" s="12"/>
      <c r="E383" s="12"/>
      <c r="F383" s="12"/>
      <c r="G383" s="12"/>
    </row>
    <row r="384" ht="15.75" customHeight="1">
      <c r="A384" s="12"/>
      <c r="B384" s="12"/>
      <c r="C384" s="12"/>
      <c r="D384" s="12"/>
      <c r="E384" s="12"/>
      <c r="F384" s="12"/>
      <c r="G384" s="12"/>
    </row>
    <row r="385" ht="15.75" customHeight="1">
      <c r="A385" s="12"/>
      <c r="B385" s="12"/>
      <c r="C385" s="12"/>
      <c r="D385" s="12"/>
      <c r="E385" s="12"/>
      <c r="F385" s="12"/>
      <c r="G385" s="12"/>
    </row>
    <row r="386" ht="15.75" customHeight="1">
      <c r="A386" s="12"/>
      <c r="B386" s="12"/>
      <c r="C386" s="12"/>
      <c r="D386" s="12"/>
      <c r="E386" s="12"/>
      <c r="F386" s="12"/>
      <c r="G386" s="12"/>
    </row>
    <row r="387" ht="15.75" customHeight="1">
      <c r="A387" s="12"/>
      <c r="B387" s="12"/>
      <c r="C387" s="12"/>
      <c r="D387" s="12"/>
      <c r="E387" s="12"/>
      <c r="F387" s="12"/>
      <c r="G387" s="12"/>
    </row>
    <row r="388" ht="15.75" customHeight="1">
      <c r="A388" s="12"/>
      <c r="B388" s="12"/>
      <c r="C388" s="12"/>
      <c r="D388" s="12"/>
      <c r="E388" s="12"/>
      <c r="F388" s="12"/>
      <c r="G388" s="12"/>
    </row>
    <row r="389" ht="15.75" customHeight="1">
      <c r="A389" s="12"/>
      <c r="B389" s="12"/>
      <c r="C389" s="12"/>
      <c r="D389" s="12"/>
      <c r="E389" s="12"/>
      <c r="F389" s="12"/>
      <c r="G389" s="12"/>
    </row>
    <row r="390" ht="15.75" customHeight="1">
      <c r="A390" s="12"/>
      <c r="B390" s="12"/>
      <c r="C390" s="12"/>
      <c r="D390" s="12"/>
      <c r="E390" s="12"/>
      <c r="F390" s="12"/>
      <c r="G390" s="12"/>
    </row>
    <row r="391" ht="15.75" customHeight="1">
      <c r="A391" s="12"/>
      <c r="B391" s="12"/>
      <c r="C391" s="12"/>
      <c r="D391" s="12"/>
      <c r="E391" s="12"/>
      <c r="F391" s="12"/>
      <c r="G391" s="12"/>
    </row>
    <row r="392" ht="15.75" customHeight="1">
      <c r="A392" s="12"/>
      <c r="B392" s="12"/>
      <c r="C392" s="12"/>
      <c r="D392" s="12"/>
      <c r="E392" s="12"/>
      <c r="F392" s="12"/>
      <c r="G392" s="12"/>
    </row>
    <row r="393" ht="15.75" customHeight="1">
      <c r="A393" s="12"/>
      <c r="B393" s="12"/>
      <c r="C393" s="12"/>
      <c r="D393" s="12"/>
      <c r="E393" s="12"/>
      <c r="F393" s="12"/>
      <c r="G393" s="12"/>
    </row>
    <row r="394" ht="15.75" customHeight="1">
      <c r="A394" s="12"/>
      <c r="B394" s="12"/>
      <c r="C394" s="12"/>
      <c r="D394" s="12"/>
      <c r="E394" s="12"/>
      <c r="F394" s="12"/>
      <c r="G394" s="12"/>
    </row>
    <row r="395" ht="15.75" customHeight="1">
      <c r="A395" s="12"/>
      <c r="B395" s="12"/>
      <c r="C395" s="12"/>
      <c r="D395" s="12"/>
      <c r="E395" s="12"/>
      <c r="F395" s="12"/>
      <c r="G395" s="12"/>
    </row>
    <row r="396" ht="15.75" customHeight="1">
      <c r="A396" s="12"/>
      <c r="B396" s="12"/>
      <c r="C396" s="12"/>
      <c r="D396" s="12"/>
      <c r="E396" s="12"/>
      <c r="F396" s="12"/>
      <c r="G396" s="12"/>
    </row>
    <row r="397" ht="15.75" customHeight="1">
      <c r="A397" s="12"/>
      <c r="B397" s="12"/>
      <c r="C397" s="12"/>
      <c r="D397" s="12"/>
      <c r="E397" s="12"/>
      <c r="F397" s="12"/>
      <c r="G397" s="12"/>
    </row>
    <row r="398" ht="15.75" customHeight="1">
      <c r="A398" s="12"/>
      <c r="B398" s="12"/>
      <c r="C398" s="12"/>
      <c r="D398" s="12"/>
      <c r="E398" s="12"/>
      <c r="F398" s="12"/>
      <c r="G398" s="12"/>
    </row>
    <row r="399" ht="15.75" customHeight="1">
      <c r="A399" s="12"/>
      <c r="B399" s="12"/>
      <c r="C399" s="12"/>
      <c r="D399" s="12"/>
      <c r="E399" s="12"/>
      <c r="F399" s="12"/>
      <c r="G399" s="12"/>
    </row>
    <row r="400" ht="15.75" customHeight="1">
      <c r="A400" s="12"/>
      <c r="B400" s="12"/>
      <c r="C400" s="12"/>
      <c r="D400" s="12"/>
      <c r="E400" s="12"/>
      <c r="F400" s="12"/>
      <c r="G400" s="12"/>
    </row>
    <row r="401" ht="15.75" customHeight="1">
      <c r="A401" s="12"/>
      <c r="B401" s="12"/>
      <c r="C401" s="12"/>
      <c r="D401" s="12"/>
      <c r="E401" s="12"/>
      <c r="F401" s="12"/>
      <c r="G401" s="12"/>
    </row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66">
    <mergeCell ref="A1:A3"/>
    <mergeCell ref="B1:G1"/>
    <mergeCell ref="C2:G2"/>
    <mergeCell ref="C3:G3"/>
    <mergeCell ref="A8:G8"/>
    <mergeCell ref="A9:G10"/>
    <mergeCell ref="A11:G11"/>
    <mergeCell ref="E12:G12"/>
    <mergeCell ref="E13:G13"/>
    <mergeCell ref="E14:G14"/>
    <mergeCell ref="E15:G15"/>
    <mergeCell ref="A16:G16"/>
    <mergeCell ref="A17:G17"/>
    <mergeCell ref="A18:G18"/>
    <mergeCell ref="F19:G19"/>
    <mergeCell ref="F20:G20"/>
    <mergeCell ref="F21:G21"/>
    <mergeCell ref="F22:G22"/>
    <mergeCell ref="F23:G23"/>
    <mergeCell ref="F24:G24"/>
    <mergeCell ref="F25:G25"/>
    <mergeCell ref="F26:G26"/>
    <mergeCell ref="F27:G27"/>
    <mergeCell ref="F28:G28"/>
    <mergeCell ref="F29:G29"/>
    <mergeCell ref="A30:G30"/>
    <mergeCell ref="F31:G31"/>
    <mergeCell ref="F32:G32"/>
    <mergeCell ref="F33:G33"/>
    <mergeCell ref="F34:G34"/>
    <mergeCell ref="F35:G35"/>
    <mergeCell ref="F36:G36"/>
    <mergeCell ref="F37:G37"/>
    <mergeCell ref="F38:G38"/>
    <mergeCell ref="F39:G39"/>
    <mergeCell ref="F40:G40"/>
    <mergeCell ref="F41:G41"/>
    <mergeCell ref="A42:G42"/>
    <mergeCell ref="F43:G43"/>
    <mergeCell ref="F44:G44"/>
    <mergeCell ref="F45:G45"/>
    <mergeCell ref="F46:G46"/>
    <mergeCell ref="F47:G47"/>
    <mergeCell ref="F48:G48"/>
    <mergeCell ref="F49:G49"/>
    <mergeCell ref="F50:G50"/>
    <mergeCell ref="F51:G51"/>
    <mergeCell ref="F52:G52"/>
    <mergeCell ref="F53:G53"/>
    <mergeCell ref="A54:G54"/>
    <mergeCell ref="A55:G55"/>
    <mergeCell ref="A56:G56"/>
    <mergeCell ref="F57:G57"/>
    <mergeCell ref="F58:G58"/>
    <mergeCell ref="F59:G59"/>
    <mergeCell ref="F60:G60"/>
    <mergeCell ref="F61:G61"/>
    <mergeCell ref="F62:G62"/>
    <mergeCell ref="F63:G63"/>
    <mergeCell ref="F64:G64"/>
    <mergeCell ref="F65:G65"/>
    <mergeCell ref="F66:G66"/>
    <mergeCell ref="A68:G68"/>
    <mergeCell ref="F67:G67"/>
    <mergeCell ref="F69:G69"/>
    <mergeCell ref="F70:G70"/>
    <mergeCell ref="F71:G71"/>
    <mergeCell ref="F72:G72"/>
    <mergeCell ref="F73:G73"/>
    <mergeCell ref="F74:G74"/>
    <mergeCell ref="F75:G75"/>
    <mergeCell ref="F76:G76"/>
    <mergeCell ref="F77:G77"/>
    <mergeCell ref="F78:G78"/>
    <mergeCell ref="F79:G79"/>
    <mergeCell ref="A80:G80"/>
    <mergeCell ref="F81:G81"/>
    <mergeCell ref="F82:G82"/>
    <mergeCell ref="F83:G83"/>
    <mergeCell ref="F84:G84"/>
    <mergeCell ref="F85:G85"/>
    <mergeCell ref="F86:G86"/>
    <mergeCell ref="F87:G87"/>
    <mergeCell ref="F88:G88"/>
    <mergeCell ref="F89:G89"/>
    <mergeCell ref="F90:G90"/>
    <mergeCell ref="F91:G91"/>
    <mergeCell ref="A92:G108"/>
    <mergeCell ref="A109:G109"/>
    <mergeCell ref="A110:G110"/>
    <mergeCell ref="A111:G111"/>
    <mergeCell ref="F112:G112"/>
    <mergeCell ref="F113:G113"/>
    <mergeCell ref="F114:G114"/>
    <mergeCell ref="F115:G115"/>
    <mergeCell ref="F116:G116"/>
    <mergeCell ref="F117:G117"/>
    <mergeCell ref="F118:G118"/>
    <mergeCell ref="F179:G179"/>
    <mergeCell ref="F180:G180"/>
    <mergeCell ref="F181:G181"/>
    <mergeCell ref="F182:G182"/>
    <mergeCell ref="F183:G183"/>
    <mergeCell ref="F184:G184"/>
    <mergeCell ref="F185:G185"/>
    <mergeCell ref="F186:G186"/>
    <mergeCell ref="F187:G187"/>
    <mergeCell ref="F188:G188"/>
    <mergeCell ref="F189:G189"/>
    <mergeCell ref="A190:G190"/>
    <mergeCell ref="F191:G191"/>
    <mergeCell ref="F192:G192"/>
    <mergeCell ref="F200:G200"/>
    <mergeCell ref="F201:G201"/>
    <mergeCell ref="A202:G218"/>
    <mergeCell ref="F193:G193"/>
    <mergeCell ref="F194:G194"/>
    <mergeCell ref="F195:G195"/>
    <mergeCell ref="F196:G196"/>
    <mergeCell ref="F197:G197"/>
    <mergeCell ref="F198:G198"/>
    <mergeCell ref="F199:G199"/>
    <mergeCell ref="F119:G119"/>
    <mergeCell ref="F120:G120"/>
    <mergeCell ref="F121:G121"/>
    <mergeCell ref="F122:G122"/>
    <mergeCell ref="A123:G123"/>
    <mergeCell ref="F124:G124"/>
    <mergeCell ref="F125:G125"/>
    <mergeCell ref="F126:G126"/>
    <mergeCell ref="F127:G127"/>
    <mergeCell ref="F128:G128"/>
    <mergeCell ref="F129:G129"/>
    <mergeCell ref="F130:G130"/>
    <mergeCell ref="F131:G131"/>
    <mergeCell ref="F132:G132"/>
    <mergeCell ref="F133:G133"/>
    <mergeCell ref="F134:G134"/>
    <mergeCell ref="A135:G135"/>
    <mergeCell ref="F136:G136"/>
    <mergeCell ref="F137:G137"/>
    <mergeCell ref="F138:G138"/>
    <mergeCell ref="F139:G139"/>
    <mergeCell ref="F140:G140"/>
    <mergeCell ref="F141:G141"/>
    <mergeCell ref="F142:G142"/>
    <mergeCell ref="F143:G143"/>
    <mergeCell ref="F144:G144"/>
    <mergeCell ref="F145:G145"/>
    <mergeCell ref="F146:G146"/>
    <mergeCell ref="A147:G163"/>
    <mergeCell ref="A164:G164"/>
    <mergeCell ref="A165:G165"/>
    <mergeCell ref="A166:G166"/>
    <mergeCell ref="F167:G167"/>
    <mergeCell ref="F168:G168"/>
    <mergeCell ref="F169:G169"/>
    <mergeCell ref="F177:G177"/>
    <mergeCell ref="A178:G178"/>
    <mergeCell ref="F170:G170"/>
    <mergeCell ref="F171:G171"/>
    <mergeCell ref="F172:G172"/>
    <mergeCell ref="F173:G173"/>
    <mergeCell ref="F174:G174"/>
    <mergeCell ref="F175:G175"/>
    <mergeCell ref="F176:G176"/>
  </mergeCells>
  <printOptions horizontalCentered="1"/>
  <pageMargins bottom="0.75" footer="0.0" header="0.0" left="0.7" right="0.7" top="0.75"/>
  <pageSetup fitToHeight="0" paperSize="9" orientation="portrait" pageOrder="overThenDown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1" width="6.38"/>
    <col customWidth="1" min="2" max="2" width="31.38"/>
    <col customWidth="1" min="3" max="6" width="6.38"/>
    <col customWidth="1" min="7" max="7" width="9.5"/>
    <col customWidth="1" min="8" max="8" width="6.38"/>
    <col customWidth="1" min="9" max="9" width="31.38"/>
    <col customWidth="1" min="10" max="13" width="6.38"/>
    <col customWidth="1" min="14" max="14" width="9.5"/>
    <col customWidth="1" min="15" max="15" width="6.38"/>
    <col customWidth="1" min="16" max="16" width="31.38"/>
    <col customWidth="1" min="17" max="20" width="6.38"/>
    <col customWidth="1" min="21" max="21" width="9.5"/>
    <col customWidth="1" min="22" max="22" width="6.38"/>
    <col customWidth="1" min="23" max="23" width="31.38"/>
    <col customWidth="1" min="24" max="27" width="6.38"/>
    <col customWidth="1" min="28" max="28" width="9.5"/>
    <col customWidth="1" min="29" max="29" width="6.38"/>
  </cols>
  <sheetData>
    <row r="1" ht="15.75" customHeight="1">
      <c r="A1" s="1" t="s">
        <v>27</v>
      </c>
      <c r="B1" s="1"/>
      <c r="C1" s="3"/>
      <c r="D1" s="4"/>
      <c r="E1" s="5"/>
      <c r="F1" s="5"/>
      <c r="G1" s="6"/>
      <c r="H1" s="7"/>
      <c r="I1" s="1"/>
      <c r="J1" s="5"/>
      <c r="K1" s="5"/>
      <c r="L1" s="5"/>
      <c r="M1" s="1"/>
      <c r="N1" s="6"/>
      <c r="O1" s="1"/>
      <c r="P1" s="1"/>
      <c r="Q1" s="5"/>
      <c r="R1" s="5"/>
      <c r="S1" s="5"/>
      <c r="T1" s="5"/>
      <c r="U1" s="6"/>
      <c r="V1" s="1"/>
      <c r="W1" s="1"/>
      <c r="X1" s="5"/>
      <c r="Y1" s="5"/>
      <c r="Z1" s="5"/>
      <c r="AA1" s="5"/>
      <c r="AB1" s="5"/>
      <c r="AC1" s="5"/>
    </row>
    <row r="2" ht="15.75" customHeight="1">
      <c r="A2" s="11"/>
      <c r="B2" s="11"/>
      <c r="C2" s="11"/>
      <c r="D2" s="11"/>
      <c r="H2" s="11"/>
      <c r="I2" s="11"/>
      <c r="J2" s="11"/>
      <c r="K2" s="11"/>
      <c r="O2" s="11"/>
      <c r="P2" s="11"/>
      <c r="Q2" s="11"/>
      <c r="R2" s="11"/>
      <c r="V2" s="11"/>
      <c r="W2" s="11"/>
      <c r="X2" s="11"/>
      <c r="Y2" s="11"/>
      <c r="AC2" s="11"/>
    </row>
    <row r="3" ht="15.75" customHeight="1">
      <c r="A3" s="2" t="s">
        <v>5</v>
      </c>
      <c r="B3" s="13"/>
      <c r="C3" s="16">
        <f>macro!J6</f>
        <v>46302</v>
      </c>
      <c r="H3" s="18"/>
      <c r="I3" s="13"/>
      <c r="J3" s="4">
        <f>C3+7</f>
        <v>46309</v>
      </c>
      <c r="O3" s="18"/>
      <c r="P3" s="13"/>
      <c r="Q3" s="16">
        <f>J3+7</f>
        <v>46316</v>
      </c>
      <c r="V3" s="18"/>
      <c r="W3" s="13"/>
      <c r="X3" s="16">
        <f>Q3+7</f>
        <v>46323</v>
      </c>
      <c r="AC3" s="11"/>
    </row>
    <row r="4" ht="15.75" customHeight="1">
      <c r="A4" s="2"/>
      <c r="B4" s="2"/>
      <c r="C4" s="5" t="s">
        <v>10</v>
      </c>
      <c r="D4" s="5" t="s">
        <v>12</v>
      </c>
      <c r="E4" s="5" t="s">
        <v>13</v>
      </c>
      <c r="F4" s="5" t="s">
        <v>14</v>
      </c>
      <c r="G4" s="5" t="s">
        <v>15</v>
      </c>
      <c r="H4" s="18"/>
      <c r="I4" s="2"/>
      <c r="J4" s="5" t="s">
        <v>10</v>
      </c>
      <c r="K4" s="5" t="s">
        <v>12</v>
      </c>
      <c r="L4" s="5" t="s">
        <v>13</v>
      </c>
      <c r="M4" s="5" t="s">
        <v>14</v>
      </c>
      <c r="N4" s="5" t="s">
        <v>15</v>
      </c>
      <c r="O4" s="18"/>
      <c r="P4" s="2"/>
      <c r="Q4" s="5" t="s">
        <v>10</v>
      </c>
      <c r="R4" s="5" t="s">
        <v>12</v>
      </c>
      <c r="S4" s="5" t="s">
        <v>13</v>
      </c>
      <c r="T4" s="5" t="s">
        <v>14</v>
      </c>
      <c r="U4" s="5" t="s">
        <v>15</v>
      </c>
      <c r="V4" s="18"/>
      <c r="W4" s="2"/>
      <c r="X4" s="5" t="s">
        <v>10</v>
      </c>
      <c r="Y4" s="5" t="s">
        <v>12</v>
      </c>
      <c r="Z4" s="5" t="s">
        <v>13</v>
      </c>
      <c r="AA4" s="5" t="s">
        <v>14</v>
      </c>
      <c r="AB4" s="5" t="s">
        <v>15</v>
      </c>
      <c r="AC4" s="18"/>
    </row>
    <row r="5" ht="15.75" customHeight="1">
      <c r="A5" s="2"/>
      <c r="B5" s="2" t="s">
        <v>16</v>
      </c>
      <c r="C5" s="29"/>
      <c r="D5" s="5"/>
      <c r="E5" s="5"/>
      <c r="F5" s="5" t="s">
        <v>17</v>
      </c>
      <c r="G5" s="5"/>
      <c r="H5" s="18"/>
      <c r="I5" s="2" t="s">
        <v>16</v>
      </c>
      <c r="J5" s="29"/>
      <c r="K5" s="5"/>
      <c r="L5" s="5"/>
      <c r="M5" s="5" t="s">
        <v>17</v>
      </c>
      <c r="N5" s="5"/>
      <c r="O5" s="18"/>
      <c r="P5" s="2" t="s">
        <v>16</v>
      </c>
      <c r="Q5" s="29"/>
      <c r="R5" s="5"/>
      <c r="S5" s="5"/>
      <c r="T5" s="5" t="s">
        <v>17</v>
      </c>
      <c r="U5" s="5"/>
      <c r="V5" s="18"/>
      <c r="W5" s="2" t="s">
        <v>16</v>
      </c>
      <c r="X5" s="29"/>
      <c r="Y5" s="5"/>
      <c r="Z5" s="5"/>
      <c r="AA5" s="5" t="s">
        <v>17</v>
      </c>
      <c r="AB5" s="5"/>
      <c r="AC5" s="18"/>
    </row>
    <row r="6" ht="15.75" customHeight="1">
      <c r="A6" s="32"/>
      <c r="B6" s="35"/>
      <c r="C6" s="36"/>
      <c r="D6" s="36"/>
      <c r="E6" s="38"/>
      <c r="F6" s="41" t="str">
        <f>IFERROR(__xludf.DUMMYFUNCTION("IFERROR(
$E6/
VLOOKUP(
IF(
 REGEXMATCH($B6,""(?i)agachamento""),""Agachamento"",
 IF(
  REGEXMATCH($B6,""(?i)supino""),""Supino"",
  IF(
   REGEXMATCH($B6,""(?i)terra""),""Terra"",
   IF(
    REGEXMATCH($B6,""(?i)desenvolvimento""),""Desenvolvimento"",
  "&amp;"  IF(
     REGEXMATCH($B6,""(?i)remada""),""Remada"",
     IF(REGEXMATCH($B6,""(?i)arranco""),""Arranco"",IF(REGEXMATCH($B6,""(?i)arremesso""),""Arremesso"",""""))
    )
   )
  )
 )
),
prs!$A$30:$D$36,
4,
FALSE
)
,"""")"),"")</f>
        <v/>
      </c>
      <c r="G6" s="41"/>
      <c r="H6" s="44"/>
      <c r="I6" s="35"/>
      <c r="J6" s="36"/>
      <c r="K6" s="36"/>
      <c r="L6" s="38"/>
      <c r="M6" s="41" t="str">
        <f>IFERROR(__xludf.DUMMYFUNCTION("IFERROR(
$L6/
VLOOKUP(
IF(
 REGEXMATCH($I6,""(?i)agachamento""),""Agachamento"",
 IF(
  REGEXMATCH($I6,""(?i)supino""),""Supino"",
  IF(
   REGEXMATCH($I6,""(?i)terra""),""Terra"",
   IF(
    REGEXMATCH($I6,""(?i)desenvolvimento""),""Desenvolvimento"",
  "&amp;"  IF(
     REGEXMATCH($I6,""(?i)remada""),""Remada"",
     IF(REGEXMATCH($I6,""(?i)arranco""),""Arranco"",IF(REGEXMATCH($I6,""(?i)arremesso""),""Arremesso"",""""))
    )
   )
  )
 )
),
prs!$A$30:$D$36,
4,
FALSE
)
,"""")"),"")</f>
        <v/>
      </c>
      <c r="N6" s="41"/>
      <c r="O6" s="47"/>
      <c r="P6" s="35"/>
      <c r="Q6" s="36"/>
      <c r="R6" s="36"/>
      <c r="S6" s="38"/>
      <c r="T6" s="41" t="str">
        <f>IFERROR(__xludf.DUMMYFUNCTION("IFERROR(
$S6/
VLOOKUP(
IF(
 REGEXMATCH($P6,""(?i)agachamento""),""Agachamento"",
 IF(
  REGEXMATCH($P6,""(?i)supino""),""Supino"",
  IF(
   REGEXMATCH($P6,""(?i)terra""),""Terra"",
   IF(
    REGEXMATCH($P6,""(?i)desenvolvimento""),""Desenvolvimento"",
  "&amp;"  IF(
     REGEXMATCH($P6,""(?i)remada""),""Remada"",
     IF(REGEXMATCH($P6,""(?i)arranco""),""Arranco"",IF(REGEXMATCH($P6,""(?i)arremesso""),""Arremesso"",""""))
    )
   )
  )
 )
),
prs!$A$30:$D$36,
4,
FALSE
)
,"""")"),"")</f>
        <v/>
      </c>
      <c r="U6" s="41"/>
      <c r="V6" s="47"/>
      <c r="W6" s="35"/>
      <c r="X6" s="36"/>
      <c r="Y6" s="36"/>
      <c r="Z6" s="38"/>
      <c r="AA6" s="41" t="str">
        <f>IFERROR(__xludf.DUMMYFUNCTION("IFERROR(
$Z6/
VLOOKUP(
IF(
 REGEXMATCH($W6,""(?i)agachamento""),""Agachamento"",
 IF(
  REGEXMATCH($W6,""(?i)supino""),""Supino"",
  IF(
   REGEXMATCH($W6,""(?i)terra""),""Terra"",
   IF(
    REGEXMATCH($W6,""(?i)desenvolvimento""),""Desenvolvimento"",
  "&amp;"  IF(
     REGEXMATCH($W6,""(?i)remada""),""Remada"",
     IF(REGEXMATCH($W6,""(?i)arranco""),""Arranco"",IF(REGEXMATCH($W6,""(?i)arremesso""),""Arremesso"",""""))
    )
   )
  )
 )
),
prs!$A$30:$D$36,
4,
FALSE
)
,"""")"),"")</f>
        <v/>
      </c>
      <c r="AB6" s="41"/>
      <c r="AC6" s="32"/>
    </row>
    <row r="7" ht="15.75" customHeight="1">
      <c r="A7" s="32"/>
      <c r="B7" s="35"/>
      <c r="C7" s="36"/>
      <c r="D7" s="36"/>
      <c r="E7" s="38"/>
      <c r="F7" s="41" t="str">
        <f>IFERROR(__xludf.DUMMYFUNCTION("IFERROR(
$E7/
VLOOKUP(
IF(
 REGEXMATCH($B7,""(?i)agachamento""),""Agachamento"",
 IF(
  REGEXMATCH($B7,""(?i)supino""),""Supino"",
  IF(
   REGEXMATCH($B7,""(?i)terra""),""Terra"",
   IF(
    REGEXMATCH($B7,""(?i)desenvolvimento""),""Desenvolvimento"",
  "&amp;"  IF(
     REGEXMATCH($B7,""(?i)remada""),""Remada"",
     IF(REGEXMATCH($B7,""(?i)arranco""),""Arranco"",IF(REGEXMATCH($B7,""(?i)arremesso""),""Arremesso"",""""))
    )
   )
  )
 )
),
prs!$A$30:$D$36,
4,
FALSE
)
,"""")"),"")</f>
        <v/>
      </c>
      <c r="G7" s="41"/>
      <c r="H7" s="44"/>
      <c r="I7" s="35"/>
      <c r="J7" s="36"/>
      <c r="K7" s="36"/>
      <c r="L7" s="38"/>
      <c r="M7" s="41" t="str">
        <f>IFERROR(__xludf.DUMMYFUNCTION("IFERROR(
$L7/
VLOOKUP(
IF(
 REGEXMATCH($I7,""(?i)agachamento""),""Agachamento"",
 IF(
  REGEXMATCH($I7,""(?i)supino""),""Supino"",
  IF(
   REGEXMATCH($I7,""(?i)terra""),""Terra"",
   IF(
    REGEXMATCH($I7,""(?i)desenvolvimento""),""Desenvolvimento"",
  "&amp;"  IF(
     REGEXMATCH($I7,""(?i)remada""),""Remada"",
     IF(REGEXMATCH($I7,""(?i)arranco""),""Arranco"",IF(REGEXMATCH($I7,""(?i)arremesso""),""Arremesso"",""""))
    )
   )
  )
 )
),
prs!$A$30:$D$36,
4,
FALSE
)
,"""")"),"")</f>
        <v/>
      </c>
      <c r="N7" s="41"/>
      <c r="O7" s="47"/>
      <c r="P7" s="35"/>
      <c r="Q7" s="36"/>
      <c r="R7" s="36"/>
      <c r="S7" s="38"/>
      <c r="T7" s="41" t="str">
        <f>IFERROR(__xludf.DUMMYFUNCTION("IFERROR(
$S7/
VLOOKUP(
IF(
 REGEXMATCH($P7,""(?i)agachamento""),""Agachamento"",
 IF(
  REGEXMATCH($P7,""(?i)supino""),""Supino"",
  IF(
   REGEXMATCH($P7,""(?i)terra""),""Terra"",
   IF(
    REGEXMATCH($P7,""(?i)desenvolvimento""),""Desenvolvimento"",
  "&amp;"  IF(
     REGEXMATCH($P7,""(?i)remada""),""Remada"",
     IF(REGEXMATCH($P7,""(?i)arranco""),""Arranco"",IF(REGEXMATCH($P7,""(?i)arremesso""),""Arremesso"",""""))
    )
   )
  )
 )
),
prs!$A$30:$D$36,
4,
FALSE
)
,"""")"),"")</f>
        <v/>
      </c>
      <c r="U7" s="41"/>
      <c r="V7" s="47"/>
      <c r="W7" s="35"/>
      <c r="X7" s="36"/>
      <c r="Y7" s="36"/>
      <c r="Z7" s="38"/>
      <c r="AA7" s="41" t="str">
        <f>IFERROR(__xludf.DUMMYFUNCTION("IFERROR(
$Z7/
VLOOKUP(
IF(
 REGEXMATCH($W7,""(?i)agachamento""),""Agachamento"",
 IF(
  REGEXMATCH($W7,""(?i)supino""),""Supino"",
  IF(
   REGEXMATCH($W7,""(?i)terra""),""Terra"",
   IF(
    REGEXMATCH($W7,""(?i)desenvolvimento""),""Desenvolvimento"",
  "&amp;"  IF(
     REGEXMATCH($W7,""(?i)remada""),""Remada"",
     IF(REGEXMATCH($W7,""(?i)arranco""),""Arranco"",IF(REGEXMATCH($W7,""(?i)arremesso""),""Arremesso"",""""))
    )
   )
  )
 )
),
prs!$A$30:$D$36,
4,
FALSE
)
,"""")"),"")</f>
        <v/>
      </c>
      <c r="AB7" s="41"/>
      <c r="AC7" s="32"/>
    </row>
    <row r="8" ht="15.75" customHeight="1">
      <c r="A8" s="32"/>
      <c r="B8" s="35"/>
      <c r="C8" s="36"/>
      <c r="D8" s="36"/>
      <c r="E8" s="38"/>
      <c r="F8" s="41" t="str">
        <f>IFERROR(__xludf.DUMMYFUNCTION("IFERROR(
$E8/
VLOOKUP(
IF(
 REGEXMATCH($B8,""(?i)agachamento""),""Agachamento"",
 IF(
  REGEXMATCH($B8,""(?i)supino""),""Supino"",
  IF(
   REGEXMATCH($B8,""(?i)terra""),""Terra"",
   IF(
    REGEXMATCH($B8,""(?i)desenvolvimento""),""Desenvolvimento"",
  "&amp;"  IF(
     REGEXMATCH($B8,""(?i)remada""),""Remada"",
     IF(REGEXMATCH($B8,""(?i)arranco""),""Arranco"",IF(REGEXMATCH($B8,""(?i)arremesso""),""Arremesso"",""""))
    )
   )
  )
 )
),
prs!$A$30:$D$36,
4,
FALSE
)
,"""")"),"")</f>
        <v/>
      </c>
      <c r="G8" s="41"/>
      <c r="H8" s="44"/>
      <c r="I8" s="35"/>
      <c r="J8" s="36"/>
      <c r="K8" s="36"/>
      <c r="L8" s="38"/>
      <c r="M8" s="41" t="str">
        <f>IFERROR(__xludf.DUMMYFUNCTION("IFERROR(
$L8/
VLOOKUP(
IF(
 REGEXMATCH($I8,""(?i)agachamento""),""Agachamento"",
 IF(
  REGEXMATCH($I8,""(?i)supino""),""Supino"",
  IF(
   REGEXMATCH($I8,""(?i)terra""),""Terra"",
   IF(
    REGEXMATCH($I8,""(?i)desenvolvimento""),""Desenvolvimento"",
  "&amp;"  IF(
     REGEXMATCH($I8,""(?i)remada""),""Remada"",
     IF(REGEXMATCH($I8,""(?i)arranco""),""Arranco"",IF(REGEXMATCH($I8,""(?i)arremesso""),""Arremesso"",""""))
    )
   )
  )
 )
),
prs!$A$30:$D$36,
4,
FALSE
)
,"""")"),"")</f>
        <v/>
      </c>
      <c r="N8" s="41"/>
      <c r="O8" s="47"/>
      <c r="P8" s="35"/>
      <c r="Q8" s="36"/>
      <c r="R8" s="36"/>
      <c r="S8" s="38"/>
      <c r="T8" s="41" t="str">
        <f>IFERROR(__xludf.DUMMYFUNCTION("IFERROR(
$S8/
VLOOKUP(
IF(
 REGEXMATCH($P8,""(?i)agachamento""),""Agachamento"",
 IF(
  REGEXMATCH($P8,""(?i)supino""),""Supino"",
  IF(
   REGEXMATCH($P8,""(?i)terra""),""Terra"",
   IF(
    REGEXMATCH($P8,""(?i)desenvolvimento""),""Desenvolvimento"",
  "&amp;"  IF(
     REGEXMATCH($P8,""(?i)remada""),""Remada"",
     IF(REGEXMATCH($P8,""(?i)arranco""),""Arranco"",IF(REGEXMATCH($P8,""(?i)arremesso""),""Arremesso"",""""))
    )
   )
  )
 )
),
prs!$A$30:$D$36,
4,
FALSE
)
,"""")"),"")</f>
        <v/>
      </c>
      <c r="U8" s="41"/>
      <c r="V8" s="47"/>
      <c r="W8" s="35"/>
      <c r="X8" s="36"/>
      <c r="Y8" s="36"/>
      <c r="Z8" s="38"/>
      <c r="AA8" s="41" t="str">
        <f>IFERROR(__xludf.DUMMYFUNCTION("IFERROR(
$Z8/
VLOOKUP(
IF(
 REGEXMATCH($W8,""(?i)agachamento""),""Agachamento"",
 IF(
  REGEXMATCH($W8,""(?i)supino""),""Supino"",
  IF(
   REGEXMATCH($W8,""(?i)terra""),""Terra"",
   IF(
    REGEXMATCH($W8,""(?i)desenvolvimento""),""Desenvolvimento"",
  "&amp;"  IF(
     REGEXMATCH($W8,""(?i)remada""),""Remada"",
     IF(REGEXMATCH($W8,""(?i)arranco""),""Arranco"",IF(REGEXMATCH($W8,""(?i)arremesso""),""Arremesso"",""""))
    )
   )
  )
 )
),
prs!$A$30:$D$36,
4,
FALSE
)
,"""")"),"")</f>
        <v/>
      </c>
      <c r="AB8" s="41"/>
      <c r="AC8" s="32"/>
    </row>
    <row r="9" ht="15.75" customHeight="1">
      <c r="A9" s="32"/>
      <c r="B9" s="35"/>
      <c r="C9" s="50"/>
      <c r="D9" s="50"/>
      <c r="E9" s="51"/>
      <c r="F9" s="41" t="str">
        <f>IFERROR(__xludf.DUMMYFUNCTION("IFERROR(
$E9/
VLOOKUP(
IF(
 REGEXMATCH($B9,""(?i)agachamento""),""Agachamento"",
 IF(
  REGEXMATCH($B9,""(?i)supino""),""Supino"",
  IF(
   REGEXMATCH($B9,""(?i)terra""),""Terra"",
   IF(
    REGEXMATCH($B9,""(?i)desenvolvimento""),""Desenvolvimento"",
  "&amp;"  IF(
     REGEXMATCH($B9,""(?i)remada""),""Remada"",
     IF(REGEXMATCH($B9,""(?i)arranco""),""Arranco"",IF(REGEXMATCH($B9,""(?i)arremesso""),""Arremesso"",""""))
    )
   )
  )
 )
),
prs!$A$30:$D$36,
4,
FALSE
)
,"""")"),"")</f>
        <v/>
      </c>
      <c r="G9" s="41"/>
      <c r="H9" s="44"/>
      <c r="I9" s="35"/>
      <c r="J9" s="50"/>
      <c r="K9" s="50"/>
      <c r="L9" s="51"/>
      <c r="M9" s="41" t="str">
        <f>IFERROR(__xludf.DUMMYFUNCTION("IFERROR(
$L9/
VLOOKUP(
IF(
 REGEXMATCH($I9,""(?i)agachamento""),""Agachamento"",
 IF(
  REGEXMATCH($I9,""(?i)supino""),""Supino"",
  IF(
   REGEXMATCH($I9,""(?i)terra""),""Terra"",
   IF(
    REGEXMATCH($I9,""(?i)desenvolvimento""),""Desenvolvimento"",
  "&amp;"  IF(
     REGEXMATCH($I9,""(?i)remada""),""Remada"",
     IF(REGEXMATCH($I9,""(?i)arranco""),""Arranco"",IF(REGEXMATCH($I9,""(?i)arremesso""),""Arremesso"",""""))
    )
   )
  )
 )
),
prs!$A$30:$D$36,
4,
FALSE
)
,"""")"),"")</f>
        <v/>
      </c>
      <c r="N9" s="41"/>
      <c r="O9" s="47"/>
      <c r="P9" s="35"/>
      <c r="Q9" s="50"/>
      <c r="R9" s="50"/>
      <c r="S9" s="51"/>
      <c r="T9" s="41" t="str">
        <f>IFERROR(__xludf.DUMMYFUNCTION("IFERROR(
$S9/
VLOOKUP(
IF(
 REGEXMATCH($P9,""(?i)agachamento""),""Agachamento"",
 IF(
  REGEXMATCH($P9,""(?i)supino""),""Supino"",
  IF(
   REGEXMATCH($P9,""(?i)terra""),""Terra"",
   IF(
    REGEXMATCH($P9,""(?i)desenvolvimento""),""Desenvolvimento"",
  "&amp;"  IF(
     REGEXMATCH($P9,""(?i)remada""),""Remada"",
     IF(REGEXMATCH($P9,""(?i)arranco""),""Arranco"",IF(REGEXMATCH($P9,""(?i)arremesso""),""Arremesso"",""""))
    )
   )
  )
 )
),
prs!$A$30:$D$36,
4,
FALSE
)
,"""")"),"")</f>
        <v/>
      </c>
      <c r="U9" s="41"/>
      <c r="V9" s="47"/>
      <c r="W9" s="35"/>
      <c r="X9" s="50"/>
      <c r="Y9" s="50"/>
      <c r="Z9" s="51"/>
      <c r="AA9" s="41" t="str">
        <f>IFERROR(__xludf.DUMMYFUNCTION("IFERROR(
$Z9/
VLOOKUP(
IF(
 REGEXMATCH($W9,""(?i)agachamento""),""Agachamento"",
 IF(
  REGEXMATCH($W9,""(?i)supino""),""Supino"",
  IF(
   REGEXMATCH($W9,""(?i)terra""),""Terra"",
   IF(
    REGEXMATCH($W9,""(?i)desenvolvimento""),""Desenvolvimento"",
  "&amp;"  IF(
     REGEXMATCH($W9,""(?i)remada""),""Remada"",
     IF(REGEXMATCH($W9,""(?i)arranco""),""Arranco"",IF(REGEXMATCH($W9,""(?i)arremesso""),""Arremesso"",""""))
    )
   )
  )
 )
),
prs!$A$30:$D$36,
4,
FALSE
)
,"""")"),"")</f>
        <v/>
      </c>
      <c r="AB9" s="41"/>
      <c r="AC9" s="32"/>
    </row>
    <row r="10" ht="15.75" customHeight="1">
      <c r="A10" s="32"/>
      <c r="B10" s="35"/>
      <c r="C10" s="50"/>
      <c r="D10" s="50"/>
      <c r="E10" s="51"/>
      <c r="F10" s="41" t="str">
        <f>IFERROR(__xludf.DUMMYFUNCTION("IFERROR(
$E10/
VLOOKUP(
IF(
 REGEXMATCH($B10,""(?i)agachamento""),""Agachamento"",
 IF(
  REGEXMATCH($B10,""(?i)supino""),""Supino"",
  IF(
   REGEXMATCH($B10,""(?i)terra""),""Terra"",
   IF(
    REGEXMATCH($B10,""(?i)desenvolvimento""),""Desenvolvimento"&amp;""",
    IF(
     REGEXMATCH($B10,""(?i)remada""),""Remada"",
     IF(REGEXMATCH($B10,""(?i)arranco""),""Arranco"",IF(REGEXMATCH($B10,""(?i)arremesso""),""Arremesso"",""""))
    )
   )
  )
 )
),
prs!$A$30:$D$36,
4,
FALSE
)
,"""")"),"")</f>
        <v/>
      </c>
      <c r="G10" s="41"/>
      <c r="H10" s="44"/>
      <c r="I10" s="35"/>
      <c r="J10" s="50"/>
      <c r="K10" s="50"/>
      <c r="L10" s="51"/>
      <c r="M10" s="41" t="str">
        <f>IFERROR(__xludf.DUMMYFUNCTION("IFERROR(
$L10/
VLOOKUP(
IF(
 REGEXMATCH($I10,""(?i)agachamento""),""Agachamento"",
 IF(
  REGEXMATCH($I10,""(?i)supino""),""Supino"",
  IF(
   REGEXMATCH($I10,""(?i)terra""),""Terra"",
   IF(
    REGEXMATCH($I10,""(?i)desenvolvimento""),""Desenvolvimento"&amp;""",
    IF(
     REGEXMATCH($I10,""(?i)remada""),""Remada"",
     IF(REGEXMATCH($I10,""(?i)arranco""),""Arranco"",IF(REGEXMATCH($I10,""(?i)arremesso""),""Arremesso"",""""))
    )
   )
  )
 )
),
prs!$A$30:$D$36,
4,
FALSE
)
,"""")"),"")</f>
        <v/>
      </c>
      <c r="N10" s="41"/>
      <c r="O10" s="47"/>
      <c r="P10" s="35"/>
      <c r="Q10" s="50"/>
      <c r="R10" s="50"/>
      <c r="S10" s="51"/>
      <c r="T10" s="41" t="str">
        <f>IFERROR(__xludf.DUMMYFUNCTION("IFERROR(
$S10/
VLOOKUP(
IF(
 REGEXMATCH($P10,""(?i)agachamento""),""Agachamento"",
 IF(
  REGEXMATCH($P10,""(?i)supino""),""Supino"",
  IF(
   REGEXMATCH($P10,""(?i)terra""),""Terra"",
   IF(
    REGEXMATCH($P10,""(?i)desenvolvimento""),""Desenvolvimento"&amp;""",
    IF(
     REGEXMATCH($P10,""(?i)remada""),""Remada"",
     IF(REGEXMATCH($P10,""(?i)arranco""),""Arranco"",IF(REGEXMATCH($P10,""(?i)arremesso""),""Arremesso"",""""))
    )
   )
  )
 )
),
prs!$A$30:$D$36,
4,
FALSE
)
,"""")"),"")</f>
        <v/>
      </c>
      <c r="U10" s="41"/>
      <c r="V10" s="47"/>
      <c r="W10" s="35"/>
      <c r="X10" s="50"/>
      <c r="Y10" s="50"/>
      <c r="Z10" s="51"/>
      <c r="AA10" s="41" t="str">
        <f>IFERROR(__xludf.DUMMYFUNCTION("IFERROR(
$Z10/
VLOOKUP(
IF(
 REGEXMATCH($W10,""(?i)agachamento""),""Agachamento"",
 IF(
  REGEXMATCH($W10,""(?i)supino""),""Supino"",
  IF(
   REGEXMATCH($W10,""(?i)terra""),""Terra"",
   IF(
    REGEXMATCH($W10,""(?i)desenvolvimento""),""Desenvolvimento"&amp;""",
    IF(
     REGEXMATCH($W10,""(?i)remada""),""Remada"",
     IF(REGEXMATCH($W10,""(?i)arranco""),""Arranco"",IF(REGEXMATCH($W10,""(?i)arremesso""),""Arremesso"",""""))
    )
   )
  )
 )
),
prs!$A$30:$D$36,
4,
FALSE
)
,"""")"),"")</f>
        <v/>
      </c>
      <c r="AB10" s="41"/>
      <c r="AC10" s="32"/>
    </row>
    <row r="11" ht="15.75" customHeight="1">
      <c r="A11" s="32"/>
      <c r="B11" s="35"/>
      <c r="C11" s="50"/>
      <c r="D11" s="50"/>
      <c r="E11" s="51"/>
      <c r="F11" s="41" t="str">
        <f>IFERROR(__xludf.DUMMYFUNCTION("IFERROR(
$E11/
VLOOKUP(
IF(
 REGEXMATCH($B11,""(?i)agachamento""),""Agachamento"",
 IF(
  REGEXMATCH($B11,""(?i)supino""),""Supino"",
  IF(
   REGEXMATCH($B11,""(?i)terra""),""Terra"",
   IF(
    REGEXMATCH($B11,""(?i)desenvolvimento""),""Desenvolvimento"&amp;""",
    IF(
     REGEXMATCH($B11,""(?i)remada""),""Remada"",
     IF(REGEXMATCH($B11,""(?i)arranco""),""Arranco"",IF(REGEXMATCH($B11,""(?i)arremesso""),""Arremesso"",""""))
    )
   )
  )
 )
),
prs!$A$30:$D$36,
4,
FALSE
)
,"""")"),"")</f>
        <v/>
      </c>
      <c r="G11" s="41"/>
      <c r="H11" s="44"/>
      <c r="I11" s="35"/>
      <c r="J11" s="50"/>
      <c r="K11" s="50"/>
      <c r="L11" s="51"/>
      <c r="M11" s="41" t="str">
        <f>IFERROR(__xludf.DUMMYFUNCTION("IFERROR(
$L11/
VLOOKUP(
IF(
 REGEXMATCH($I11,""(?i)agachamento""),""Agachamento"",
 IF(
  REGEXMATCH($I11,""(?i)supino""),""Supino"",
  IF(
   REGEXMATCH($I11,""(?i)terra""),""Terra"",
   IF(
    REGEXMATCH($I11,""(?i)desenvolvimento""),""Desenvolvimento"&amp;""",
    IF(
     REGEXMATCH($I11,""(?i)remada""),""Remada"",
     IF(REGEXMATCH($I11,""(?i)arranco""),""Arranco"",IF(REGEXMATCH($I11,""(?i)arremesso""),""Arremesso"",""""))
    )
   )
  )
 )
),
prs!$A$30:$D$36,
4,
FALSE
)
,"""")"),"")</f>
        <v/>
      </c>
      <c r="N11" s="41"/>
      <c r="O11" s="47"/>
      <c r="P11" s="35"/>
      <c r="Q11" s="50"/>
      <c r="R11" s="50"/>
      <c r="S11" s="51"/>
      <c r="T11" s="41" t="str">
        <f>IFERROR(__xludf.DUMMYFUNCTION("IFERROR(
$S11/
VLOOKUP(
IF(
 REGEXMATCH($P11,""(?i)agachamento""),""Agachamento"",
 IF(
  REGEXMATCH($P11,""(?i)supino""),""Supino"",
  IF(
   REGEXMATCH($P11,""(?i)terra""),""Terra"",
   IF(
    REGEXMATCH($P11,""(?i)desenvolvimento""),""Desenvolvimento"&amp;""",
    IF(
     REGEXMATCH($P11,""(?i)remada""),""Remada"",
     IF(REGEXMATCH($P11,""(?i)arranco""),""Arranco"",IF(REGEXMATCH($P11,""(?i)arremesso""),""Arremesso"",""""))
    )
   )
  )
 )
),
prs!$A$30:$D$36,
4,
FALSE
)
,"""")"),"")</f>
        <v/>
      </c>
      <c r="U11" s="41"/>
      <c r="V11" s="47"/>
      <c r="W11" s="35"/>
      <c r="X11" s="50"/>
      <c r="Y11" s="50"/>
      <c r="Z11" s="51"/>
      <c r="AA11" s="41" t="str">
        <f>IFERROR(__xludf.DUMMYFUNCTION("IFERROR(
$Z11/
VLOOKUP(
IF(
 REGEXMATCH($W11,""(?i)agachamento""),""Agachamento"",
 IF(
  REGEXMATCH($W11,""(?i)supino""),""Supino"",
  IF(
   REGEXMATCH($W11,""(?i)terra""),""Terra"",
   IF(
    REGEXMATCH($W11,""(?i)desenvolvimento""),""Desenvolvimento"&amp;""",
    IF(
     REGEXMATCH($W11,""(?i)remada""),""Remada"",
     IF(REGEXMATCH($W11,""(?i)arranco""),""Arranco"",IF(REGEXMATCH($W11,""(?i)arremesso""),""Arremesso"",""""))
    )
   )
  )
 )
),
prs!$A$30:$D$36,
4,
FALSE
)
,"""")"),"")</f>
        <v/>
      </c>
      <c r="AB11" s="41"/>
      <c r="AC11" s="32"/>
    </row>
    <row r="12" ht="15.75" customHeight="1">
      <c r="A12" s="32"/>
      <c r="B12" s="35"/>
      <c r="C12" s="50"/>
      <c r="D12" s="50"/>
      <c r="E12" s="51"/>
      <c r="F12" s="41" t="str">
        <f>IFERROR(__xludf.DUMMYFUNCTION("IFERROR(
$E12/
VLOOKUP(
IF(
 REGEXMATCH($B12,""(?i)agachamento""),""Agachamento"",
 IF(
  REGEXMATCH($B12,""(?i)supino""),""Supino"",
  IF(
   REGEXMATCH($B12,""(?i)terra""),""Terra"",
   IF(
    REGEXMATCH($B12,""(?i)desenvolvimento""),""Desenvolvimento"&amp;""",
    IF(
     REGEXMATCH($B12,""(?i)remada""),""Remada"",
     IF(REGEXMATCH($B12,""(?i)arranco""),""Arranco"",IF(REGEXMATCH($B12,""(?i)arremesso""),""Arremesso"",""""))
    )
   )
  )
 )
),
prs!$A$30:$D$36,
4,
FALSE
)
,"""")"),"")</f>
        <v/>
      </c>
      <c r="G12" s="41"/>
      <c r="H12" s="44"/>
      <c r="I12" s="35"/>
      <c r="J12" s="50"/>
      <c r="K12" s="50"/>
      <c r="L12" s="51"/>
      <c r="M12" s="41" t="str">
        <f>IFERROR(__xludf.DUMMYFUNCTION("IFERROR(
$L12/
VLOOKUP(
IF(
 REGEXMATCH($I12,""(?i)agachamento""),""Agachamento"",
 IF(
  REGEXMATCH($I12,""(?i)supino""),""Supino"",
  IF(
   REGEXMATCH($I12,""(?i)terra""),""Terra"",
   IF(
    REGEXMATCH($I12,""(?i)desenvolvimento""),""Desenvolvimento"&amp;""",
    IF(
     REGEXMATCH($I12,""(?i)remada""),""Remada"",
     IF(REGEXMATCH($I12,""(?i)arranco""),""Arranco"",IF(REGEXMATCH($I12,""(?i)arremesso""),""Arremesso"",""""))
    )
   )
  )
 )
),
prs!$A$30:$D$36,
4,
FALSE
)
,"""")"),"")</f>
        <v/>
      </c>
      <c r="N12" s="41"/>
      <c r="O12" s="47"/>
      <c r="P12" s="35"/>
      <c r="Q12" s="50"/>
      <c r="R12" s="50"/>
      <c r="S12" s="51"/>
      <c r="T12" s="41" t="str">
        <f>IFERROR(__xludf.DUMMYFUNCTION("IFERROR(
$S12/
VLOOKUP(
IF(
 REGEXMATCH($P12,""(?i)agachamento""),""Agachamento"",
 IF(
  REGEXMATCH($P12,""(?i)supino""),""Supino"",
  IF(
   REGEXMATCH($P12,""(?i)terra""),""Terra"",
   IF(
    REGEXMATCH($P12,""(?i)desenvolvimento""),""Desenvolvimento"&amp;""",
    IF(
     REGEXMATCH($P12,""(?i)remada""),""Remada"",
     IF(REGEXMATCH($P12,""(?i)arranco""),""Arranco"",IF(REGEXMATCH($P12,""(?i)arremesso""),""Arremesso"",""""))
    )
   )
  )
 )
),
prs!$A$30:$D$36,
4,
FALSE
)
,"""")"),"")</f>
        <v/>
      </c>
      <c r="U12" s="41"/>
      <c r="V12" s="47"/>
      <c r="W12" s="35"/>
      <c r="X12" s="50"/>
      <c r="Y12" s="50"/>
      <c r="Z12" s="51"/>
      <c r="AA12" s="41" t="str">
        <f>IFERROR(__xludf.DUMMYFUNCTION("IFERROR(
$Z12/
VLOOKUP(
IF(
 REGEXMATCH($W12,""(?i)agachamento""),""Agachamento"",
 IF(
  REGEXMATCH($W12,""(?i)supino""),""Supino"",
  IF(
   REGEXMATCH($W12,""(?i)terra""),""Terra"",
   IF(
    REGEXMATCH($W12,""(?i)desenvolvimento""),""Desenvolvimento"&amp;""",
    IF(
     REGEXMATCH($W12,""(?i)remada""),""Remada"",
     IF(REGEXMATCH($W12,""(?i)arranco""),""Arranco"",IF(REGEXMATCH($W12,""(?i)arremesso""),""Arremesso"",""""))
    )
   )
  )
 )
),
prs!$A$30:$D$36,
4,
FALSE
)
,"""")"),"")</f>
        <v/>
      </c>
      <c r="AB12" s="41"/>
      <c r="AC12" s="32"/>
    </row>
    <row r="13" ht="15.75" customHeight="1">
      <c r="A13" s="32"/>
      <c r="B13" s="35"/>
      <c r="C13" s="50"/>
      <c r="D13" s="50"/>
      <c r="E13" s="51"/>
      <c r="F13" s="41" t="str">
        <f>IFERROR(__xludf.DUMMYFUNCTION("IFERROR(
$E13/
VLOOKUP(
IF(
 REGEXMATCH($B13,""(?i)agachamento""),""Agachamento"",
 IF(
  REGEXMATCH($B13,""(?i)supino""),""Supino"",
  IF(
   REGEXMATCH($B13,""(?i)terra""),""Terra"",
   IF(
    REGEXMATCH($B13,""(?i)desenvolvimento""),""Desenvolvimento"&amp;""",
    IF(
     REGEXMATCH($B13,""(?i)remada""),""Remada"",
     IF(REGEXMATCH($B13,""(?i)arranco""),""Arranco"",IF(REGEXMATCH($B13,""(?i)arremesso""),""Arremesso"",""""))
    )
   )
  )
 )
),
prs!$A$30:$D$36,
4,
FALSE
)
,"""")"),"")</f>
        <v/>
      </c>
      <c r="G13" s="41"/>
      <c r="H13" s="44"/>
      <c r="I13" s="35"/>
      <c r="J13" s="50"/>
      <c r="K13" s="50"/>
      <c r="L13" s="51"/>
      <c r="M13" s="41" t="str">
        <f>IFERROR(__xludf.DUMMYFUNCTION("IFERROR(
$L13/
VLOOKUP(
IF(
 REGEXMATCH($I13,""(?i)agachamento""),""Agachamento"",
 IF(
  REGEXMATCH($I13,""(?i)supino""),""Supino"",
  IF(
   REGEXMATCH($I13,""(?i)terra""),""Terra"",
   IF(
    REGEXMATCH($I13,""(?i)desenvolvimento""),""Desenvolvimento"&amp;""",
    IF(
     REGEXMATCH($I13,""(?i)remada""),""Remada"",
     IF(REGEXMATCH($I13,""(?i)arranco""),""Arranco"",IF(REGEXMATCH($I13,""(?i)arremesso""),""Arremesso"",""""))
    )
   )
  )
 )
),
prs!$A$30:$D$36,
4,
FALSE
)
,"""")"),"")</f>
        <v/>
      </c>
      <c r="N13" s="41"/>
      <c r="O13" s="47"/>
      <c r="P13" s="35"/>
      <c r="Q13" s="50"/>
      <c r="R13" s="50"/>
      <c r="S13" s="51"/>
      <c r="T13" s="41" t="str">
        <f>IFERROR(__xludf.DUMMYFUNCTION("IFERROR(
$S13/
VLOOKUP(
IF(
 REGEXMATCH($P13,""(?i)agachamento""),""Agachamento"",
 IF(
  REGEXMATCH($P13,""(?i)supino""),""Supino"",
  IF(
   REGEXMATCH($P13,""(?i)terra""),""Terra"",
   IF(
    REGEXMATCH($P13,""(?i)desenvolvimento""),""Desenvolvimento"&amp;""",
    IF(
     REGEXMATCH($P13,""(?i)remada""),""Remada"",
     IF(REGEXMATCH($P13,""(?i)arranco""),""Arranco"",IF(REGEXMATCH($P13,""(?i)arremesso""),""Arremesso"",""""))
    )
   )
  )
 )
),
prs!$A$30:$D$36,
4,
FALSE
)
,"""")"),"")</f>
        <v/>
      </c>
      <c r="U13" s="41"/>
      <c r="V13" s="47"/>
      <c r="W13" s="35"/>
      <c r="X13" s="50"/>
      <c r="Y13" s="50"/>
      <c r="Z13" s="51"/>
      <c r="AA13" s="41" t="str">
        <f>IFERROR(__xludf.DUMMYFUNCTION("IFERROR(
$Z13/
VLOOKUP(
IF(
 REGEXMATCH($W13,""(?i)agachamento""),""Agachamento"",
 IF(
  REGEXMATCH($W13,""(?i)supino""),""Supino"",
  IF(
   REGEXMATCH($W13,""(?i)terra""),""Terra"",
   IF(
    REGEXMATCH($W13,""(?i)desenvolvimento""),""Desenvolvimento"&amp;""",
    IF(
     REGEXMATCH($W13,""(?i)remada""),""Remada"",
     IF(REGEXMATCH($W13,""(?i)arranco""),""Arranco"",IF(REGEXMATCH($W13,""(?i)arremesso""),""Arremesso"",""""))
    )
   )
  )
 )
),
prs!$A$30:$D$36,
4,
FALSE
)
,"""")"),"")</f>
        <v/>
      </c>
      <c r="AB13" s="41"/>
      <c r="AC13" s="32"/>
    </row>
    <row r="14" ht="15.75" customHeight="1">
      <c r="A14" s="32"/>
      <c r="B14" s="35"/>
      <c r="C14" s="50"/>
      <c r="D14" s="50"/>
      <c r="E14" s="51"/>
      <c r="F14" s="41" t="str">
        <f>IFERROR(__xludf.DUMMYFUNCTION("IFERROR(
$E14/
VLOOKUP(
IF(
 REGEXMATCH($B14,""(?i)agachamento""),""Agachamento"",
 IF(
  REGEXMATCH($B14,""(?i)supino""),""Supino"",
  IF(
   REGEXMATCH($B14,""(?i)terra""),""Terra"",
   IF(
    REGEXMATCH($B14,""(?i)desenvolvimento""),""Desenvolvimento"&amp;""",
    IF(
     REGEXMATCH($B14,""(?i)remada""),""Remada"",
     IF(REGEXMATCH($B14,""(?i)arranco""),""Arranco"",IF(REGEXMATCH($B14,""(?i)arremesso""),""Arremesso"",""""))
    )
   )
  )
 )
),
prs!$A$30:$D$36,
4,
FALSE
)
,"""")"),"")</f>
        <v/>
      </c>
      <c r="G14" s="41"/>
      <c r="H14" s="44"/>
      <c r="I14" s="35"/>
      <c r="J14" s="50"/>
      <c r="K14" s="50"/>
      <c r="L14" s="51"/>
      <c r="M14" s="41" t="str">
        <f>IFERROR(__xludf.DUMMYFUNCTION("IFERROR(
$L14/
VLOOKUP(
IF(
 REGEXMATCH($I14,""(?i)agachamento""),""Agachamento"",
 IF(
  REGEXMATCH($I14,""(?i)supino""),""Supino"",
  IF(
   REGEXMATCH($I14,""(?i)terra""),""Terra"",
   IF(
    REGEXMATCH($I14,""(?i)desenvolvimento""),""Desenvolvimento"&amp;""",
    IF(
     REGEXMATCH($I14,""(?i)remada""),""Remada"",
     IF(REGEXMATCH($I14,""(?i)arranco""),""Arranco"",IF(REGEXMATCH($I14,""(?i)arremesso""),""Arremesso"",""""))
    )
   )
  )
 )
),
prs!$A$30:$D$36,
4,
FALSE
)
,"""")"),"")</f>
        <v/>
      </c>
      <c r="N14" s="41"/>
      <c r="O14" s="47"/>
      <c r="P14" s="35"/>
      <c r="Q14" s="50"/>
      <c r="R14" s="50"/>
      <c r="S14" s="51"/>
      <c r="T14" s="41" t="str">
        <f>IFERROR(__xludf.DUMMYFUNCTION("IFERROR(
$S14/
VLOOKUP(
IF(
 REGEXMATCH($P14,""(?i)agachamento""),""Agachamento"",
 IF(
  REGEXMATCH($P14,""(?i)supino""),""Supino"",
  IF(
   REGEXMATCH($P14,""(?i)terra""),""Terra"",
   IF(
    REGEXMATCH($P14,""(?i)desenvolvimento""),""Desenvolvimento"&amp;""",
    IF(
     REGEXMATCH($P14,""(?i)remada""),""Remada"",
     IF(REGEXMATCH($P14,""(?i)arranco""),""Arranco"",IF(REGEXMATCH($P14,""(?i)arremesso""),""Arremesso"",""""))
    )
   )
  )
 )
),
prs!$A$30:$D$36,
4,
FALSE
)
,"""")"),"")</f>
        <v/>
      </c>
      <c r="U14" s="41"/>
      <c r="V14" s="47"/>
      <c r="W14" s="35"/>
      <c r="X14" s="50"/>
      <c r="Y14" s="50"/>
      <c r="Z14" s="51"/>
      <c r="AA14" s="41" t="str">
        <f>IFERROR(__xludf.DUMMYFUNCTION("IFERROR(
$Z14/
VLOOKUP(
IF(
 REGEXMATCH($W14,""(?i)agachamento""),""Agachamento"",
 IF(
  REGEXMATCH($W14,""(?i)supino""),""Supino"",
  IF(
   REGEXMATCH($W14,""(?i)terra""),""Terra"",
   IF(
    REGEXMATCH($W14,""(?i)desenvolvimento""),""Desenvolvimento"&amp;""",
    IF(
     REGEXMATCH($W14,""(?i)remada""),""Remada"",
     IF(REGEXMATCH($W14,""(?i)arranco""),""Arranco"",IF(REGEXMATCH($W14,""(?i)arremesso""),""Arremesso"",""""))
    )
   )
  )
 )
),
prs!$A$30:$D$36,
4,
FALSE
)
,"""")"),"")</f>
        <v/>
      </c>
      <c r="AB14" s="41"/>
      <c r="AC14" s="32"/>
    </row>
    <row r="15" ht="15.75" customHeight="1">
      <c r="A15" s="32"/>
      <c r="B15" s="35"/>
      <c r="C15" s="50"/>
      <c r="D15" s="50"/>
      <c r="E15" s="51"/>
      <c r="F15" s="41" t="str">
        <f>IFERROR(__xludf.DUMMYFUNCTION("IFERROR(
$E15/
VLOOKUP(
IF(
 REGEXMATCH($B15,""(?i)agachamento""),""Agachamento"",
 IF(
  REGEXMATCH($B15,""(?i)supino""),""Supino"",
  IF(
   REGEXMATCH($B15,""(?i)terra""),""Terra"",
   IF(
    REGEXMATCH($B15,""(?i)desenvolvimento""),""Desenvolvimento"&amp;""",
    IF(
     REGEXMATCH($B15,""(?i)remada""),""Remada"",
     IF(REGEXMATCH($B15,""(?i)arranco""),""Arranco"",IF(REGEXMATCH($B15,""(?i)arremesso""),""Arremesso"",""""))
    )
   )
  )
 )
),
prs!$A$30:$D$36,
4,
FALSE
)
,"""")"),"")</f>
        <v/>
      </c>
      <c r="G15" s="41"/>
      <c r="H15" s="44"/>
      <c r="I15" s="35"/>
      <c r="J15" s="50"/>
      <c r="K15" s="50"/>
      <c r="L15" s="51"/>
      <c r="M15" s="41" t="str">
        <f>IFERROR(__xludf.DUMMYFUNCTION("IFERROR(
$L15/
VLOOKUP(
IF(
 REGEXMATCH($I15,""(?i)agachamento""),""Agachamento"",
 IF(
  REGEXMATCH($I15,""(?i)supino""),""Supino"",
  IF(
   REGEXMATCH($I15,""(?i)terra""),""Terra"",
   IF(
    REGEXMATCH($I15,""(?i)desenvolvimento""),""Desenvolvimento"&amp;""",
    IF(
     REGEXMATCH($I15,""(?i)remada""),""Remada"",
     IF(REGEXMATCH($I15,""(?i)arranco""),""Arranco"",IF(REGEXMATCH($I15,""(?i)arremesso""),""Arremesso"",""""))
    )
   )
  )
 )
),
prs!$A$30:$D$36,
4,
FALSE
)
,"""")"),"")</f>
        <v/>
      </c>
      <c r="N15" s="41"/>
      <c r="O15" s="47"/>
      <c r="P15" s="35"/>
      <c r="Q15" s="50"/>
      <c r="R15" s="50"/>
      <c r="S15" s="51"/>
      <c r="T15" s="41" t="str">
        <f>IFERROR(__xludf.DUMMYFUNCTION("IFERROR(
$S15/
VLOOKUP(
IF(
 REGEXMATCH($P15,""(?i)agachamento""),""Agachamento"",
 IF(
  REGEXMATCH($P15,""(?i)supino""),""Supino"",
  IF(
   REGEXMATCH($P15,""(?i)terra""),""Terra"",
   IF(
    REGEXMATCH($P15,""(?i)desenvolvimento""),""Desenvolvimento"&amp;""",
    IF(
     REGEXMATCH($P15,""(?i)remada""),""Remada"",
     IF(REGEXMATCH($P15,""(?i)arranco""),""Arranco"",IF(REGEXMATCH($P15,""(?i)arremesso""),""Arremesso"",""""))
    )
   )
  )
 )
),
prs!$A$30:$D$36,
4,
FALSE
)
,"""")"),"")</f>
        <v/>
      </c>
      <c r="U15" s="41"/>
      <c r="V15" s="47"/>
      <c r="W15" s="35"/>
      <c r="X15" s="50"/>
      <c r="Y15" s="50"/>
      <c r="Z15" s="51"/>
      <c r="AA15" s="41" t="str">
        <f>IFERROR(__xludf.DUMMYFUNCTION("IFERROR(
$Z15/
VLOOKUP(
IF(
 REGEXMATCH($W15,""(?i)agachamento""),""Agachamento"",
 IF(
  REGEXMATCH($W15,""(?i)supino""),""Supino"",
  IF(
   REGEXMATCH($W15,""(?i)terra""),""Terra"",
   IF(
    REGEXMATCH($W15,""(?i)desenvolvimento""),""Desenvolvimento"&amp;""",
    IF(
     REGEXMATCH($W15,""(?i)remada""),""Remada"",
     IF(REGEXMATCH($W15,""(?i)arranco""),""Arranco"",IF(REGEXMATCH($W15,""(?i)arremesso""),""Arremesso"",""""))
    )
   )
  )
 )
),
prs!$A$30:$D$36,
4,
FALSE
)
,"""")"),"")</f>
        <v/>
      </c>
      <c r="AB15" s="41"/>
      <c r="AC15" s="32"/>
    </row>
    <row r="16" ht="15.75" customHeight="1">
      <c r="A16" s="33"/>
      <c r="B16" s="52"/>
      <c r="C16" s="37" t="s">
        <v>20</v>
      </c>
      <c r="H16" s="18"/>
      <c r="I16" s="52"/>
      <c r="J16" s="37" t="s">
        <v>23</v>
      </c>
      <c r="O16" s="18"/>
      <c r="P16" s="52"/>
      <c r="Q16" s="37" t="s">
        <v>24</v>
      </c>
      <c r="V16" s="18"/>
      <c r="W16" s="52"/>
      <c r="X16" s="37" t="s">
        <v>25</v>
      </c>
      <c r="AC16" s="18"/>
    </row>
    <row r="17" ht="15.75" customHeight="1">
      <c r="A17" s="44"/>
      <c r="B17" s="44"/>
      <c r="C17" s="44"/>
      <c r="D17" s="44"/>
      <c r="H17" s="44"/>
      <c r="I17" s="44"/>
      <c r="J17" s="44"/>
      <c r="K17" s="44"/>
      <c r="O17" s="44"/>
      <c r="P17" s="44"/>
      <c r="Q17" s="44"/>
      <c r="R17" s="44"/>
      <c r="V17" s="44"/>
      <c r="W17" s="44"/>
      <c r="X17" s="44"/>
      <c r="Y17" s="44"/>
      <c r="AC17" s="44"/>
    </row>
    <row r="18" ht="15.75" customHeight="1">
      <c r="A18" s="33" t="s">
        <v>22</v>
      </c>
      <c r="B18" s="13"/>
      <c r="C18" s="16"/>
      <c r="H18" s="18"/>
      <c r="I18" s="13"/>
      <c r="J18" s="4"/>
      <c r="O18" s="18"/>
      <c r="P18" s="13"/>
      <c r="Q18" s="16"/>
      <c r="V18" s="18"/>
      <c r="W18" s="13"/>
      <c r="X18" s="16"/>
      <c r="AC18" s="44"/>
    </row>
    <row r="19" ht="15.75" customHeight="1">
      <c r="A19" s="33"/>
      <c r="B19" s="52"/>
      <c r="C19" s="5" t="s">
        <v>10</v>
      </c>
      <c r="D19" s="5" t="s">
        <v>12</v>
      </c>
      <c r="E19" s="5" t="s">
        <v>13</v>
      </c>
      <c r="F19" s="5" t="s">
        <v>14</v>
      </c>
      <c r="G19" s="5" t="s">
        <v>15</v>
      </c>
      <c r="H19" s="18"/>
      <c r="I19" s="52"/>
      <c r="J19" s="5" t="s">
        <v>10</v>
      </c>
      <c r="K19" s="5" t="s">
        <v>12</v>
      </c>
      <c r="L19" s="5" t="s">
        <v>13</v>
      </c>
      <c r="M19" s="5" t="s">
        <v>14</v>
      </c>
      <c r="N19" s="5" t="s">
        <v>15</v>
      </c>
      <c r="O19" s="18"/>
      <c r="P19" s="52"/>
      <c r="Q19" s="5" t="s">
        <v>10</v>
      </c>
      <c r="R19" s="5" t="s">
        <v>12</v>
      </c>
      <c r="S19" s="5" t="s">
        <v>13</v>
      </c>
      <c r="T19" s="5" t="s">
        <v>14</v>
      </c>
      <c r="U19" s="5" t="s">
        <v>15</v>
      </c>
      <c r="V19" s="18"/>
      <c r="W19" s="52"/>
      <c r="X19" s="5" t="s">
        <v>10</v>
      </c>
      <c r="Y19" s="5" t="s">
        <v>12</v>
      </c>
      <c r="Z19" s="5" t="s">
        <v>13</v>
      </c>
      <c r="AA19" s="5" t="s">
        <v>14</v>
      </c>
      <c r="AB19" s="5" t="s">
        <v>15</v>
      </c>
      <c r="AC19" s="44"/>
    </row>
    <row r="20" ht="15.75" customHeight="1">
      <c r="A20" s="2"/>
      <c r="B20" s="2" t="s">
        <v>16</v>
      </c>
      <c r="C20" s="29"/>
      <c r="D20" s="5"/>
      <c r="E20" s="5"/>
      <c r="F20" s="5" t="s">
        <v>17</v>
      </c>
      <c r="G20" s="5"/>
      <c r="H20" s="18"/>
      <c r="I20" s="2" t="s">
        <v>16</v>
      </c>
      <c r="J20" s="29"/>
      <c r="K20" s="5"/>
      <c r="L20" s="5"/>
      <c r="M20" s="5" t="s">
        <v>17</v>
      </c>
      <c r="N20" s="5"/>
      <c r="O20" s="18"/>
      <c r="P20" s="2" t="s">
        <v>16</v>
      </c>
      <c r="Q20" s="29"/>
      <c r="R20" s="5"/>
      <c r="S20" s="5"/>
      <c r="T20" s="5" t="s">
        <v>17</v>
      </c>
      <c r="U20" s="5"/>
      <c r="V20" s="18"/>
      <c r="W20" s="2" t="s">
        <v>16</v>
      </c>
      <c r="X20" s="29"/>
      <c r="Y20" s="5"/>
      <c r="Z20" s="5"/>
      <c r="AA20" s="5" t="s">
        <v>17</v>
      </c>
      <c r="AB20" s="5"/>
      <c r="AC20" s="44"/>
    </row>
    <row r="21" ht="15.75" customHeight="1">
      <c r="A21" s="47"/>
      <c r="B21" s="53"/>
      <c r="C21" s="36"/>
      <c r="D21" s="36"/>
      <c r="E21" s="38"/>
      <c r="F21" s="41" t="str">
        <f>IFERROR(__xludf.DUMMYFUNCTION("IFERROR(
$E21/
VLOOKUP(
IF(
 REGEXMATCH($B21,""(?i)agachamento""),""Agachamento"",
 IF(
  REGEXMATCH($B21,""(?i)supino""),""Supino"",
  IF(
   REGEXMATCH($B21,""(?i)terra""),""Terra"",
   IF(
    REGEXMATCH($B21,""(?i)desenvolvimento""),""Desenvolvimento"&amp;""",
    IF(
     REGEXMATCH($B21,""(?i)remada""),""Remada"",
     IF(REGEXMATCH($B21,""(?i)arranco""),""Arranco"",IF(REGEXMATCH($B21,""(?i)arremesso""),""Arremesso"",""""))
    )
   )
  )
 )
),
prs!$A$30:$D$36,
4,
FALSE
)
,"""")"),"")</f>
        <v/>
      </c>
      <c r="G21" s="41"/>
      <c r="H21" s="44"/>
      <c r="I21" s="53"/>
      <c r="J21" s="36"/>
      <c r="K21" s="36"/>
      <c r="L21" s="38"/>
      <c r="M21" s="41" t="str">
        <f>IFERROR(__xludf.DUMMYFUNCTION("IFERROR(
$L21/
VLOOKUP(
IF(
 REGEXMATCH($I21,""(?i)agachamento""),""Agachamento"",
 IF(
  REGEXMATCH($I21,""(?i)supino""),""Supino"",
  IF(
   REGEXMATCH($I21,""(?i)terra""),""Terra"",
   IF(
    REGEXMATCH($I21,""(?i)desenvolvimento""),""Desenvolvimento"&amp;""",
    IF(
     REGEXMATCH($I21,""(?i)remada""),""Remada"",
     IF(REGEXMATCH($I21,""(?i)arranco""),""Arranco"",IF(REGEXMATCH($I21,""(?i)arremesso""),""Arremesso"",""""))
    )
   )
  )
 )
),
prs!$A$30:$D$36,
4,
FALSE
)
,"""")"),"")</f>
        <v/>
      </c>
      <c r="N21" s="41"/>
      <c r="O21" s="47"/>
      <c r="P21" s="53"/>
      <c r="Q21" s="36"/>
      <c r="R21" s="36"/>
      <c r="S21" s="38"/>
      <c r="T21" s="41" t="str">
        <f>IFERROR(__xludf.DUMMYFUNCTION("IFERROR(
$S21/
VLOOKUP(
IF(
 REGEXMATCH($P21,""(?i)agachamento""),""Agachamento"",
 IF(
  REGEXMATCH($P21,""(?i)supino""),""Supino"",
  IF(
   REGEXMATCH($P21,""(?i)terra""),""Terra"",
   IF(
    REGEXMATCH($P21,""(?i)desenvolvimento""),""Desenvolvimento"&amp;""",
    IF(
     REGEXMATCH($P21,""(?i)remada""),""Remada"",
     IF(REGEXMATCH($P21,""(?i)arranco""),""Arranco"",IF(REGEXMATCH($P21,""(?i)arremesso""),""Arremesso"",""""))
    )
   )
  )
 )
),
prs!$A$30:$D$36,
4,
FALSE
)
,"""")"),"")</f>
        <v/>
      </c>
      <c r="U21" s="41"/>
      <c r="V21" s="47"/>
      <c r="W21" s="53"/>
      <c r="X21" s="36"/>
      <c r="Y21" s="36"/>
      <c r="Z21" s="38"/>
      <c r="AA21" s="41" t="str">
        <f>IFERROR(__xludf.DUMMYFUNCTION("IFERROR(
$Z21/
VLOOKUP(
IF(
 REGEXMATCH($W21,""(?i)agachamento""),""Agachamento"",
 IF(
  REGEXMATCH($W21,""(?i)supino""),""Supino"",
  IF(
   REGEXMATCH($W21,""(?i)terra""),""Terra"",
   IF(
    REGEXMATCH($W21,""(?i)desenvolvimento""),""Desenvolvimento"&amp;""",
    IF(
     REGEXMATCH($W21,""(?i)remada""),""Remada"",
     IF(REGEXMATCH($W21,""(?i)arranco""),""Arranco"",IF(REGEXMATCH($W21,""(?i)arremesso""),""Arremesso"",""""))
    )
   )
  )
 )
),
prs!$A$30:$D$36,
4,
FALSE
)
,"""")"),"")</f>
        <v/>
      </c>
      <c r="AB21" s="41"/>
      <c r="AC21" s="47"/>
    </row>
    <row r="22" ht="15.75" customHeight="1">
      <c r="A22" s="47"/>
      <c r="B22" s="53"/>
      <c r="C22" s="36"/>
      <c r="D22" s="36"/>
      <c r="E22" s="38"/>
      <c r="F22" s="41" t="str">
        <f>IFERROR(__xludf.DUMMYFUNCTION("IFERROR(
$E22/
VLOOKUP(
IF(
 REGEXMATCH($B22,""(?i)agachamento""),""Agachamento"",
 IF(
  REGEXMATCH($B22,""(?i)supino""),""Supino"",
  IF(
   REGEXMATCH($B22,""(?i)terra""),""Terra"",
   IF(
    REGEXMATCH($B22,""(?i)desenvolvimento""),""Desenvolvimento"&amp;""",
    IF(
     REGEXMATCH($B22,""(?i)remada""),""Remada"",
     IF(REGEXMATCH($B22,""(?i)arranco""),""Arranco"",IF(REGEXMATCH($B22,""(?i)arremesso""),""Arremesso"",""""))
    )
   )
  )
 )
),
prs!$A$30:$D$36,
4,
FALSE
)
,"""")"),"")</f>
        <v/>
      </c>
      <c r="G22" s="41"/>
      <c r="H22" s="44"/>
      <c r="I22" s="53"/>
      <c r="J22" s="36"/>
      <c r="K22" s="36"/>
      <c r="L22" s="38"/>
      <c r="M22" s="41" t="str">
        <f>IFERROR(__xludf.DUMMYFUNCTION("IFERROR(
$L22/
VLOOKUP(
IF(
 REGEXMATCH($I22,""(?i)agachamento""),""Agachamento"",
 IF(
  REGEXMATCH($I22,""(?i)supino""),""Supino"",
  IF(
   REGEXMATCH($I22,""(?i)terra""),""Terra"",
   IF(
    REGEXMATCH($I22,""(?i)desenvolvimento""),""Desenvolvimento"&amp;""",
    IF(
     REGEXMATCH($I22,""(?i)remada""),""Remada"",
     IF(REGEXMATCH($I22,""(?i)arranco""),""Arranco"",IF(REGEXMATCH($I22,""(?i)arremesso""),""Arremesso"",""""))
    )
   )
  )
 )
),
prs!$A$30:$D$36,
4,
FALSE
)
,"""")"),"")</f>
        <v/>
      </c>
      <c r="N22" s="41"/>
      <c r="O22" s="47"/>
      <c r="P22" s="53"/>
      <c r="Q22" s="36"/>
      <c r="R22" s="36"/>
      <c r="S22" s="38"/>
      <c r="T22" s="41" t="str">
        <f>IFERROR(__xludf.DUMMYFUNCTION("IFERROR(
$S22/
VLOOKUP(
IF(
 REGEXMATCH($P22,""(?i)agachamento""),""Agachamento"",
 IF(
  REGEXMATCH($P22,""(?i)supino""),""Supino"",
  IF(
   REGEXMATCH($P22,""(?i)terra""),""Terra"",
   IF(
    REGEXMATCH($P22,""(?i)desenvolvimento""),""Desenvolvimento"&amp;""",
    IF(
     REGEXMATCH($P22,""(?i)remada""),""Remada"",
     IF(REGEXMATCH($P22,""(?i)arranco""),""Arranco"",IF(REGEXMATCH($P22,""(?i)arremesso""),""Arremesso"",""""))
    )
   )
  )
 )
),
prs!$A$30:$D$36,
4,
FALSE
)
,"""")"),"")</f>
        <v/>
      </c>
      <c r="U22" s="41"/>
      <c r="V22" s="47"/>
      <c r="W22" s="53"/>
      <c r="X22" s="36"/>
      <c r="Y22" s="36"/>
      <c r="Z22" s="38"/>
      <c r="AA22" s="41" t="str">
        <f>IFERROR(__xludf.DUMMYFUNCTION("IFERROR(
$Z22/
VLOOKUP(
IF(
 REGEXMATCH($W22,""(?i)agachamento""),""Agachamento"",
 IF(
  REGEXMATCH($W22,""(?i)supino""),""Supino"",
  IF(
   REGEXMATCH($W22,""(?i)terra""),""Terra"",
   IF(
    REGEXMATCH($W22,""(?i)desenvolvimento""),""Desenvolvimento"&amp;""",
    IF(
     REGEXMATCH($W22,""(?i)remada""),""Remada"",
     IF(REGEXMATCH($W22,""(?i)arranco""),""Arranco"",IF(REGEXMATCH($W22,""(?i)arremesso""),""Arremesso"",""""))
    )
   )
  )
 )
),
prs!$A$30:$D$36,
4,
FALSE
)
,"""")"),"")</f>
        <v/>
      </c>
      <c r="AB22" s="41"/>
      <c r="AC22" s="47"/>
    </row>
    <row r="23" ht="15.75" customHeight="1">
      <c r="A23" s="47"/>
      <c r="B23" s="53"/>
      <c r="C23" s="36"/>
      <c r="D23" s="36"/>
      <c r="E23" s="38"/>
      <c r="F23" s="41" t="str">
        <f>IFERROR(__xludf.DUMMYFUNCTION("IFERROR(
$E23/
VLOOKUP(
IF(
 REGEXMATCH($B23,""(?i)agachamento""),""Agachamento"",
 IF(
  REGEXMATCH($B23,""(?i)supino""),""Supino"",
  IF(
   REGEXMATCH($B23,""(?i)terra""),""Terra"",
   IF(
    REGEXMATCH($B23,""(?i)desenvolvimento""),""Desenvolvimento"&amp;""",
    IF(
     REGEXMATCH($B23,""(?i)remada""),""Remada"",
     IF(REGEXMATCH($B23,""(?i)arranco""),""Arranco"",IF(REGEXMATCH($B23,""(?i)arremesso""),""Arremesso"",""""))
    )
   )
  )
 )
),
prs!$A$30:$D$36,
4,
FALSE
)
,"""")"),"")</f>
        <v/>
      </c>
      <c r="G23" s="41"/>
      <c r="H23" s="44"/>
      <c r="I23" s="53"/>
      <c r="J23" s="36"/>
      <c r="K23" s="36"/>
      <c r="L23" s="38"/>
      <c r="M23" s="41" t="str">
        <f>IFERROR(__xludf.DUMMYFUNCTION("IFERROR(
$L23/
VLOOKUP(
IF(
 REGEXMATCH($I23,""(?i)agachamento""),""Agachamento"",
 IF(
  REGEXMATCH($I23,""(?i)supino""),""Supino"",
  IF(
   REGEXMATCH($I23,""(?i)terra""),""Terra"",
   IF(
    REGEXMATCH($I23,""(?i)desenvolvimento""),""Desenvolvimento"&amp;""",
    IF(
     REGEXMATCH($I23,""(?i)remada""),""Remada"",
     IF(REGEXMATCH($I23,""(?i)arranco""),""Arranco"",IF(REGEXMATCH($I23,""(?i)arremesso""),""Arremesso"",""""))
    )
   )
  )
 )
),
prs!$A$30:$D$36,
4,
FALSE
)
,"""")"),"")</f>
        <v/>
      </c>
      <c r="N23" s="41"/>
      <c r="O23" s="47"/>
      <c r="P23" s="53"/>
      <c r="Q23" s="36"/>
      <c r="R23" s="36"/>
      <c r="S23" s="38"/>
      <c r="T23" s="41" t="str">
        <f>IFERROR(__xludf.DUMMYFUNCTION("IFERROR(
$S23/
VLOOKUP(
IF(
 REGEXMATCH($P23,""(?i)agachamento""),""Agachamento"",
 IF(
  REGEXMATCH($P23,""(?i)supino""),""Supino"",
  IF(
   REGEXMATCH($P23,""(?i)terra""),""Terra"",
   IF(
    REGEXMATCH($P23,""(?i)desenvolvimento""),""Desenvolvimento"&amp;""",
    IF(
     REGEXMATCH($P23,""(?i)remada""),""Remada"",
     IF(REGEXMATCH($P23,""(?i)arranco""),""Arranco"",IF(REGEXMATCH($P23,""(?i)arremesso""),""Arremesso"",""""))
    )
   )
  )
 )
),
prs!$A$30:$D$36,
4,
FALSE
)
,"""")"),"")</f>
        <v/>
      </c>
      <c r="U23" s="41"/>
      <c r="V23" s="47"/>
      <c r="W23" s="53"/>
      <c r="X23" s="36"/>
      <c r="Y23" s="36"/>
      <c r="Z23" s="38"/>
      <c r="AA23" s="41" t="str">
        <f>IFERROR(__xludf.DUMMYFUNCTION("IFERROR(
$Z23/
VLOOKUP(
IF(
 REGEXMATCH($W23,""(?i)agachamento""),""Agachamento"",
 IF(
  REGEXMATCH($W23,""(?i)supino""),""Supino"",
  IF(
   REGEXMATCH($W23,""(?i)terra""),""Terra"",
   IF(
    REGEXMATCH($W23,""(?i)desenvolvimento""),""Desenvolvimento"&amp;""",
    IF(
     REGEXMATCH($W23,""(?i)remada""),""Remada"",
     IF(REGEXMATCH($W23,""(?i)arranco""),""Arranco"",IF(REGEXMATCH($W23,""(?i)arremesso""),""Arremesso"",""""))
    )
   )
  )
 )
),
prs!$A$30:$D$36,
4,
FALSE
)
,"""")"),"")</f>
        <v/>
      </c>
      <c r="AB23" s="41"/>
      <c r="AC23" s="47"/>
    </row>
    <row r="24" ht="15.75" customHeight="1">
      <c r="A24" s="47"/>
      <c r="B24" s="53"/>
      <c r="C24" s="50"/>
      <c r="D24" s="50"/>
      <c r="E24" s="51"/>
      <c r="F24" s="41" t="str">
        <f>IFERROR(__xludf.DUMMYFUNCTION("IFERROR(
$E24/
VLOOKUP(
IF(
 REGEXMATCH($B24,""(?i)agachamento""),""Agachamento"",
 IF(
  REGEXMATCH($B24,""(?i)supino""),""Supino"",
  IF(
   REGEXMATCH($B24,""(?i)terra""),""Terra"",
   IF(
    REGEXMATCH($B24,""(?i)desenvolvimento""),""Desenvolvimento"&amp;""",
    IF(
     REGEXMATCH($B24,""(?i)remada""),""Remada"",
     IF(REGEXMATCH($B24,""(?i)arranco""),""Arranco"",IF(REGEXMATCH($B24,""(?i)arremesso""),""Arremesso"",""""))
    )
   )
  )
 )
),
prs!$A$30:$D$36,
4,
FALSE
)
,"""")"),"")</f>
        <v/>
      </c>
      <c r="G24" s="41"/>
      <c r="H24" s="44"/>
      <c r="I24" s="53"/>
      <c r="J24" s="50"/>
      <c r="K24" s="50"/>
      <c r="L24" s="51"/>
      <c r="M24" s="41" t="str">
        <f>IFERROR(__xludf.DUMMYFUNCTION("IFERROR(
$L24/
VLOOKUP(
IF(
 REGEXMATCH($I24,""(?i)agachamento""),""Agachamento"",
 IF(
  REGEXMATCH($I24,""(?i)supino""),""Supino"",
  IF(
   REGEXMATCH($I24,""(?i)terra""),""Terra"",
   IF(
    REGEXMATCH($I24,""(?i)desenvolvimento""),""Desenvolvimento"&amp;""",
    IF(
     REGEXMATCH($I24,""(?i)remada""),""Remada"",
     IF(REGEXMATCH($I24,""(?i)arranco""),""Arranco"",IF(REGEXMATCH($I24,""(?i)arremesso""),""Arremesso"",""""))
    )
   )
  )
 )
),
prs!$A$30:$D$36,
4,
FALSE
)
,"""")"),"")</f>
        <v/>
      </c>
      <c r="N24" s="41"/>
      <c r="O24" s="47"/>
      <c r="P24" s="53"/>
      <c r="Q24" s="50"/>
      <c r="R24" s="50"/>
      <c r="S24" s="51"/>
      <c r="T24" s="41" t="str">
        <f>IFERROR(__xludf.DUMMYFUNCTION("IFERROR(
$S24/
VLOOKUP(
IF(
 REGEXMATCH($P24,""(?i)agachamento""),""Agachamento"",
 IF(
  REGEXMATCH($P24,""(?i)supino""),""Supino"",
  IF(
   REGEXMATCH($P24,""(?i)terra""),""Terra"",
   IF(
    REGEXMATCH($P24,""(?i)desenvolvimento""),""Desenvolvimento"&amp;""",
    IF(
     REGEXMATCH($P24,""(?i)remada""),""Remada"",
     IF(REGEXMATCH($P24,""(?i)arranco""),""Arranco"",IF(REGEXMATCH($P24,""(?i)arremesso""),""Arremesso"",""""))
    )
   )
  )
 )
),
prs!$A$30:$D$36,
4,
FALSE
)
,"""")"),"")</f>
        <v/>
      </c>
      <c r="U24" s="41"/>
      <c r="V24" s="47"/>
      <c r="W24" s="53"/>
      <c r="X24" s="50"/>
      <c r="Y24" s="50"/>
      <c r="Z24" s="51"/>
      <c r="AA24" s="41" t="str">
        <f>IFERROR(__xludf.DUMMYFUNCTION("IFERROR(
$Z24/
VLOOKUP(
IF(
 REGEXMATCH($W24,""(?i)agachamento""),""Agachamento"",
 IF(
  REGEXMATCH($W24,""(?i)supino""),""Supino"",
  IF(
   REGEXMATCH($W24,""(?i)terra""),""Terra"",
   IF(
    REGEXMATCH($W24,""(?i)desenvolvimento""),""Desenvolvimento"&amp;""",
    IF(
     REGEXMATCH($W24,""(?i)remada""),""Remada"",
     IF(REGEXMATCH($W24,""(?i)arranco""),""Arranco"",IF(REGEXMATCH($W24,""(?i)arremesso""),""Arremesso"",""""))
    )
   )
  )
 )
),
prs!$A$30:$D$36,
4,
FALSE
)
,"""")"),"")</f>
        <v/>
      </c>
      <c r="AB24" s="41"/>
      <c r="AC24" s="47"/>
    </row>
    <row r="25" ht="15.75" customHeight="1">
      <c r="A25" s="47"/>
      <c r="B25" s="53"/>
      <c r="C25" s="50"/>
      <c r="D25" s="50"/>
      <c r="E25" s="51"/>
      <c r="F25" s="41" t="str">
        <f>IFERROR(__xludf.DUMMYFUNCTION("IFERROR(
$E25/
VLOOKUP(
IF(
 REGEXMATCH($B25,""(?i)agachamento""),""Agachamento"",
 IF(
  REGEXMATCH($B25,""(?i)supino""),""Supino"",
  IF(
   REGEXMATCH($B25,""(?i)terra""),""Terra"",
   IF(
    REGEXMATCH($B25,""(?i)desenvolvimento""),""Desenvolvimento"&amp;""",
    IF(
     REGEXMATCH($B25,""(?i)remada""),""Remada"",
     IF(REGEXMATCH($B25,""(?i)arranco""),""Arranco"",IF(REGEXMATCH($B25,""(?i)arremesso""),""Arremesso"",""""))
    )
   )
  )
 )
),
prs!$A$30:$D$36,
4,
FALSE
)
,"""")"),"")</f>
        <v/>
      </c>
      <c r="G25" s="41"/>
      <c r="H25" s="44"/>
      <c r="I25" s="53"/>
      <c r="J25" s="50"/>
      <c r="K25" s="50"/>
      <c r="L25" s="51"/>
      <c r="M25" s="41" t="str">
        <f>IFERROR(__xludf.DUMMYFUNCTION("IFERROR(
$L25/
VLOOKUP(
IF(
 REGEXMATCH($I25,""(?i)agachamento""),""Agachamento"",
 IF(
  REGEXMATCH($I25,""(?i)supino""),""Supino"",
  IF(
   REGEXMATCH($I25,""(?i)terra""),""Terra"",
   IF(
    REGEXMATCH($I25,""(?i)desenvolvimento""),""Desenvolvimento"&amp;""",
    IF(
     REGEXMATCH($I25,""(?i)remada""),""Remada"",
     IF(REGEXMATCH($I25,""(?i)arranco""),""Arranco"",IF(REGEXMATCH($I25,""(?i)arremesso""),""Arremesso"",""""))
    )
   )
  )
 )
),
prs!$A$30:$D$36,
4,
FALSE
)
,"""")"),"")</f>
        <v/>
      </c>
      <c r="N25" s="41"/>
      <c r="O25" s="47"/>
      <c r="P25" s="53"/>
      <c r="Q25" s="50"/>
      <c r="R25" s="50"/>
      <c r="S25" s="51"/>
      <c r="T25" s="41" t="str">
        <f>IFERROR(__xludf.DUMMYFUNCTION("IFERROR(
$S25/
VLOOKUP(
IF(
 REGEXMATCH($P25,""(?i)agachamento""),""Agachamento"",
 IF(
  REGEXMATCH($P25,""(?i)supino""),""Supino"",
  IF(
   REGEXMATCH($P25,""(?i)terra""),""Terra"",
   IF(
    REGEXMATCH($P25,""(?i)desenvolvimento""),""Desenvolvimento"&amp;""",
    IF(
     REGEXMATCH($P25,""(?i)remada""),""Remada"",
     IF(REGEXMATCH($P25,""(?i)arranco""),""Arranco"",IF(REGEXMATCH($P25,""(?i)arremesso""),""Arremesso"",""""))
    )
   )
  )
 )
),
prs!$A$30:$D$36,
4,
FALSE
)
,"""")"),"")</f>
        <v/>
      </c>
      <c r="U25" s="41"/>
      <c r="V25" s="47"/>
      <c r="W25" s="53"/>
      <c r="X25" s="50"/>
      <c r="Y25" s="50"/>
      <c r="Z25" s="51"/>
      <c r="AA25" s="41" t="str">
        <f>IFERROR(__xludf.DUMMYFUNCTION("IFERROR(
$Z25/
VLOOKUP(
IF(
 REGEXMATCH($W25,""(?i)agachamento""),""Agachamento"",
 IF(
  REGEXMATCH($W25,""(?i)supino""),""Supino"",
  IF(
   REGEXMATCH($W25,""(?i)terra""),""Terra"",
   IF(
    REGEXMATCH($W25,""(?i)desenvolvimento""),""Desenvolvimento"&amp;""",
    IF(
     REGEXMATCH($W25,""(?i)remada""),""Remada"",
     IF(REGEXMATCH($W25,""(?i)arranco""),""Arranco"",IF(REGEXMATCH($W25,""(?i)arremesso""),""Arremesso"",""""))
    )
   )
  )
 )
),
prs!$A$30:$D$36,
4,
FALSE
)
,"""")"),"")</f>
        <v/>
      </c>
      <c r="AB25" s="41"/>
      <c r="AC25" s="47"/>
    </row>
    <row r="26" ht="15.75" customHeight="1">
      <c r="A26" s="47"/>
      <c r="B26" s="53"/>
      <c r="C26" s="50"/>
      <c r="D26" s="50"/>
      <c r="E26" s="51"/>
      <c r="F26" s="41" t="str">
        <f>IFERROR(__xludf.DUMMYFUNCTION("IFERROR(
$E26/
VLOOKUP(
IF(
 REGEXMATCH($B26,""(?i)agachamento""),""Agachamento"",
 IF(
  REGEXMATCH($B26,""(?i)supino""),""Supino"",
  IF(
   REGEXMATCH($B26,""(?i)terra""),""Terra"",
   IF(
    REGEXMATCH($B26,""(?i)desenvolvimento""),""Desenvolvimento"&amp;""",
    IF(
     REGEXMATCH($B26,""(?i)remada""),""Remada"",
     IF(REGEXMATCH($B26,""(?i)arranco""),""Arranco"",IF(REGEXMATCH($B26,""(?i)arremesso""),""Arremesso"",""""))
    )
   )
  )
 )
),
prs!$A$30:$D$36,
4,
FALSE
)
,"""")"),"")</f>
        <v/>
      </c>
      <c r="G26" s="41"/>
      <c r="H26" s="44"/>
      <c r="I26" s="53"/>
      <c r="J26" s="50"/>
      <c r="K26" s="50"/>
      <c r="L26" s="51"/>
      <c r="M26" s="41" t="str">
        <f>IFERROR(__xludf.DUMMYFUNCTION("IFERROR(
$L26/
VLOOKUP(
IF(
 REGEXMATCH($I26,""(?i)agachamento""),""Agachamento"",
 IF(
  REGEXMATCH($I26,""(?i)supino""),""Supino"",
  IF(
   REGEXMATCH($I26,""(?i)terra""),""Terra"",
   IF(
    REGEXMATCH($I26,""(?i)desenvolvimento""),""Desenvolvimento"&amp;""",
    IF(
     REGEXMATCH($I26,""(?i)remada""),""Remada"",
     IF(REGEXMATCH($I26,""(?i)arranco""),""Arranco"",IF(REGEXMATCH($I26,""(?i)arremesso""),""Arremesso"",""""))
    )
   )
  )
 )
),
prs!$A$30:$D$36,
4,
FALSE
)
,"""")"),"")</f>
        <v/>
      </c>
      <c r="N26" s="41"/>
      <c r="O26" s="47"/>
      <c r="P26" s="53"/>
      <c r="Q26" s="50"/>
      <c r="R26" s="50"/>
      <c r="S26" s="51"/>
      <c r="T26" s="41" t="str">
        <f>IFERROR(__xludf.DUMMYFUNCTION("IFERROR(
$S26/
VLOOKUP(
IF(
 REGEXMATCH($P26,""(?i)agachamento""),""Agachamento"",
 IF(
  REGEXMATCH($P26,""(?i)supino""),""Supino"",
  IF(
   REGEXMATCH($P26,""(?i)terra""),""Terra"",
   IF(
    REGEXMATCH($P26,""(?i)desenvolvimento""),""Desenvolvimento"&amp;""",
    IF(
     REGEXMATCH($P26,""(?i)remada""),""Remada"",
     IF(REGEXMATCH($P26,""(?i)arranco""),""Arranco"",IF(REGEXMATCH($P26,""(?i)arremesso""),""Arremesso"",""""))
    )
   )
  )
 )
),
prs!$A$30:$D$36,
4,
FALSE
)
,"""")"),"")</f>
        <v/>
      </c>
      <c r="U26" s="41"/>
      <c r="V26" s="47"/>
      <c r="W26" s="53"/>
      <c r="X26" s="50"/>
      <c r="Y26" s="50"/>
      <c r="Z26" s="51"/>
      <c r="AA26" s="41" t="str">
        <f>IFERROR(__xludf.DUMMYFUNCTION("IFERROR(
$Z26/
VLOOKUP(
IF(
 REGEXMATCH($W26,""(?i)agachamento""),""Agachamento"",
 IF(
  REGEXMATCH($W26,""(?i)supino""),""Supino"",
  IF(
   REGEXMATCH($W26,""(?i)terra""),""Terra"",
   IF(
    REGEXMATCH($W26,""(?i)desenvolvimento""),""Desenvolvimento"&amp;""",
    IF(
     REGEXMATCH($W26,""(?i)remada""),""Remada"",
     IF(REGEXMATCH($W26,""(?i)arranco""),""Arranco"",IF(REGEXMATCH($W26,""(?i)arremesso""),""Arremesso"",""""))
    )
   )
  )
 )
),
prs!$A$30:$D$36,
4,
FALSE
)
,"""")"),"")</f>
        <v/>
      </c>
      <c r="AB26" s="41"/>
      <c r="AC26" s="47"/>
    </row>
    <row r="27" ht="15.75" customHeight="1">
      <c r="A27" s="47"/>
      <c r="B27" s="53"/>
      <c r="C27" s="50"/>
      <c r="D27" s="50"/>
      <c r="E27" s="51"/>
      <c r="F27" s="41" t="str">
        <f>IFERROR(__xludf.DUMMYFUNCTION("IFERROR(
$E27/
VLOOKUP(
IF(
 REGEXMATCH($B27,""(?i)agachamento""),""Agachamento"",
 IF(
  REGEXMATCH($B27,""(?i)supino""),""Supino"",
  IF(
   REGEXMATCH($B27,""(?i)terra""),""Terra"",
   IF(
    REGEXMATCH($B27,""(?i)desenvolvimento""),""Desenvolvimento"&amp;""",
    IF(
     REGEXMATCH($B27,""(?i)remada""),""Remada"",
     IF(REGEXMATCH($B27,""(?i)arranco""),""Arranco"",IF(REGEXMATCH($B27,""(?i)arremesso""),""Arremesso"",""""))
    )
   )
  )
 )
),
prs!$A$30:$D$36,
4,
FALSE
)
,"""")"),"")</f>
        <v/>
      </c>
      <c r="G27" s="41"/>
      <c r="H27" s="44"/>
      <c r="I27" s="53"/>
      <c r="J27" s="50"/>
      <c r="K27" s="50"/>
      <c r="L27" s="51"/>
      <c r="M27" s="41" t="str">
        <f>IFERROR(__xludf.DUMMYFUNCTION("IFERROR(
$L27/
VLOOKUP(
IF(
 REGEXMATCH($I27,""(?i)agachamento""),""Agachamento"",
 IF(
  REGEXMATCH($I27,""(?i)supino""),""Supino"",
  IF(
   REGEXMATCH($I27,""(?i)terra""),""Terra"",
   IF(
    REGEXMATCH($I27,""(?i)desenvolvimento""),""Desenvolvimento"&amp;""",
    IF(
     REGEXMATCH($I27,""(?i)remada""),""Remada"",
     IF(REGEXMATCH($I27,""(?i)arranco""),""Arranco"",IF(REGEXMATCH($I27,""(?i)arremesso""),""Arremesso"",""""))
    )
   )
  )
 )
),
prs!$A$30:$D$36,
4,
FALSE
)
,"""")"),"")</f>
        <v/>
      </c>
      <c r="N27" s="41"/>
      <c r="O27" s="47"/>
      <c r="P27" s="53"/>
      <c r="Q27" s="50"/>
      <c r="R27" s="50"/>
      <c r="S27" s="51"/>
      <c r="T27" s="41" t="str">
        <f>IFERROR(__xludf.DUMMYFUNCTION("IFERROR(
$S27/
VLOOKUP(
IF(
 REGEXMATCH($P27,""(?i)agachamento""),""Agachamento"",
 IF(
  REGEXMATCH($P27,""(?i)supino""),""Supino"",
  IF(
   REGEXMATCH($P27,""(?i)terra""),""Terra"",
   IF(
    REGEXMATCH($P27,""(?i)desenvolvimento""),""Desenvolvimento"&amp;""",
    IF(
     REGEXMATCH($P27,""(?i)remada""),""Remada"",
     IF(REGEXMATCH($P27,""(?i)arranco""),""Arranco"",IF(REGEXMATCH($P27,""(?i)arremesso""),""Arremesso"",""""))
    )
   )
  )
 )
),
prs!$A$30:$D$36,
4,
FALSE
)
,"""")"),"")</f>
        <v/>
      </c>
      <c r="U27" s="41"/>
      <c r="V27" s="47"/>
      <c r="W27" s="53"/>
      <c r="X27" s="50"/>
      <c r="Y27" s="50"/>
      <c r="Z27" s="51"/>
      <c r="AA27" s="41" t="str">
        <f>IFERROR(__xludf.DUMMYFUNCTION("IFERROR(
$Z27/
VLOOKUP(
IF(
 REGEXMATCH($W27,""(?i)agachamento""),""Agachamento"",
 IF(
  REGEXMATCH($W27,""(?i)supino""),""Supino"",
  IF(
   REGEXMATCH($W27,""(?i)terra""),""Terra"",
   IF(
    REGEXMATCH($W27,""(?i)desenvolvimento""),""Desenvolvimento"&amp;""",
    IF(
     REGEXMATCH($W27,""(?i)remada""),""Remada"",
     IF(REGEXMATCH($W27,""(?i)arranco""),""Arranco"",IF(REGEXMATCH($W27,""(?i)arremesso""),""Arremesso"",""""))
    )
   )
  )
 )
),
prs!$A$30:$D$36,
4,
FALSE
)
,"""")"),"")</f>
        <v/>
      </c>
      <c r="AB27" s="41"/>
      <c r="AC27" s="47"/>
    </row>
    <row r="28" ht="15.75" customHeight="1">
      <c r="A28" s="47"/>
      <c r="B28" s="53"/>
      <c r="C28" s="50"/>
      <c r="D28" s="50"/>
      <c r="E28" s="51"/>
      <c r="F28" s="41" t="str">
        <f>IFERROR(__xludf.DUMMYFUNCTION("IFERROR(
$E28/
VLOOKUP(
IF(
 REGEXMATCH($B28,""(?i)agachamento""),""Agachamento"",
 IF(
  REGEXMATCH($B28,""(?i)supino""),""Supino"",
  IF(
   REGEXMATCH($B28,""(?i)terra""),""Terra"",
   IF(
    REGEXMATCH($B28,""(?i)desenvolvimento""),""Desenvolvimento"&amp;""",
    IF(
     REGEXMATCH($B28,""(?i)remada""),""Remada"",
     IF(REGEXMATCH($B28,""(?i)arranco""),""Arranco"",IF(REGEXMATCH($B28,""(?i)arremesso""),""Arremesso"",""""))
    )
   )
  )
 )
),
prs!$A$30:$D$36,
4,
FALSE
)
,"""")"),"")</f>
        <v/>
      </c>
      <c r="G28" s="41"/>
      <c r="H28" s="44"/>
      <c r="I28" s="53"/>
      <c r="J28" s="50"/>
      <c r="K28" s="50"/>
      <c r="L28" s="51"/>
      <c r="M28" s="41" t="str">
        <f>IFERROR(__xludf.DUMMYFUNCTION("IFERROR(
$L28/
VLOOKUP(
IF(
 REGEXMATCH($I28,""(?i)agachamento""),""Agachamento"",
 IF(
  REGEXMATCH($I28,""(?i)supino""),""Supino"",
  IF(
   REGEXMATCH($I28,""(?i)terra""),""Terra"",
   IF(
    REGEXMATCH($I28,""(?i)desenvolvimento""),""Desenvolvimento"&amp;""",
    IF(
     REGEXMATCH($I28,""(?i)remada""),""Remada"",
     IF(REGEXMATCH($I28,""(?i)arranco""),""Arranco"",IF(REGEXMATCH($I28,""(?i)arremesso""),""Arremesso"",""""))
    )
   )
  )
 )
),
prs!$A$30:$D$36,
4,
FALSE
)
,"""")"),"")</f>
        <v/>
      </c>
      <c r="N28" s="41"/>
      <c r="O28" s="47"/>
      <c r="P28" s="53"/>
      <c r="Q28" s="50"/>
      <c r="R28" s="50"/>
      <c r="S28" s="51"/>
      <c r="T28" s="41" t="str">
        <f>IFERROR(__xludf.DUMMYFUNCTION("IFERROR(
$S28/
VLOOKUP(
IF(
 REGEXMATCH($P28,""(?i)agachamento""),""Agachamento"",
 IF(
  REGEXMATCH($P28,""(?i)supino""),""Supino"",
  IF(
   REGEXMATCH($P28,""(?i)terra""),""Terra"",
   IF(
    REGEXMATCH($P28,""(?i)desenvolvimento""),""Desenvolvimento"&amp;""",
    IF(
     REGEXMATCH($P28,""(?i)remada""),""Remada"",
     IF(REGEXMATCH($P28,""(?i)arranco""),""Arranco"",IF(REGEXMATCH($P28,""(?i)arremesso""),""Arremesso"",""""))
    )
   )
  )
 )
),
prs!$A$30:$D$36,
4,
FALSE
)
,"""")"),"")</f>
        <v/>
      </c>
      <c r="U28" s="41"/>
      <c r="V28" s="47"/>
      <c r="W28" s="53"/>
      <c r="X28" s="50"/>
      <c r="Y28" s="50"/>
      <c r="Z28" s="51"/>
      <c r="AA28" s="41" t="str">
        <f>IFERROR(__xludf.DUMMYFUNCTION("IFERROR(
$Z28/
VLOOKUP(
IF(
 REGEXMATCH($W28,""(?i)agachamento""),""Agachamento"",
 IF(
  REGEXMATCH($W28,""(?i)supino""),""Supino"",
  IF(
   REGEXMATCH($W28,""(?i)terra""),""Terra"",
   IF(
    REGEXMATCH($W28,""(?i)desenvolvimento""),""Desenvolvimento"&amp;""",
    IF(
     REGEXMATCH($W28,""(?i)remada""),""Remada"",
     IF(REGEXMATCH($W28,""(?i)arranco""),""Arranco"",IF(REGEXMATCH($W28,""(?i)arremesso""),""Arremesso"",""""))
    )
   )
  )
 )
),
prs!$A$30:$D$36,
4,
FALSE
)
,"""")"),"")</f>
        <v/>
      </c>
      <c r="AB28" s="41"/>
      <c r="AC28" s="47"/>
    </row>
    <row r="29" ht="15.75" customHeight="1">
      <c r="A29" s="47"/>
      <c r="B29" s="53"/>
      <c r="C29" s="50"/>
      <c r="D29" s="50"/>
      <c r="E29" s="51"/>
      <c r="F29" s="41" t="str">
        <f>IFERROR(__xludf.DUMMYFUNCTION("IFERROR(
$E29/
VLOOKUP(
IF(
 REGEXMATCH($B29,""(?i)agachamento""),""Agachamento"",
 IF(
  REGEXMATCH($B29,""(?i)supino""),""Supino"",
  IF(
   REGEXMATCH($B29,""(?i)terra""),""Terra"",
   IF(
    REGEXMATCH($B29,""(?i)desenvolvimento""),""Desenvolvimento"&amp;""",
    IF(
     REGEXMATCH($B29,""(?i)remada""),""Remada"",
     IF(REGEXMATCH($B29,""(?i)arranco""),""Arranco"",IF(REGEXMATCH($B29,""(?i)arremesso""),""Arremesso"",""""))
    )
   )
  )
 )
),
prs!$A$30:$D$36,
4,
FALSE
)
,"""")"),"")</f>
        <v/>
      </c>
      <c r="G29" s="41"/>
      <c r="H29" s="44"/>
      <c r="I29" s="53"/>
      <c r="J29" s="50"/>
      <c r="K29" s="50"/>
      <c r="L29" s="51"/>
      <c r="M29" s="41" t="str">
        <f>IFERROR(__xludf.DUMMYFUNCTION("IFERROR(
$L29/
VLOOKUP(
IF(
 REGEXMATCH($I29,""(?i)agachamento""),""Agachamento"",
 IF(
  REGEXMATCH($I29,""(?i)supino""),""Supino"",
  IF(
   REGEXMATCH($I29,""(?i)terra""),""Terra"",
   IF(
    REGEXMATCH($I29,""(?i)desenvolvimento""),""Desenvolvimento"&amp;""",
    IF(
     REGEXMATCH($I29,""(?i)remada""),""Remada"",
     IF(REGEXMATCH($I29,""(?i)arranco""),""Arranco"",IF(REGEXMATCH($I29,""(?i)arremesso""),""Arremesso"",""""))
    )
   )
  )
 )
),
prs!$A$30:$D$36,
4,
FALSE
)
,"""")"),"")</f>
        <v/>
      </c>
      <c r="N29" s="41"/>
      <c r="O29" s="47"/>
      <c r="P29" s="53"/>
      <c r="Q29" s="50"/>
      <c r="R29" s="50"/>
      <c r="S29" s="51"/>
      <c r="T29" s="41" t="str">
        <f>IFERROR(__xludf.DUMMYFUNCTION("IFERROR(
$S29/
VLOOKUP(
IF(
 REGEXMATCH($P29,""(?i)agachamento""),""Agachamento"",
 IF(
  REGEXMATCH($P29,""(?i)supino""),""Supino"",
  IF(
   REGEXMATCH($P29,""(?i)terra""),""Terra"",
   IF(
    REGEXMATCH($P29,""(?i)desenvolvimento""),""Desenvolvimento"&amp;""",
    IF(
     REGEXMATCH($P29,""(?i)remada""),""Remada"",
     IF(REGEXMATCH($P29,""(?i)arranco""),""Arranco"",IF(REGEXMATCH($P29,""(?i)arremesso""),""Arremesso"",""""))
    )
   )
  )
 )
),
prs!$A$30:$D$36,
4,
FALSE
)
,"""")"),"")</f>
        <v/>
      </c>
      <c r="U29" s="41"/>
      <c r="V29" s="47"/>
      <c r="W29" s="53"/>
      <c r="X29" s="50"/>
      <c r="Y29" s="50"/>
      <c r="Z29" s="51"/>
      <c r="AA29" s="41" t="str">
        <f>IFERROR(__xludf.DUMMYFUNCTION("IFERROR(
$Z29/
VLOOKUP(
IF(
 REGEXMATCH($W29,""(?i)agachamento""),""Agachamento"",
 IF(
  REGEXMATCH($W29,""(?i)supino""),""Supino"",
  IF(
   REGEXMATCH($W29,""(?i)terra""),""Terra"",
   IF(
    REGEXMATCH($W29,""(?i)desenvolvimento""),""Desenvolvimento"&amp;""",
    IF(
     REGEXMATCH($W29,""(?i)remada""),""Remada"",
     IF(REGEXMATCH($W29,""(?i)arranco""),""Arranco"",IF(REGEXMATCH($W29,""(?i)arremesso""),""Arremesso"",""""))
    )
   )
  )
 )
),
prs!$A$30:$D$36,
4,
FALSE
)
,"""")"),"")</f>
        <v/>
      </c>
      <c r="AB29" s="41"/>
      <c r="AC29" s="47"/>
    </row>
    <row r="30" ht="15.75" customHeight="1">
      <c r="A30" s="47"/>
      <c r="B30" s="53"/>
      <c r="C30" s="50"/>
      <c r="D30" s="50"/>
      <c r="E30" s="51"/>
      <c r="F30" s="41" t="str">
        <f>IFERROR(__xludf.DUMMYFUNCTION("IFERROR(
$E30/
VLOOKUP(
IF(
 REGEXMATCH($B30,""(?i)agachamento""),""Agachamento"",
 IF(
  REGEXMATCH($B30,""(?i)supino""),""Supino"",
  IF(
   REGEXMATCH($B30,""(?i)terra""),""Terra"",
   IF(
    REGEXMATCH($B30,""(?i)desenvolvimento""),""Desenvolvimento"&amp;""",
    IF(
     REGEXMATCH($B30,""(?i)remada""),""Remada"",
     IF(REGEXMATCH($B30,""(?i)arranco""),""Arranco"",IF(REGEXMATCH($B30,""(?i)arremesso""),""Arremesso"",""""))
    )
   )
  )
 )
),
prs!$A$30:$D$36,
4,
FALSE
)
,"""")"),"")</f>
        <v/>
      </c>
      <c r="G30" s="41"/>
      <c r="H30" s="44"/>
      <c r="I30" s="53"/>
      <c r="J30" s="50"/>
      <c r="K30" s="50"/>
      <c r="L30" s="51"/>
      <c r="M30" s="41" t="str">
        <f>IFERROR(__xludf.DUMMYFUNCTION("IFERROR(
$L30/
VLOOKUP(
IF(
 REGEXMATCH($I30,""(?i)agachamento""),""Agachamento"",
 IF(
  REGEXMATCH($I30,""(?i)supino""),""Supino"",
  IF(
   REGEXMATCH($I30,""(?i)terra""),""Terra"",
   IF(
    REGEXMATCH($I30,""(?i)desenvolvimento""),""Desenvolvimento"&amp;""",
    IF(
     REGEXMATCH($I30,""(?i)remada""),""Remada"",
     IF(REGEXMATCH($I30,""(?i)arranco""),""Arranco"",IF(REGEXMATCH($I30,""(?i)arremesso""),""Arremesso"",""""))
    )
   )
  )
 )
),
prs!$A$30:$D$36,
4,
FALSE
)
,"""")"),"")</f>
        <v/>
      </c>
      <c r="N30" s="41"/>
      <c r="O30" s="47"/>
      <c r="P30" s="53"/>
      <c r="Q30" s="50"/>
      <c r="R30" s="50"/>
      <c r="S30" s="51"/>
      <c r="T30" s="41" t="str">
        <f>IFERROR(__xludf.DUMMYFUNCTION("IFERROR(
$S30/
VLOOKUP(
IF(
 REGEXMATCH($P30,""(?i)agachamento""),""Agachamento"",
 IF(
  REGEXMATCH($P30,""(?i)supino""),""Supino"",
  IF(
   REGEXMATCH($P30,""(?i)terra""),""Terra"",
   IF(
    REGEXMATCH($P30,""(?i)desenvolvimento""),""Desenvolvimento"&amp;""",
    IF(
     REGEXMATCH($P30,""(?i)remada""),""Remada"",
     IF(REGEXMATCH($P30,""(?i)arranco""),""Arranco"",IF(REGEXMATCH($P30,""(?i)arremesso""),""Arremesso"",""""))
    )
   )
  )
 )
),
prs!$A$30:$D$36,
4,
FALSE
)
,"""")"),"")</f>
        <v/>
      </c>
      <c r="U30" s="41"/>
      <c r="V30" s="47"/>
      <c r="W30" s="53"/>
      <c r="X30" s="50"/>
      <c r="Y30" s="50"/>
      <c r="Z30" s="51"/>
      <c r="AA30" s="41" t="str">
        <f>IFERROR(__xludf.DUMMYFUNCTION("IFERROR(
$Z30/
VLOOKUP(
IF(
 REGEXMATCH($W30,""(?i)agachamento""),""Agachamento"",
 IF(
  REGEXMATCH($W30,""(?i)supino""),""Supino"",
  IF(
   REGEXMATCH($W30,""(?i)terra""),""Terra"",
   IF(
    REGEXMATCH($W30,""(?i)desenvolvimento""),""Desenvolvimento"&amp;""",
    IF(
     REGEXMATCH($W30,""(?i)remada""),""Remada"",
     IF(REGEXMATCH($W30,""(?i)arranco""),""Arranco"",IF(REGEXMATCH($W30,""(?i)arremesso""),""Arremesso"",""""))
    )
   )
  )
 )
),
prs!$A$30:$D$36,
4,
FALSE
)
,"""")"),"")</f>
        <v/>
      </c>
      <c r="AB30" s="41"/>
      <c r="AC30" s="47"/>
    </row>
    <row r="31" ht="15.75" customHeight="1">
      <c r="A31" s="52"/>
      <c r="B31" s="52"/>
      <c r="C31" s="37" t="s">
        <v>20</v>
      </c>
      <c r="H31" s="18"/>
      <c r="I31" s="52"/>
      <c r="J31" s="37" t="s">
        <v>23</v>
      </c>
      <c r="O31" s="18"/>
      <c r="P31" s="52"/>
      <c r="Q31" s="37" t="s">
        <v>24</v>
      </c>
      <c r="V31" s="18"/>
      <c r="W31" s="52"/>
      <c r="X31" s="37" t="s">
        <v>25</v>
      </c>
      <c r="AC31" s="44"/>
    </row>
    <row r="32" ht="15.75" customHeight="1">
      <c r="A32" s="11"/>
      <c r="B32" s="54"/>
      <c r="C32" s="11"/>
      <c r="D32" s="11"/>
      <c r="H32" s="11"/>
      <c r="I32" s="54"/>
      <c r="J32" s="11"/>
      <c r="K32" s="11"/>
      <c r="O32" s="11"/>
      <c r="P32" s="54"/>
      <c r="Q32" s="11"/>
      <c r="R32" s="11"/>
      <c r="V32" s="11"/>
      <c r="W32" s="54"/>
      <c r="X32" s="11"/>
      <c r="Y32" s="11"/>
      <c r="AC32" s="11"/>
    </row>
    <row r="33" ht="15.75" customHeight="1">
      <c r="A33" s="2" t="s">
        <v>26</v>
      </c>
      <c r="B33" s="13"/>
      <c r="C33" s="37"/>
      <c r="H33" s="18"/>
      <c r="I33" s="13"/>
      <c r="J33" s="37"/>
      <c r="O33" s="18"/>
      <c r="P33" s="13"/>
      <c r="Q33" s="37"/>
      <c r="V33" s="18"/>
      <c r="W33" s="13"/>
      <c r="X33" s="37"/>
      <c r="AC33" s="11"/>
    </row>
    <row r="34" ht="15.75" customHeight="1">
      <c r="A34" s="2"/>
      <c r="B34" s="2"/>
      <c r="C34" s="5" t="s">
        <v>10</v>
      </c>
      <c r="D34" s="5" t="s">
        <v>12</v>
      </c>
      <c r="E34" s="5" t="s">
        <v>13</v>
      </c>
      <c r="F34" s="5" t="s">
        <v>14</v>
      </c>
      <c r="G34" s="5" t="s">
        <v>15</v>
      </c>
      <c r="H34" s="18"/>
      <c r="I34" s="2"/>
      <c r="J34" s="5" t="s">
        <v>10</v>
      </c>
      <c r="K34" s="5" t="s">
        <v>12</v>
      </c>
      <c r="L34" s="5" t="s">
        <v>13</v>
      </c>
      <c r="M34" s="5" t="s">
        <v>14</v>
      </c>
      <c r="N34" s="5" t="s">
        <v>15</v>
      </c>
      <c r="O34" s="18"/>
      <c r="P34" s="2"/>
      <c r="Q34" s="5" t="s">
        <v>10</v>
      </c>
      <c r="R34" s="5" t="s">
        <v>12</v>
      </c>
      <c r="S34" s="5" t="s">
        <v>13</v>
      </c>
      <c r="T34" s="5" t="s">
        <v>14</v>
      </c>
      <c r="U34" s="5" t="s">
        <v>15</v>
      </c>
      <c r="V34" s="18"/>
      <c r="W34" s="2"/>
      <c r="X34" s="5" t="s">
        <v>10</v>
      </c>
      <c r="Y34" s="5" t="s">
        <v>12</v>
      </c>
      <c r="Z34" s="5" t="s">
        <v>13</v>
      </c>
      <c r="AA34" s="5" t="s">
        <v>14</v>
      </c>
      <c r="AB34" s="5" t="s">
        <v>15</v>
      </c>
      <c r="AC34" s="18"/>
    </row>
    <row r="35" ht="15.75" customHeight="1">
      <c r="A35" s="2"/>
      <c r="B35" s="2" t="s">
        <v>16</v>
      </c>
      <c r="C35" s="29"/>
      <c r="D35" s="5"/>
      <c r="E35" s="5"/>
      <c r="F35" s="5" t="s">
        <v>17</v>
      </c>
      <c r="G35" s="5"/>
      <c r="H35" s="18"/>
      <c r="I35" s="2" t="s">
        <v>16</v>
      </c>
      <c r="J35" s="29"/>
      <c r="K35" s="5"/>
      <c r="L35" s="5"/>
      <c r="M35" s="5" t="s">
        <v>17</v>
      </c>
      <c r="N35" s="5"/>
      <c r="O35" s="18"/>
      <c r="P35" s="2" t="s">
        <v>16</v>
      </c>
      <c r="Q35" s="29"/>
      <c r="R35" s="5"/>
      <c r="S35" s="5"/>
      <c r="T35" s="5" t="s">
        <v>17</v>
      </c>
      <c r="U35" s="5"/>
      <c r="V35" s="18"/>
      <c r="W35" s="2" t="s">
        <v>16</v>
      </c>
      <c r="X35" s="29"/>
      <c r="Y35" s="5"/>
      <c r="Z35" s="5"/>
      <c r="AA35" s="5" t="s">
        <v>17</v>
      </c>
      <c r="AB35" s="5"/>
      <c r="AC35" s="18"/>
    </row>
    <row r="36" ht="15.75" customHeight="1">
      <c r="A36" s="32"/>
      <c r="B36" s="35"/>
      <c r="C36" s="36"/>
      <c r="D36" s="36"/>
      <c r="E36" s="38"/>
      <c r="F36" s="41" t="str">
        <f>IFERROR(__xludf.DUMMYFUNCTION("IFERROR(
$E36/
VLOOKUP(
IF(
 REGEXMATCH($B36,""(?i)agachamento""),""Agachamento"",
 IF(
  REGEXMATCH($B36,""(?i)supino""),""Supino"",
  IF(
   REGEXMATCH($B36,""(?i)terra""),""Terra"",
   IF(
    REGEXMATCH($B36,""(?i)desenvolvimento""),""Desenvolvimento"&amp;""",
    IF(
     REGEXMATCH($B36,""(?i)remada""),""Remada"",
     IF(REGEXMATCH($B36,""(?i)arranco""),""Arranco"",IF(REGEXMATCH($B36,""(?i)arremesso""),""Arremesso"",""""))
    )
   )
  )
 )
),
prs!$A$30:$D$36,
4,
FALSE
)
,"""")"),"")</f>
        <v/>
      </c>
      <c r="G36" s="41"/>
      <c r="H36" s="44"/>
      <c r="I36" s="35"/>
      <c r="J36" s="36"/>
      <c r="K36" s="36"/>
      <c r="L36" s="38"/>
      <c r="M36" s="41" t="str">
        <f>IFERROR(__xludf.DUMMYFUNCTION("IFERROR(
$L36/
VLOOKUP(
IF(
 REGEXMATCH($I36,""(?i)agachamento""),""Agachamento"",
 IF(
  REGEXMATCH($I36,""(?i)supino""),""Supino"",
  IF(
   REGEXMATCH($I36,""(?i)terra""),""Terra"",
   IF(
    REGEXMATCH($I36,""(?i)desenvolvimento""),""Desenvolvimento"&amp;""",
    IF(
     REGEXMATCH($I36,""(?i)remada""),""Remada"",
     IF(REGEXMATCH($I36,""(?i)arranco""),""Arranco"",IF(REGEXMATCH($I36,""(?i)arremesso""),""Arremesso"",""""))
    )
   )
  )
 )
),
prs!$A$30:$D$36,
4,
FALSE
)
,"""")"),"")</f>
        <v/>
      </c>
      <c r="N36" s="41"/>
      <c r="O36" s="47"/>
      <c r="P36" s="35"/>
      <c r="Q36" s="36"/>
      <c r="R36" s="36"/>
      <c r="S36" s="38"/>
      <c r="T36" s="41" t="str">
        <f>IFERROR(__xludf.DUMMYFUNCTION("IFERROR(
$S36/
VLOOKUP(
IF(
 REGEXMATCH($P36,""(?i)agachamento""),""Agachamento"",
 IF(
  REGEXMATCH($P36,""(?i)supino""),""Supino"",
  IF(
   REGEXMATCH($P36,""(?i)terra""),""Terra"",
   IF(
    REGEXMATCH($P36,""(?i)desenvolvimento""),""Desenvolvimento"&amp;""",
    IF(
     REGEXMATCH($P36,""(?i)remada""),""Remada"",
     IF(REGEXMATCH($P36,""(?i)arranco""),""Arranco"",IF(REGEXMATCH($P36,""(?i)arremesso""),""Arremesso"",""""))
    )
   )
  )
 )
),
prs!$A$30:$D$36,
4,
FALSE
)
,"""")"),"")</f>
        <v/>
      </c>
      <c r="U36" s="41"/>
      <c r="V36" s="47"/>
      <c r="W36" s="35"/>
      <c r="X36" s="36"/>
      <c r="Y36" s="36"/>
      <c r="Z36" s="38"/>
      <c r="AA36" s="41" t="str">
        <f>IFERROR(__xludf.DUMMYFUNCTION("IFERROR(
$Z36/
VLOOKUP(
IF(
 REGEXMATCH($W36,""(?i)agachamento""),""Agachamento"",
 IF(
  REGEXMATCH($W36,""(?i)supino""),""Supino"",
  IF(
   REGEXMATCH($W36,""(?i)terra""),""Terra"",
   IF(
    REGEXMATCH($W36,""(?i)desenvolvimento""),""Desenvolvimento"&amp;""",
    IF(
     REGEXMATCH($W36,""(?i)remada""),""Remada"",
     IF(REGEXMATCH($W36,""(?i)arranco""),""Arranco"",IF(REGEXMATCH($W36,""(?i)arremesso""),""Arremesso"",""""))
    )
   )
  )
 )
),
prs!$A$30:$D$36,
4,
FALSE
)
,"""")"),"")</f>
        <v/>
      </c>
      <c r="AB36" s="41"/>
      <c r="AC36" s="32"/>
    </row>
    <row r="37" ht="15.75" customHeight="1">
      <c r="A37" s="32"/>
      <c r="B37" s="35"/>
      <c r="C37" s="36"/>
      <c r="D37" s="36"/>
      <c r="E37" s="38"/>
      <c r="F37" s="41" t="str">
        <f>IFERROR(__xludf.DUMMYFUNCTION("IFERROR(
$E37/
VLOOKUP(
IF(
 REGEXMATCH($B37,""(?i)agachamento""),""Agachamento"",
 IF(
  REGEXMATCH($B37,""(?i)supino""),""Supino"",
  IF(
   REGEXMATCH($B37,""(?i)terra""),""Terra"",
   IF(
    REGEXMATCH($B37,""(?i)desenvolvimento""),""Desenvolvimento"&amp;""",
    IF(
     REGEXMATCH($B37,""(?i)remada""),""Remada"",
     IF(REGEXMATCH($B37,""(?i)arranco""),""Arranco"",IF(REGEXMATCH($B37,""(?i)arremesso""),""Arremesso"",""""))
    )
   )
  )
 )
),
prs!$A$30:$D$36,
4,
FALSE
)
,"""")"),"")</f>
        <v/>
      </c>
      <c r="G37" s="41"/>
      <c r="H37" s="44"/>
      <c r="I37" s="35"/>
      <c r="J37" s="36"/>
      <c r="K37" s="36"/>
      <c r="L37" s="38"/>
      <c r="M37" s="41" t="str">
        <f>IFERROR(__xludf.DUMMYFUNCTION("IFERROR(
$L37/
VLOOKUP(
IF(
 REGEXMATCH($I37,""(?i)agachamento""),""Agachamento"",
 IF(
  REGEXMATCH($I37,""(?i)supino""),""Supino"",
  IF(
   REGEXMATCH($I37,""(?i)terra""),""Terra"",
   IF(
    REGEXMATCH($I37,""(?i)desenvolvimento""),""Desenvolvimento"&amp;""",
    IF(
     REGEXMATCH($I37,""(?i)remada""),""Remada"",
     IF(REGEXMATCH($I37,""(?i)arranco""),""Arranco"",IF(REGEXMATCH($I37,""(?i)arremesso""),""Arremesso"",""""))
    )
   )
  )
 )
),
prs!$A$30:$D$36,
4,
FALSE
)
,"""")"),"")</f>
        <v/>
      </c>
      <c r="N37" s="41"/>
      <c r="O37" s="47"/>
      <c r="P37" s="35"/>
      <c r="Q37" s="36"/>
      <c r="R37" s="36"/>
      <c r="S37" s="38"/>
      <c r="T37" s="41" t="str">
        <f>IFERROR(__xludf.DUMMYFUNCTION("IFERROR(
$S37/
VLOOKUP(
IF(
 REGEXMATCH($P37,""(?i)agachamento""),""Agachamento"",
 IF(
  REGEXMATCH($P37,""(?i)supino""),""Supino"",
  IF(
   REGEXMATCH($P37,""(?i)terra""),""Terra"",
   IF(
    REGEXMATCH($P37,""(?i)desenvolvimento""),""Desenvolvimento"&amp;""",
    IF(
     REGEXMATCH($P37,""(?i)remada""),""Remada"",
     IF(REGEXMATCH($P37,""(?i)arranco""),""Arranco"",IF(REGEXMATCH($P37,""(?i)arremesso""),""Arremesso"",""""))
    )
   )
  )
 )
),
prs!$A$30:$D$36,
4,
FALSE
)
,"""")"),"")</f>
        <v/>
      </c>
      <c r="U37" s="41"/>
      <c r="V37" s="47"/>
      <c r="W37" s="35"/>
      <c r="X37" s="36"/>
      <c r="Y37" s="36"/>
      <c r="Z37" s="38"/>
      <c r="AA37" s="41" t="str">
        <f>IFERROR(__xludf.DUMMYFUNCTION("IFERROR(
$Z37/
VLOOKUP(
IF(
 REGEXMATCH($W37,""(?i)agachamento""),""Agachamento"",
 IF(
  REGEXMATCH($W37,""(?i)supino""),""Supino"",
  IF(
   REGEXMATCH($W37,""(?i)terra""),""Terra"",
   IF(
    REGEXMATCH($W37,""(?i)desenvolvimento""),""Desenvolvimento"&amp;""",
    IF(
     REGEXMATCH($W37,""(?i)remada""),""Remada"",
     IF(REGEXMATCH($W37,""(?i)arranco""),""Arranco"",IF(REGEXMATCH($W37,""(?i)arremesso""),""Arremesso"",""""))
    )
   )
  )
 )
),
prs!$A$30:$D$36,
4,
FALSE
)
,"""")"),"")</f>
        <v/>
      </c>
      <c r="AB37" s="41"/>
      <c r="AC37" s="32"/>
    </row>
    <row r="38" ht="15.75" customHeight="1">
      <c r="A38" s="32"/>
      <c r="B38" s="35"/>
      <c r="C38" s="36"/>
      <c r="D38" s="36"/>
      <c r="E38" s="38"/>
      <c r="F38" s="41" t="str">
        <f>IFERROR(__xludf.DUMMYFUNCTION("IFERROR(
$E38/
VLOOKUP(
IF(
 REGEXMATCH($B38,""(?i)agachamento""),""Agachamento"",
 IF(
  REGEXMATCH($B38,""(?i)supino""),""Supino"",
  IF(
   REGEXMATCH($B38,""(?i)terra""),""Terra"",
   IF(
    REGEXMATCH($B38,""(?i)desenvolvimento""),""Desenvolvimento"&amp;""",
    IF(
     REGEXMATCH($B38,""(?i)remada""),""Remada"",
     IF(REGEXMATCH($B38,""(?i)arranco""),""Arranco"",IF(REGEXMATCH($B38,""(?i)arremesso""),""Arremesso"",""""))
    )
   )
  )
 )
),
prs!$A$30:$D$36,
4,
FALSE
)
,"""")"),"")</f>
        <v/>
      </c>
      <c r="G38" s="41"/>
      <c r="H38" s="44"/>
      <c r="I38" s="35"/>
      <c r="J38" s="36"/>
      <c r="K38" s="36"/>
      <c r="L38" s="38"/>
      <c r="M38" s="41" t="str">
        <f>IFERROR(__xludf.DUMMYFUNCTION("IFERROR(
$L38/
VLOOKUP(
IF(
 REGEXMATCH($I38,""(?i)agachamento""),""Agachamento"",
 IF(
  REGEXMATCH($I38,""(?i)supino""),""Supino"",
  IF(
   REGEXMATCH($I38,""(?i)terra""),""Terra"",
   IF(
    REGEXMATCH($I38,""(?i)desenvolvimento""),""Desenvolvimento"&amp;""",
    IF(
     REGEXMATCH($I38,""(?i)remada""),""Remada"",
     IF(REGEXMATCH($I38,""(?i)arranco""),""Arranco"",IF(REGEXMATCH($I38,""(?i)arremesso""),""Arremesso"",""""))
    )
   )
  )
 )
),
prs!$A$30:$D$36,
4,
FALSE
)
,"""")"),"")</f>
        <v/>
      </c>
      <c r="N38" s="41"/>
      <c r="O38" s="47"/>
      <c r="P38" s="35"/>
      <c r="Q38" s="36"/>
      <c r="R38" s="36"/>
      <c r="S38" s="38"/>
      <c r="T38" s="41" t="str">
        <f>IFERROR(__xludf.DUMMYFUNCTION("IFERROR(
$S38/
VLOOKUP(
IF(
 REGEXMATCH($P38,""(?i)agachamento""),""Agachamento"",
 IF(
  REGEXMATCH($P38,""(?i)supino""),""Supino"",
  IF(
   REGEXMATCH($P38,""(?i)terra""),""Terra"",
   IF(
    REGEXMATCH($P38,""(?i)desenvolvimento""),""Desenvolvimento"&amp;""",
    IF(
     REGEXMATCH($P38,""(?i)remada""),""Remada"",
     IF(REGEXMATCH($P38,""(?i)arranco""),""Arranco"",IF(REGEXMATCH($P38,""(?i)arremesso""),""Arremesso"",""""))
    )
   )
  )
 )
),
prs!$A$30:$D$36,
4,
FALSE
)
,"""")"),"")</f>
        <v/>
      </c>
      <c r="U38" s="41"/>
      <c r="V38" s="47"/>
      <c r="W38" s="35"/>
      <c r="X38" s="36"/>
      <c r="Y38" s="36"/>
      <c r="Z38" s="38"/>
      <c r="AA38" s="41" t="str">
        <f>IFERROR(__xludf.DUMMYFUNCTION("IFERROR(
$Z38/
VLOOKUP(
IF(
 REGEXMATCH($W38,""(?i)agachamento""),""Agachamento"",
 IF(
  REGEXMATCH($W38,""(?i)supino""),""Supino"",
  IF(
   REGEXMATCH($W38,""(?i)terra""),""Terra"",
   IF(
    REGEXMATCH($W38,""(?i)desenvolvimento""),""Desenvolvimento"&amp;""",
    IF(
     REGEXMATCH($W38,""(?i)remada""),""Remada"",
     IF(REGEXMATCH($W38,""(?i)arranco""),""Arranco"",IF(REGEXMATCH($W38,""(?i)arremesso""),""Arremesso"",""""))
    )
   )
  )
 )
),
prs!$A$30:$D$36,
4,
FALSE
)
,"""")"),"")</f>
        <v/>
      </c>
      <c r="AB38" s="41"/>
      <c r="AC38" s="32"/>
    </row>
    <row r="39" ht="15.75" customHeight="1">
      <c r="A39" s="32"/>
      <c r="B39" s="35"/>
      <c r="C39" s="50"/>
      <c r="D39" s="50"/>
      <c r="E39" s="51"/>
      <c r="F39" s="41" t="str">
        <f>IFERROR(__xludf.DUMMYFUNCTION("IFERROR(
$E39/
VLOOKUP(
IF(
 REGEXMATCH($B39,""(?i)agachamento""),""Agachamento"",
 IF(
  REGEXMATCH($B39,""(?i)supino""),""Supino"",
  IF(
   REGEXMATCH($B39,""(?i)terra""),""Terra"",
   IF(
    REGEXMATCH($B39,""(?i)desenvolvimento""),""Desenvolvimento"&amp;""",
    IF(
     REGEXMATCH($B39,""(?i)remada""),""Remada"",
     IF(REGEXMATCH($B39,""(?i)arranco""),""Arranco"",IF(REGEXMATCH($B39,""(?i)arremesso""),""Arremesso"",""""))
    )
   )
  )
 )
),
prs!$A$30:$D$36,
4,
FALSE
)
,"""")"),"")</f>
        <v/>
      </c>
      <c r="G39" s="41"/>
      <c r="H39" s="44"/>
      <c r="I39" s="35"/>
      <c r="J39" s="50"/>
      <c r="K39" s="50"/>
      <c r="L39" s="51"/>
      <c r="M39" s="41" t="str">
        <f>IFERROR(__xludf.DUMMYFUNCTION("IFERROR(
$L39/
VLOOKUP(
IF(
 REGEXMATCH($I39,""(?i)agachamento""),""Agachamento"",
 IF(
  REGEXMATCH($I39,""(?i)supino""),""Supino"",
  IF(
   REGEXMATCH($I39,""(?i)terra""),""Terra"",
   IF(
    REGEXMATCH($I39,""(?i)desenvolvimento""),""Desenvolvimento"&amp;""",
    IF(
     REGEXMATCH($I39,""(?i)remada""),""Remada"",
     IF(REGEXMATCH($I39,""(?i)arranco""),""Arranco"",IF(REGEXMATCH($I39,""(?i)arremesso""),""Arremesso"",""""))
    )
   )
  )
 )
),
prs!$A$30:$D$36,
4,
FALSE
)
,"""")"),"")</f>
        <v/>
      </c>
      <c r="N39" s="41"/>
      <c r="O39" s="47"/>
      <c r="P39" s="35"/>
      <c r="Q39" s="50"/>
      <c r="R39" s="50"/>
      <c r="S39" s="51"/>
      <c r="T39" s="41" t="str">
        <f>IFERROR(__xludf.DUMMYFUNCTION("IFERROR(
$S39/
VLOOKUP(
IF(
 REGEXMATCH($P39,""(?i)agachamento""),""Agachamento"",
 IF(
  REGEXMATCH($P39,""(?i)supino""),""Supino"",
  IF(
   REGEXMATCH($P39,""(?i)terra""),""Terra"",
   IF(
    REGEXMATCH($P39,""(?i)desenvolvimento""),""Desenvolvimento"&amp;""",
    IF(
     REGEXMATCH($P39,""(?i)remada""),""Remada"",
     IF(REGEXMATCH($P39,""(?i)arranco""),""Arranco"",IF(REGEXMATCH($P39,""(?i)arremesso""),""Arremesso"",""""))
    )
   )
  )
 )
),
prs!$A$30:$D$36,
4,
FALSE
)
,"""")"),"")</f>
        <v/>
      </c>
      <c r="U39" s="41"/>
      <c r="V39" s="47"/>
      <c r="W39" s="35"/>
      <c r="X39" s="50"/>
      <c r="Y39" s="50"/>
      <c r="Z39" s="51"/>
      <c r="AA39" s="41" t="str">
        <f>IFERROR(__xludf.DUMMYFUNCTION("IFERROR(
$Z39/
VLOOKUP(
IF(
 REGEXMATCH($W39,""(?i)agachamento""),""Agachamento"",
 IF(
  REGEXMATCH($W39,""(?i)supino""),""Supino"",
  IF(
   REGEXMATCH($W39,""(?i)terra""),""Terra"",
   IF(
    REGEXMATCH($W39,""(?i)desenvolvimento""),""Desenvolvimento"&amp;""",
    IF(
     REGEXMATCH($W39,""(?i)remada""),""Remada"",
     IF(REGEXMATCH($W39,""(?i)arranco""),""Arranco"",IF(REGEXMATCH($W39,""(?i)arremesso""),""Arremesso"",""""))
    )
   )
  )
 )
),
prs!$A$30:$D$36,
4,
FALSE
)
,"""")"),"")</f>
        <v/>
      </c>
      <c r="AB39" s="41"/>
      <c r="AC39" s="32"/>
    </row>
    <row r="40" ht="15.75" customHeight="1">
      <c r="A40" s="32"/>
      <c r="B40" s="35"/>
      <c r="C40" s="50"/>
      <c r="D40" s="50"/>
      <c r="E40" s="51"/>
      <c r="F40" s="41" t="str">
        <f>IFERROR(__xludf.DUMMYFUNCTION("IFERROR(
$E40/
VLOOKUP(
IF(
 REGEXMATCH($B40,""(?i)agachamento""),""Agachamento"",
 IF(
  REGEXMATCH($B40,""(?i)supino""),""Supino"",
  IF(
   REGEXMATCH($B40,""(?i)terra""),""Terra"",
   IF(
    REGEXMATCH($B40,""(?i)desenvolvimento""),""Desenvolvimento"&amp;""",
    IF(
     REGEXMATCH($B40,""(?i)remada""),""Remada"",
     IF(REGEXMATCH($B40,""(?i)arranco""),""Arranco"",IF(REGEXMATCH($B40,""(?i)arremesso""),""Arremesso"",""""))
    )
   )
  )
 )
),
prs!$A$30:$D$36,
4,
FALSE
)
,"""")"),"")</f>
        <v/>
      </c>
      <c r="G40" s="41"/>
      <c r="H40" s="44"/>
      <c r="I40" s="35"/>
      <c r="J40" s="50"/>
      <c r="K40" s="50"/>
      <c r="L40" s="51"/>
      <c r="M40" s="41" t="str">
        <f>IFERROR(__xludf.DUMMYFUNCTION("IFERROR(
$L40/
VLOOKUP(
IF(
 REGEXMATCH($I40,""(?i)agachamento""),""Agachamento"",
 IF(
  REGEXMATCH($I40,""(?i)supino""),""Supino"",
  IF(
   REGEXMATCH($I40,""(?i)terra""),""Terra"",
   IF(
    REGEXMATCH($I40,""(?i)desenvolvimento""),""Desenvolvimento"&amp;""",
    IF(
     REGEXMATCH($I40,""(?i)remada""),""Remada"",
     IF(REGEXMATCH($I40,""(?i)arranco""),""Arranco"",IF(REGEXMATCH($I40,""(?i)arremesso""),""Arremesso"",""""))
    )
   )
  )
 )
),
prs!$A$30:$D$36,
4,
FALSE
)
,"""")"),"")</f>
        <v/>
      </c>
      <c r="N40" s="41"/>
      <c r="O40" s="47"/>
      <c r="P40" s="35"/>
      <c r="Q40" s="50"/>
      <c r="R40" s="50"/>
      <c r="S40" s="51"/>
      <c r="T40" s="41" t="str">
        <f>IFERROR(__xludf.DUMMYFUNCTION("IFERROR(
$S40/
VLOOKUP(
IF(
 REGEXMATCH($P40,""(?i)agachamento""),""Agachamento"",
 IF(
  REGEXMATCH($P40,""(?i)supino""),""Supino"",
  IF(
   REGEXMATCH($P40,""(?i)terra""),""Terra"",
   IF(
    REGEXMATCH($P40,""(?i)desenvolvimento""),""Desenvolvimento"&amp;""",
    IF(
     REGEXMATCH($P40,""(?i)remada""),""Remada"",
     IF(REGEXMATCH($P40,""(?i)arranco""),""Arranco"",IF(REGEXMATCH($P40,""(?i)arremesso""),""Arremesso"",""""))
    )
   )
  )
 )
),
prs!$A$30:$D$36,
4,
FALSE
)
,"""")"),"")</f>
        <v/>
      </c>
      <c r="U40" s="41"/>
      <c r="V40" s="47"/>
      <c r="W40" s="35"/>
      <c r="X40" s="50"/>
      <c r="Y40" s="50"/>
      <c r="Z40" s="51"/>
      <c r="AA40" s="41" t="str">
        <f>IFERROR(__xludf.DUMMYFUNCTION("IFERROR(
$Z40/
VLOOKUP(
IF(
 REGEXMATCH($W40,""(?i)agachamento""),""Agachamento"",
 IF(
  REGEXMATCH($W40,""(?i)supino""),""Supino"",
  IF(
   REGEXMATCH($W40,""(?i)terra""),""Terra"",
   IF(
    REGEXMATCH($W40,""(?i)desenvolvimento""),""Desenvolvimento"&amp;""",
    IF(
     REGEXMATCH($W40,""(?i)remada""),""Remada"",
     IF(REGEXMATCH($W40,""(?i)arranco""),""Arranco"",IF(REGEXMATCH($W40,""(?i)arremesso""),""Arremesso"",""""))
    )
   )
  )
 )
),
prs!$A$30:$D$36,
4,
FALSE
)
,"""")"),"")</f>
        <v/>
      </c>
      <c r="AB40" s="41"/>
      <c r="AC40" s="32"/>
    </row>
    <row r="41" ht="15.75" customHeight="1">
      <c r="A41" s="32"/>
      <c r="B41" s="35"/>
      <c r="C41" s="50"/>
      <c r="D41" s="50"/>
      <c r="E41" s="51"/>
      <c r="F41" s="41" t="str">
        <f>IFERROR(__xludf.DUMMYFUNCTION("IFERROR(
$E41/
VLOOKUP(
IF(
 REGEXMATCH($B41,""(?i)agachamento""),""Agachamento"",
 IF(
  REGEXMATCH($B41,""(?i)supino""),""Supino"",
  IF(
   REGEXMATCH($B41,""(?i)terra""),""Terra"",
   IF(
    REGEXMATCH($B41,""(?i)desenvolvimento""),""Desenvolvimento"&amp;""",
    IF(
     REGEXMATCH($B41,""(?i)remada""),""Remada"",
     IF(REGEXMATCH($B41,""(?i)arranco""),""Arranco"",IF(REGEXMATCH($B41,""(?i)arremesso""),""Arremesso"",""""))
    )
   )
  )
 )
),
prs!$A$30:$D$36,
4,
FALSE
)
,"""")"),"")</f>
        <v/>
      </c>
      <c r="G41" s="41"/>
      <c r="H41" s="44"/>
      <c r="I41" s="35"/>
      <c r="J41" s="50"/>
      <c r="K41" s="50"/>
      <c r="L41" s="51"/>
      <c r="M41" s="41" t="str">
        <f>IFERROR(__xludf.DUMMYFUNCTION("IFERROR(
$L41/
VLOOKUP(
IF(
 REGEXMATCH($I41,""(?i)agachamento""),""Agachamento"",
 IF(
  REGEXMATCH($I41,""(?i)supino""),""Supino"",
  IF(
   REGEXMATCH($I41,""(?i)terra""),""Terra"",
   IF(
    REGEXMATCH($I41,""(?i)desenvolvimento""),""Desenvolvimento"&amp;""",
    IF(
     REGEXMATCH($I41,""(?i)remada""),""Remada"",
     IF(REGEXMATCH($I41,""(?i)arranco""),""Arranco"",IF(REGEXMATCH($I41,""(?i)arremesso""),""Arremesso"",""""))
    )
   )
  )
 )
),
prs!$A$30:$D$36,
4,
FALSE
)
,"""")"),"")</f>
        <v/>
      </c>
      <c r="N41" s="41"/>
      <c r="O41" s="47"/>
      <c r="P41" s="35"/>
      <c r="Q41" s="50"/>
      <c r="R41" s="50"/>
      <c r="S41" s="51"/>
      <c r="T41" s="41" t="str">
        <f>IFERROR(__xludf.DUMMYFUNCTION("IFERROR(
$S41/
VLOOKUP(
IF(
 REGEXMATCH($P41,""(?i)agachamento""),""Agachamento"",
 IF(
  REGEXMATCH($P41,""(?i)supino""),""Supino"",
  IF(
   REGEXMATCH($P41,""(?i)terra""),""Terra"",
   IF(
    REGEXMATCH($P41,""(?i)desenvolvimento""),""Desenvolvimento"&amp;""",
    IF(
     REGEXMATCH($P41,""(?i)remada""),""Remada"",
     IF(REGEXMATCH($P41,""(?i)arranco""),""Arranco"",IF(REGEXMATCH($P41,""(?i)arremesso""),""Arremesso"",""""))
    )
   )
  )
 )
),
prs!$A$30:$D$36,
4,
FALSE
)
,"""")"),"")</f>
        <v/>
      </c>
      <c r="U41" s="41"/>
      <c r="V41" s="47"/>
      <c r="W41" s="35"/>
      <c r="X41" s="50"/>
      <c r="Y41" s="50"/>
      <c r="Z41" s="51"/>
      <c r="AA41" s="41" t="str">
        <f>IFERROR(__xludf.DUMMYFUNCTION("IFERROR(
$Z41/
VLOOKUP(
IF(
 REGEXMATCH($W41,""(?i)agachamento""),""Agachamento"",
 IF(
  REGEXMATCH($W41,""(?i)supino""),""Supino"",
  IF(
   REGEXMATCH($W41,""(?i)terra""),""Terra"",
   IF(
    REGEXMATCH($W41,""(?i)desenvolvimento""),""Desenvolvimento"&amp;""",
    IF(
     REGEXMATCH($W41,""(?i)remada""),""Remada"",
     IF(REGEXMATCH($W41,""(?i)arranco""),""Arranco"",IF(REGEXMATCH($W41,""(?i)arremesso""),""Arremesso"",""""))
    )
   )
  )
 )
),
prs!$A$30:$D$36,
4,
FALSE
)
,"""")"),"")</f>
        <v/>
      </c>
      <c r="AB41" s="41"/>
      <c r="AC41" s="32"/>
    </row>
    <row r="42" ht="15.75" customHeight="1">
      <c r="A42" s="32"/>
      <c r="B42" s="35"/>
      <c r="C42" s="50"/>
      <c r="D42" s="50"/>
      <c r="E42" s="51"/>
      <c r="F42" s="41" t="str">
        <f>IFERROR(__xludf.DUMMYFUNCTION("IFERROR(
$E42/
VLOOKUP(
IF(
 REGEXMATCH($B42,""(?i)agachamento""),""Agachamento"",
 IF(
  REGEXMATCH($B42,""(?i)supino""),""Supino"",
  IF(
   REGEXMATCH($B42,""(?i)terra""),""Terra"",
   IF(
    REGEXMATCH($B42,""(?i)desenvolvimento""),""Desenvolvimento"&amp;""",
    IF(
     REGEXMATCH($B42,""(?i)remada""),""Remada"",
     IF(REGEXMATCH($B42,""(?i)arranco""),""Arranco"",IF(REGEXMATCH($B42,""(?i)arremesso""),""Arremesso"",""""))
    )
   )
  )
 )
),
prs!$A$30:$D$36,
4,
FALSE
)
,"""")"),"")</f>
        <v/>
      </c>
      <c r="G42" s="41"/>
      <c r="H42" s="44"/>
      <c r="I42" s="35"/>
      <c r="J42" s="50"/>
      <c r="K42" s="50"/>
      <c r="L42" s="51"/>
      <c r="M42" s="41" t="str">
        <f>IFERROR(__xludf.DUMMYFUNCTION("IFERROR(
$L42/
VLOOKUP(
IF(
 REGEXMATCH($I42,""(?i)agachamento""),""Agachamento"",
 IF(
  REGEXMATCH($I42,""(?i)supino""),""Supino"",
  IF(
   REGEXMATCH($I42,""(?i)terra""),""Terra"",
   IF(
    REGEXMATCH($I42,""(?i)desenvolvimento""),""Desenvolvimento"&amp;""",
    IF(
     REGEXMATCH($I42,""(?i)remada""),""Remada"",
     IF(REGEXMATCH($I42,""(?i)arranco""),""Arranco"",IF(REGEXMATCH($I42,""(?i)arremesso""),""Arremesso"",""""))
    )
   )
  )
 )
),
prs!$A$30:$D$36,
4,
FALSE
)
,"""")"),"")</f>
        <v/>
      </c>
      <c r="N42" s="41"/>
      <c r="O42" s="47"/>
      <c r="P42" s="35"/>
      <c r="Q42" s="50"/>
      <c r="R42" s="50"/>
      <c r="S42" s="51"/>
      <c r="T42" s="41" t="str">
        <f>IFERROR(__xludf.DUMMYFUNCTION("IFERROR(
$S42/
VLOOKUP(
IF(
 REGEXMATCH($P42,""(?i)agachamento""),""Agachamento"",
 IF(
  REGEXMATCH($P42,""(?i)supino""),""Supino"",
  IF(
   REGEXMATCH($P42,""(?i)terra""),""Terra"",
   IF(
    REGEXMATCH($P42,""(?i)desenvolvimento""),""Desenvolvimento"&amp;""",
    IF(
     REGEXMATCH($P42,""(?i)remada""),""Remada"",
     IF(REGEXMATCH($P42,""(?i)arranco""),""Arranco"",IF(REGEXMATCH($P42,""(?i)arremesso""),""Arremesso"",""""))
    )
   )
  )
 )
),
prs!$A$30:$D$36,
4,
FALSE
)
,"""")"),"")</f>
        <v/>
      </c>
      <c r="U42" s="41"/>
      <c r="V42" s="47"/>
      <c r="W42" s="35"/>
      <c r="X42" s="50"/>
      <c r="Y42" s="50"/>
      <c r="Z42" s="51"/>
      <c r="AA42" s="41" t="str">
        <f>IFERROR(__xludf.DUMMYFUNCTION("IFERROR(
$Z42/
VLOOKUP(
IF(
 REGEXMATCH($W42,""(?i)agachamento""),""Agachamento"",
 IF(
  REGEXMATCH($W42,""(?i)supino""),""Supino"",
  IF(
   REGEXMATCH($W42,""(?i)terra""),""Terra"",
   IF(
    REGEXMATCH($W42,""(?i)desenvolvimento""),""Desenvolvimento"&amp;""",
    IF(
     REGEXMATCH($W42,""(?i)remada""),""Remada"",
     IF(REGEXMATCH($W42,""(?i)arranco""),""Arranco"",IF(REGEXMATCH($W42,""(?i)arremesso""),""Arremesso"",""""))
    )
   )
  )
 )
),
prs!$A$30:$D$36,
4,
FALSE
)
,"""")"),"")</f>
        <v/>
      </c>
      <c r="AB42" s="41"/>
      <c r="AC42" s="32"/>
    </row>
    <row r="43" ht="15.75" customHeight="1">
      <c r="A43" s="32"/>
      <c r="B43" s="35"/>
      <c r="C43" s="50"/>
      <c r="D43" s="50"/>
      <c r="E43" s="51"/>
      <c r="F43" s="41" t="str">
        <f>IFERROR(__xludf.DUMMYFUNCTION("IFERROR(
$E43/
VLOOKUP(
IF(
 REGEXMATCH($B43,""(?i)agachamento""),""Agachamento"",
 IF(
  REGEXMATCH($B43,""(?i)supino""),""Supino"",
  IF(
   REGEXMATCH($B43,""(?i)terra""),""Terra"",
   IF(
    REGEXMATCH($B43,""(?i)desenvolvimento""),""Desenvolvimento"&amp;""",
    IF(
     REGEXMATCH($B43,""(?i)remada""),""Remada"",
     IF(REGEXMATCH($B43,""(?i)arranco""),""Arranco"",IF(REGEXMATCH($B43,""(?i)arremesso""),""Arremesso"",""""))
    )
   )
  )
 )
),
prs!$A$30:$D$36,
4,
FALSE
)
,"""")"),"")</f>
        <v/>
      </c>
      <c r="G43" s="41"/>
      <c r="H43" s="44"/>
      <c r="I43" s="35"/>
      <c r="J43" s="50"/>
      <c r="K43" s="50"/>
      <c r="L43" s="51"/>
      <c r="M43" s="41" t="str">
        <f>IFERROR(__xludf.DUMMYFUNCTION("IFERROR(
$L43/
VLOOKUP(
IF(
 REGEXMATCH($I43,""(?i)agachamento""),""Agachamento"",
 IF(
  REGEXMATCH($I43,""(?i)supino""),""Supino"",
  IF(
   REGEXMATCH($I43,""(?i)terra""),""Terra"",
   IF(
    REGEXMATCH($I43,""(?i)desenvolvimento""),""Desenvolvimento"&amp;""",
    IF(
     REGEXMATCH($I43,""(?i)remada""),""Remada"",
     IF(REGEXMATCH($I43,""(?i)arranco""),""Arranco"",IF(REGEXMATCH($I43,""(?i)arremesso""),""Arremesso"",""""))
    )
   )
  )
 )
),
prs!$A$30:$D$36,
4,
FALSE
)
,"""")"),"")</f>
        <v/>
      </c>
      <c r="N43" s="41"/>
      <c r="O43" s="47"/>
      <c r="P43" s="35"/>
      <c r="Q43" s="50"/>
      <c r="R43" s="50"/>
      <c r="S43" s="51"/>
      <c r="T43" s="41" t="str">
        <f>IFERROR(__xludf.DUMMYFUNCTION("IFERROR(
$S43/
VLOOKUP(
IF(
 REGEXMATCH($P43,""(?i)agachamento""),""Agachamento"",
 IF(
  REGEXMATCH($P43,""(?i)supino""),""Supino"",
  IF(
   REGEXMATCH($P43,""(?i)terra""),""Terra"",
   IF(
    REGEXMATCH($P43,""(?i)desenvolvimento""),""Desenvolvimento"&amp;""",
    IF(
     REGEXMATCH($P43,""(?i)remada""),""Remada"",
     IF(REGEXMATCH($P43,""(?i)arranco""),""Arranco"",IF(REGEXMATCH($P43,""(?i)arremesso""),""Arremesso"",""""))
    )
   )
  )
 )
),
prs!$A$30:$D$36,
4,
FALSE
)
,"""")"),"")</f>
        <v/>
      </c>
      <c r="U43" s="41"/>
      <c r="V43" s="47"/>
      <c r="W43" s="35"/>
      <c r="X43" s="50"/>
      <c r="Y43" s="50"/>
      <c r="Z43" s="51"/>
      <c r="AA43" s="41" t="str">
        <f>IFERROR(__xludf.DUMMYFUNCTION("IFERROR(
$Z43/
VLOOKUP(
IF(
 REGEXMATCH($W43,""(?i)agachamento""),""Agachamento"",
 IF(
  REGEXMATCH($W43,""(?i)supino""),""Supino"",
  IF(
   REGEXMATCH($W43,""(?i)terra""),""Terra"",
   IF(
    REGEXMATCH($W43,""(?i)desenvolvimento""),""Desenvolvimento"&amp;""",
    IF(
     REGEXMATCH($W43,""(?i)remada""),""Remada"",
     IF(REGEXMATCH($W43,""(?i)arranco""),""Arranco"",IF(REGEXMATCH($W43,""(?i)arremesso""),""Arremesso"",""""))
    )
   )
  )
 )
),
prs!$A$30:$D$36,
4,
FALSE
)
,"""")"),"")</f>
        <v/>
      </c>
      <c r="AB43" s="41"/>
      <c r="AC43" s="32"/>
    </row>
    <row r="44" ht="15.75" customHeight="1">
      <c r="A44" s="32"/>
      <c r="B44" s="35"/>
      <c r="C44" s="50"/>
      <c r="D44" s="50"/>
      <c r="E44" s="51"/>
      <c r="F44" s="41" t="str">
        <f>IFERROR(__xludf.DUMMYFUNCTION("IFERROR(
$E44/
VLOOKUP(
IF(
 REGEXMATCH($B44,""(?i)agachamento""),""Agachamento"",
 IF(
  REGEXMATCH($B44,""(?i)supino""),""Supino"",
  IF(
   REGEXMATCH($B44,""(?i)terra""),""Terra"",
   IF(
    REGEXMATCH($B44,""(?i)desenvolvimento""),""Desenvolvimento"&amp;""",
    IF(
     REGEXMATCH($B44,""(?i)remada""),""Remada"",
     IF(REGEXMATCH($B44,""(?i)arranco""),""Arranco"",IF(REGEXMATCH($B44,""(?i)arremesso""),""Arremesso"",""""))
    )
   )
  )
 )
),
prs!$A$30:$D$36,
4,
FALSE
)
,"""")"),"")</f>
        <v/>
      </c>
      <c r="G44" s="41"/>
      <c r="H44" s="44"/>
      <c r="I44" s="35"/>
      <c r="J44" s="50"/>
      <c r="K44" s="50"/>
      <c r="L44" s="51"/>
      <c r="M44" s="41" t="str">
        <f>IFERROR(__xludf.DUMMYFUNCTION("IFERROR(
$L44/
VLOOKUP(
IF(
 REGEXMATCH($I44,""(?i)agachamento""),""Agachamento"",
 IF(
  REGEXMATCH($I44,""(?i)supino""),""Supino"",
  IF(
   REGEXMATCH($I44,""(?i)terra""),""Terra"",
   IF(
    REGEXMATCH($I44,""(?i)desenvolvimento""),""Desenvolvimento"&amp;""",
    IF(
     REGEXMATCH($I44,""(?i)remada""),""Remada"",
     IF(REGEXMATCH($I44,""(?i)arranco""),""Arranco"",IF(REGEXMATCH($I44,""(?i)arremesso""),""Arremesso"",""""))
    )
   )
  )
 )
),
prs!$A$30:$D$36,
4,
FALSE
)
,"""")"),"")</f>
        <v/>
      </c>
      <c r="N44" s="41"/>
      <c r="O44" s="47"/>
      <c r="P44" s="35"/>
      <c r="Q44" s="50"/>
      <c r="R44" s="50"/>
      <c r="S44" s="51"/>
      <c r="T44" s="41" t="str">
        <f>IFERROR(__xludf.DUMMYFUNCTION("IFERROR(
$S44/
VLOOKUP(
IF(
 REGEXMATCH($P44,""(?i)agachamento""),""Agachamento"",
 IF(
  REGEXMATCH($P44,""(?i)supino""),""Supino"",
  IF(
   REGEXMATCH($P44,""(?i)terra""),""Terra"",
   IF(
    REGEXMATCH($P44,""(?i)desenvolvimento""),""Desenvolvimento"&amp;""",
    IF(
     REGEXMATCH($P44,""(?i)remada""),""Remada"",
     IF(REGEXMATCH($P44,""(?i)arranco""),""Arranco"",IF(REGEXMATCH($P44,""(?i)arremesso""),""Arremesso"",""""))
    )
   )
  )
 )
),
prs!$A$30:$D$36,
4,
FALSE
)
,"""")"),"")</f>
        <v/>
      </c>
      <c r="U44" s="41"/>
      <c r="V44" s="47"/>
      <c r="W44" s="35"/>
      <c r="X44" s="50"/>
      <c r="Y44" s="50"/>
      <c r="Z44" s="51"/>
      <c r="AA44" s="41" t="str">
        <f>IFERROR(__xludf.DUMMYFUNCTION("IFERROR(
$Z44/
VLOOKUP(
IF(
 REGEXMATCH($W44,""(?i)agachamento""),""Agachamento"",
 IF(
  REGEXMATCH($W44,""(?i)supino""),""Supino"",
  IF(
   REGEXMATCH($W44,""(?i)terra""),""Terra"",
   IF(
    REGEXMATCH($W44,""(?i)desenvolvimento""),""Desenvolvimento"&amp;""",
    IF(
     REGEXMATCH($W44,""(?i)remada""),""Remada"",
     IF(REGEXMATCH($W44,""(?i)arranco""),""Arranco"",IF(REGEXMATCH($W44,""(?i)arremesso""),""Arremesso"",""""))
    )
   )
  )
 )
),
prs!$A$30:$D$36,
4,
FALSE
)
,"""")"),"")</f>
        <v/>
      </c>
      <c r="AB44" s="41"/>
      <c r="AC44" s="32"/>
    </row>
    <row r="45" ht="15.75" customHeight="1">
      <c r="A45" s="32"/>
      <c r="B45" s="35"/>
      <c r="C45" s="50"/>
      <c r="D45" s="50"/>
      <c r="E45" s="51"/>
      <c r="F45" s="41" t="str">
        <f>IFERROR(__xludf.DUMMYFUNCTION("IFERROR(
$E45/
VLOOKUP(
IF(
 REGEXMATCH($B45,""(?i)agachamento""),""Agachamento"",
 IF(
  REGEXMATCH($B45,""(?i)supino""),""Supino"",
  IF(
   REGEXMATCH($B45,""(?i)terra""),""Terra"",
   IF(
    REGEXMATCH($B45,""(?i)desenvolvimento""),""Desenvolvimento"&amp;""",
    IF(
     REGEXMATCH($B45,""(?i)remada""),""Remada"",
     IF(REGEXMATCH($B45,""(?i)arranco""),""Arranco"",IF(REGEXMATCH($B45,""(?i)arremesso""),""Arremesso"",""""))
    )
   )
  )
 )
),
prs!$A$30:$D$36,
4,
FALSE
)
,"""")"),"")</f>
        <v/>
      </c>
      <c r="G45" s="41"/>
      <c r="H45" s="44"/>
      <c r="I45" s="35"/>
      <c r="J45" s="50"/>
      <c r="K45" s="50"/>
      <c r="L45" s="51"/>
      <c r="M45" s="41" t="str">
        <f>IFERROR(__xludf.DUMMYFUNCTION("IFERROR(
$L45/
VLOOKUP(
IF(
 REGEXMATCH($I45,""(?i)agachamento""),""Agachamento"",
 IF(
  REGEXMATCH($I45,""(?i)supino""),""Supino"",
  IF(
   REGEXMATCH($I45,""(?i)terra""),""Terra"",
   IF(
    REGEXMATCH($I45,""(?i)desenvolvimento""),""Desenvolvimento"&amp;""",
    IF(
     REGEXMATCH($I45,""(?i)remada""),""Remada"",
     IF(REGEXMATCH($I45,""(?i)arranco""),""Arranco"",IF(REGEXMATCH($I45,""(?i)arremesso""),""Arremesso"",""""))
    )
   )
  )
 )
),
prs!$A$30:$D$36,
4,
FALSE
)
,"""")"),"")</f>
        <v/>
      </c>
      <c r="N45" s="41"/>
      <c r="O45" s="47"/>
      <c r="P45" s="35"/>
      <c r="Q45" s="50"/>
      <c r="R45" s="50"/>
      <c r="S45" s="51"/>
      <c r="T45" s="41" t="str">
        <f>IFERROR(__xludf.DUMMYFUNCTION("IFERROR(
$S45/
VLOOKUP(
IF(
 REGEXMATCH($P45,""(?i)agachamento""),""Agachamento"",
 IF(
  REGEXMATCH($P45,""(?i)supino""),""Supino"",
  IF(
   REGEXMATCH($P45,""(?i)terra""),""Terra"",
   IF(
    REGEXMATCH($P45,""(?i)desenvolvimento""),""Desenvolvimento"&amp;""",
    IF(
     REGEXMATCH($P45,""(?i)remada""),""Remada"",
     IF(REGEXMATCH($P45,""(?i)arranco""),""Arranco"",IF(REGEXMATCH($P45,""(?i)arremesso""),""Arremesso"",""""))
    )
   )
  )
 )
),
prs!$A$30:$D$36,
4,
FALSE
)
,"""")"),"")</f>
        <v/>
      </c>
      <c r="U45" s="41"/>
      <c r="V45" s="47"/>
      <c r="W45" s="35"/>
      <c r="X45" s="50"/>
      <c r="Y45" s="50"/>
      <c r="Z45" s="51"/>
      <c r="AA45" s="41" t="str">
        <f>IFERROR(__xludf.DUMMYFUNCTION("IFERROR(
$Z45/
VLOOKUP(
IF(
 REGEXMATCH($W45,""(?i)agachamento""),""Agachamento"",
 IF(
  REGEXMATCH($W45,""(?i)supino""),""Supino"",
  IF(
   REGEXMATCH($W45,""(?i)terra""),""Terra"",
   IF(
    REGEXMATCH($W45,""(?i)desenvolvimento""),""Desenvolvimento"&amp;""",
    IF(
     REGEXMATCH($W45,""(?i)remada""),""Remada"",
     IF(REGEXMATCH($W45,""(?i)arranco""),""Arranco"",IF(REGEXMATCH($W45,""(?i)arremesso""),""Arremesso"",""""))
    )
   )
  )
 )
),
prs!$A$30:$D$36,
4,
FALSE
)
,"""")"),"")</f>
        <v/>
      </c>
      <c r="AB45" s="41"/>
      <c r="AC45" s="32"/>
    </row>
    <row r="46" ht="15.75" customHeight="1">
      <c r="A46" s="33"/>
      <c r="B46" s="52"/>
      <c r="C46" s="37" t="s">
        <v>20</v>
      </c>
      <c r="H46" s="18"/>
      <c r="I46" s="52"/>
      <c r="J46" s="37" t="s">
        <v>23</v>
      </c>
      <c r="O46" s="18"/>
      <c r="P46" s="52"/>
      <c r="Q46" s="37" t="s">
        <v>24</v>
      </c>
      <c r="V46" s="18"/>
      <c r="W46" s="52"/>
      <c r="X46" s="37" t="s">
        <v>25</v>
      </c>
      <c r="AC46" s="18"/>
    </row>
    <row r="47" ht="15.75" customHeight="1">
      <c r="A47" s="44"/>
      <c r="B47" s="44"/>
      <c r="C47" s="44"/>
      <c r="D47" s="44"/>
      <c r="H47" s="44"/>
      <c r="I47" s="44"/>
      <c r="J47" s="44"/>
      <c r="K47" s="44"/>
      <c r="O47" s="44"/>
      <c r="P47" s="44"/>
      <c r="Q47" s="44"/>
      <c r="R47" s="44"/>
      <c r="V47" s="44"/>
      <c r="W47" s="44"/>
      <c r="X47" s="44"/>
      <c r="Y47" s="44"/>
      <c r="AC47" s="44"/>
    </row>
    <row r="48" ht="15.75" customHeight="1">
      <c r="A48" s="12"/>
      <c r="B48" s="12"/>
      <c r="C48" s="12"/>
      <c r="D48" s="12"/>
      <c r="E48" s="12"/>
      <c r="F48" s="12"/>
      <c r="G48" s="12"/>
      <c r="H48" s="12"/>
      <c r="I48" s="12"/>
      <c r="J48" s="12"/>
      <c r="K48" s="12"/>
      <c r="L48" s="12"/>
      <c r="M48" s="12"/>
      <c r="N48" s="12"/>
      <c r="O48" s="12"/>
      <c r="P48" s="12"/>
      <c r="Q48" s="12"/>
      <c r="R48" s="12"/>
      <c r="S48" s="12"/>
      <c r="T48" s="12"/>
      <c r="U48" s="12"/>
      <c r="V48" s="12"/>
      <c r="W48" s="12"/>
      <c r="X48" s="12"/>
      <c r="Y48" s="12"/>
      <c r="Z48" s="12"/>
      <c r="AA48" s="12"/>
      <c r="AB48" s="12"/>
      <c r="AC48" s="12"/>
    </row>
    <row r="49" ht="15.75" customHeight="1">
      <c r="A49" s="12"/>
      <c r="B49" s="12"/>
      <c r="C49" s="12"/>
      <c r="D49" s="12"/>
      <c r="E49" s="12"/>
      <c r="F49" s="12"/>
      <c r="G49" s="12"/>
      <c r="H49" s="12"/>
      <c r="I49" s="12"/>
      <c r="J49" s="12"/>
      <c r="K49" s="12"/>
      <c r="L49" s="12"/>
      <c r="M49" s="12"/>
      <c r="N49" s="12"/>
      <c r="O49" s="12"/>
      <c r="P49" s="12"/>
      <c r="Q49" s="12"/>
      <c r="R49" s="12"/>
      <c r="S49" s="12"/>
      <c r="T49" s="12"/>
      <c r="U49" s="12"/>
      <c r="V49" s="12"/>
      <c r="W49" s="12"/>
      <c r="X49" s="12"/>
      <c r="Y49" s="12"/>
      <c r="Z49" s="12"/>
      <c r="AA49" s="12"/>
      <c r="AB49" s="12"/>
      <c r="AC49" s="12"/>
    </row>
    <row r="50" ht="15.75" customHeight="1">
      <c r="A50" s="12"/>
      <c r="B50" s="12"/>
      <c r="C50" s="12"/>
      <c r="D50" s="12"/>
      <c r="E50" s="12"/>
      <c r="F50" s="12"/>
      <c r="G50" s="12"/>
      <c r="H50" s="12"/>
      <c r="I50" s="12"/>
      <c r="J50" s="12"/>
      <c r="K50" s="12"/>
      <c r="L50" s="12"/>
      <c r="M50" s="12"/>
      <c r="N50" s="12"/>
      <c r="O50" s="12"/>
      <c r="P50" s="12"/>
      <c r="Q50" s="12"/>
      <c r="R50" s="12"/>
      <c r="S50" s="12"/>
      <c r="T50" s="12"/>
      <c r="U50" s="12"/>
      <c r="V50" s="12"/>
      <c r="W50" s="12"/>
      <c r="X50" s="12"/>
      <c r="Y50" s="12"/>
      <c r="Z50" s="12"/>
      <c r="AA50" s="12"/>
      <c r="AB50" s="12"/>
      <c r="AC50" s="12"/>
    </row>
    <row r="51" ht="15.75" customHeight="1">
      <c r="A51" s="12"/>
      <c r="B51" s="12"/>
      <c r="C51" s="12"/>
      <c r="D51" s="12"/>
      <c r="E51" s="12"/>
      <c r="F51" s="12"/>
      <c r="G51" s="12"/>
      <c r="H51" s="12"/>
      <c r="I51" s="12"/>
      <c r="J51" s="12"/>
      <c r="K51" s="12"/>
      <c r="L51" s="12"/>
      <c r="M51" s="12"/>
      <c r="N51" s="12"/>
      <c r="O51" s="12"/>
      <c r="P51" s="12"/>
      <c r="Q51" s="12"/>
      <c r="R51" s="12"/>
      <c r="S51" s="12"/>
      <c r="T51" s="12"/>
      <c r="U51" s="12"/>
      <c r="V51" s="12"/>
      <c r="W51" s="12"/>
      <c r="X51" s="12"/>
      <c r="Y51" s="12"/>
      <c r="Z51" s="12"/>
      <c r="AA51" s="12"/>
      <c r="AB51" s="12"/>
      <c r="AC51" s="12"/>
    </row>
    <row r="52" ht="15.75" customHeight="1">
      <c r="A52" s="12"/>
      <c r="B52" s="12"/>
      <c r="C52" s="12"/>
      <c r="D52" s="12"/>
      <c r="E52" s="12"/>
      <c r="F52" s="12"/>
      <c r="G52" s="12"/>
      <c r="H52" s="12"/>
      <c r="I52" s="12"/>
      <c r="J52" s="12"/>
      <c r="K52" s="12"/>
      <c r="L52" s="12"/>
      <c r="M52" s="12"/>
      <c r="N52" s="12"/>
      <c r="O52" s="12"/>
      <c r="P52" s="12"/>
      <c r="Q52" s="12"/>
      <c r="R52" s="12"/>
      <c r="S52" s="12"/>
      <c r="T52" s="12"/>
      <c r="U52" s="12"/>
      <c r="V52" s="12"/>
      <c r="W52" s="12"/>
      <c r="X52" s="12"/>
      <c r="Y52" s="12"/>
      <c r="Z52" s="12"/>
      <c r="AA52" s="12"/>
      <c r="AB52" s="12"/>
      <c r="AC52" s="12"/>
    </row>
    <row r="53" ht="15.75" customHeight="1">
      <c r="A53" s="12"/>
      <c r="B53" s="12"/>
      <c r="C53" s="12"/>
      <c r="D53" s="12"/>
      <c r="E53" s="12"/>
      <c r="F53" s="12"/>
      <c r="G53" s="12"/>
      <c r="H53" s="12"/>
      <c r="I53" s="12"/>
      <c r="J53" s="12"/>
      <c r="K53" s="12"/>
      <c r="L53" s="12"/>
      <c r="M53" s="12"/>
      <c r="N53" s="12"/>
      <c r="O53" s="12"/>
      <c r="P53" s="12"/>
      <c r="Q53" s="12"/>
      <c r="R53" s="12"/>
      <c r="S53" s="12"/>
      <c r="T53" s="12"/>
      <c r="U53" s="12"/>
      <c r="V53" s="12"/>
      <c r="W53" s="12"/>
      <c r="X53" s="12"/>
      <c r="Y53" s="12"/>
      <c r="Z53" s="12"/>
      <c r="AA53" s="12"/>
      <c r="AB53" s="12"/>
      <c r="AC53" s="12"/>
    </row>
    <row r="54" ht="15.75" customHeight="1">
      <c r="A54" s="12"/>
      <c r="B54" s="12"/>
      <c r="C54" s="12"/>
      <c r="D54" s="12"/>
      <c r="E54" s="12"/>
      <c r="F54" s="12"/>
      <c r="G54" s="12"/>
      <c r="H54" s="12"/>
      <c r="I54" s="12"/>
      <c r="J54" s="12"/>
      <c r="K54" s="12"/>
      <c r="L54" s="12"/>
      <c r="M54" s="12"/>
      <c r="N54" s="12"/>
      <c r="O54" s="12"/>
      <c r="P54" s="12"/>
      <c r="Q54" s="12"/>
      <c r="R54" s="12"/>
      <c r="S54" s="12"/>
      <c r="T54" s="12"/>
      <c r="U54" s="12"/>
      <c r="V54" s="12"/>
      <c r="W54" s="12"/>
      <c r="X54" s="12"/>
      <c r="Y54" s="12"/>
      <c r="Z54" s="12"/>
      <c r="AA54" s="12"/>
      <c r="AB54" s="12"/>
      <c r="AC54" s="12"/>
    </row>
    <row r="55" ht="15.75" customHeight="1">
      <c r="A55" s="12"/>
      <c r="B55" s="12"/>
      <c r="C55" s="12"/>
      <c r="D55" s="12"/>
      <c r="E55" s="12"/>
      <c r="F55" s="12"/>
      <c r="G55" s="12"/>
      <c r="H55" s="12"/>
      <c r="I55" s="12"/>
      <c r="J55" s="12"/>
      <c r="K55" s="12"/>
      <c r="L55" s="12"/>
      <c r="M55" s="12"/>
      <c r="N55" s="12"/>
      <c r="O55" s="12"/>
      <c r="P55" s="12"/>
      <c r="Q55" s="12"/>
      <c r="R55" s="12"/>
      <c r="S55" s="12"/>
      <c r="T55" s="12"/>
      <c r="U55" s="12"/>
      <c r="V55" s="12"/>
      <c r="W55" s="12"/>
      <c r="X55" s="12"/>
      <c r="Y55" s="12"/>
      <c r="Z55" s="12"/>
      <c r="AA55" s="12"/>
      <c r="AB55" s="12"/>
      <c r="AC55" s="12"/>
    </row>
    <row r="56" ht="15.75" customHeight="1">
      <c r="A56" s="12"/>
      <c r="B56" s="12"/>
      <c r="C56" s="12"/>
      <c r="D56" s="12"/>
      <c r="E56" s="12"/>
      <c r="F56" s="12"/>
      <c r="G56" s="12"/>
      <c r="H56" s="12"/>
      <c r="I56" s="12"/>
      <c r="J56" s="12"/>
      <c r="K56" s="12"/>
      <c r="L56" s="12"/>
      <c r="M56" s="12"/>
      <c r="N56" s="12"/>
      <c r="O56" s="12"/>
      <c r="P56" s="12"/>
      <c r="Q56" s="12"/>
      <c r="R56" s="12"/>
      <c r="S56" s="12"/>
      <c r="T56" s="12"/>
      <c r="U56" s="12"/>
      <c r="V56" s="12"/>
      <c r="W56" s="12"/>
      <c r="X56" s="12"/>
      <c r="Y56" s="12"/>
      <c r="Z56" s="12"/>
      <c r="AA56" s="12"/>
      <c r="AB56" s="12"/>
      <c r="AC56" s="12"/>
    </row>
    <row r="57" ht="15.75" customHeight="1">
      <c r="A57" s="12"/>
      <c r="B57" s="12"/>
      <c r="C57" s="12"/>
      <c r="D57" s="12"/>
      <c r="E57" s="12"/>
      <c r="F57" s="12"/>
      <c r="G57" s="12"/>
      <c r="H57" s="12"/>
      <c r="I57" s="12"/>
      <c r="J57" s="12"/>
      <c r="K57" s="12"/>
      <c r="L57" s="12"/>
      <c r="M57" s="12"/>
      <c r="N57" s="12"/>
      <c r="O57" s="12"/>
      <c r="P57" s="12"/>
      <c r="Q57" s="12"/>
      <c r="R57" s="12"/>
      <c r="S57" s="12"/>
      <c r="T57" s="12"/>
      <c r="U57" s="12"/>
      <c r="V57" s="12"/>
      <c r="W57" s="12"/>
      <c r="X57" s="12"/>
      <c r="Y57" s="12"/>
      <c r="Z57" s="12"/>
      <c r="AA57" s="12"/>
      <c r="AB57" s="12"/>
      <c r="AC57" s="12"/>
    </row>
    <row r="58" ht="15.75" customHeight="1">
      <c r="A58" s="12"/>
      <c r="B58" s="12"/>
      <c r="C58" s="12"/>
      <c r="D58" s="12"/>
      <c r="E58" s="12"/>
      <c r="F58" s="12"/>
      <c r="G58" s="12"/>
      <c r="H58" s="12"/>
      <c r="I58" s="12"/>
      <c r="J58" s="12"/>
      <c r="K58" s="12"/>
      <c r="L58" s="12"/>
      <c r="M58" s="12"/>
      <c r="N58" s="12"/>
      <c r="O58" s="12"/>
      <c r="P58" s="12"/>
      <c r="Q58" s="12"/>
      <c r="R58" s="12"/>
      <c r="S58" s="12"/>
      <c r="T58" s="12"/>
      <c r="U58" s="12"/>
      <c r="V58" s="12"/>
      <c r="W58" s="12"/>
      <c r="X58" s="12"/>
      <c r="Y58" s="12"/>
      <c r="Z58" s="12"/>
      <c r="AA58" s="12"/>
      <c r="AB58" s="12"/>
      <c r="AC58" s="12"/>
    </row>
    <row r="59" ht="15.75" customHeight="1">
      <c r="A59" s="12"/>
      <c r="B59" s="12"/>
      <c r="C59" s="12"/>
      <c r="D59" s="12"/>
      <c r="E59" s="12"/>
      <c r="F59" s="12"/>
      <c r="G59" s="12"/>
      <c r="H59" s="12"/>
      <c r="I59" s="12"/>
      <c r="J59" s="12"/>
      <c r="K59" s="12"/>
      <c r="L59" s="12"/>
      <c r="M59" s="12"/>
      <c r="N59" s="12"/>
      <c r="O59" s="12"/>
      <c r="P59" s="12"/>
      <c r="Q59" s="12"/>
      <c r="R59" s="12"/>
      <c r="S59" s="12"/>
      <c r="T59" s="12"/>
      <c r="U59" s="12"/>
      <c r="V59" s="12"/>
      <c r="W59" s="12"/>
      <c r="X59" s="12"/>
      <c r="Y59" s="12"/>
      <c r="Z59" s="12"/>
      <c r="AA59" s="12"/>
      <c r="AB59" s="12"/>
      <c r="AC59" s="12"/>
    </row>
    <row r="60" ht="15.75" customHeight="1">
      <c r="A60" s="12"/>
      <c r="B60" s="12"/>
      <c r="C60" s="12"/>
      <c r="D60" s="12"/>
      <c r="E60" s="12"/>
      <c r="F60" s="12"/>
      <c r="G60" s="12"/>
      <c r="H60" s="12"/>
      <c r="I60" s="12"/>
      <c r="J60" s="12"/>
      <c r="K60" s="12"/>
      <c r="L60" s="12"/>
      <c r="M60" s="12"/>
      <c r="N60" s="12"/>
      <c r="O60" s="12"/>
      <c r="P60" s="12"/>
      <c r="Q60" s="12"/>
      <c r="R60" s="12"/>
      <c r="S60" s="12"/>
      <c r="T60" s="12"/>
      <c r="U60" s="12"/>
      <c r="V60" s="12"/>
      <c r="W60" s="12"/>
      <c r="X60" s="12"/>
      <c r="Y60" s="12"/>
      <c r="Z60" s="12"/>
      <c r="AA60" s="12"/>
      <c r="AB60" s="12"/>
      <c r="AC60" s="12"/>
    </row>
    <row r="61" ht="15.75" customHeight="1">
      <c r="A61" s="12"/>
      <c r="B61" s="12"/>
      <c r="C61" s="12"/>
      <c r="D61" s="12"/>
      <c r="E61" s="12"/>
      <c r="F61" s="12"/>
      <c r="G61" s="12"/>
      <c r="H61" s="12"/>
      <c r="I61" s="12"/>
      <c r="J61" s="12"/>
      <c r="K61" s="12"/>
      <c r="L61" s="12"/>
      <c r="M61" s="12"/>
      <c r="N61" s="12"/>
      <c r="O61" s="12"/>
      <c r="P61" s="12"/>
      <c r="Q61" s="12"/>
      <c r="R61" s="12"/>
      <c r="S61" s="12"/>
      <c r="T61" s="12"/>
      <c r="U61" s="12"/>
      <c r="V61" s="12"/>
      <c r="W61" s="12"/>
      <c r="X61" s="12"/>
      <c r="Y61" s="12"/>
      <c r="Z61" s="12"/>
      <c r="AA61" s="12"/>
      <c r="AB61" s="12"/>
      <c r="AC61" s="12"/>
    </row>
    <row r="62" ht="15.75" customHeight="1">
      <c r="A62" s="12"/>
      <c r="B62" s="12"/>
      <c r="C62" s="12"/>
      <c r="D62" s="12"/>
      <c r="E62" s="12"/>
      <c r="F62" s="12"/>
      <c r="G62" s="12"/>
      <c r="H62" s="12"/>
      <c r="I62" s="12"/>
      <c r="J62" s="12"/>
      <c r="K62" s="12"/>
      <c r="L62" s="12"/>
      <c r="M62" s="12"/>
      <c r="N62" s="12"/>
      <c r="O62" s="12"/>
      <c r="P62" s="12"/>
      <c r="Q62" s="12"/>
      <c r="R62" s="12"/>
      <c r="S62" s="12"/>
      <c r="T62" s="12"/>
      <c r="U62" s="12"/>
      <c r="V62" s="12"/>
      <c r="W62" s="12"/>
      <c r="X62" s="12"/>
      <c r="Y62" s="12"/>
      <c r="Z62" s="12"/>
      <c r="AA62" s="12"/>
      <c r="AB62" s="12"/>
      <c r="AC62" s="12"/>
    </row>
    <row r="63" ht="15.75" customHeight="1">
      <c r="A63" s="12"/>
      <c r="B63" s="12"/>
      <c r="C63" s="12"/>
      <c r="D63" s="12"/>
      <c r="E63" s="12"/>
      <c r="F63" s="12"/>
      <c r="G63" s="12"/>
      <c r="H63" s="12"/>
      <c r="I63" s="12"/>
      <c r="J63" s="12"/>
      <c r="K63" s="12"/>
      <c r="L63" s="12"/>
      <c r="M63" s="12"/>
      <c r="N63" s="12"/>
      <c r="O63" s="12"/>
      <c r="P63" s="12"/>
      <c r="Q63" s="12"/>
      <c r="R63" s="12"/>
      <c r="S63" s="12"/>
      <c r="T63" s="12"/>
      <c r="U63" s="12"/>
      <c r="V63" s="12"/>
      <c r="W63" s="12"/>
      <c r="X63" s="12"/>
      <c r="Y63" s="12"/>
      <c r="Z63" s="12"/>
      <c r="AA63" s="12"/>
      <c r="AB63" s="12"/>
      <c r="AC63" s="12"/>
    </row>
    <row r="64" ht="15.75" customHeight="1">
      <c r="A64" s="12"/>
      <c r="B64" s="12"/>
      <c r="C64" s="12"/>
      <c r="D64" s="12"/>
      <c r="E64" s="12"/>
      <c r="F64" s="12"/>
      <c r="G64" s="12"/>
      <c r="H64" s="12"/>
      <c r="I64" s="12"/>
      <c r="J64" s="12"/>
      <c r="K64" s="12"/>
      <c r="L64" s="12"/>
      <c r="M64" s="12"/>
      <c r="N64" s="12"/>
      <c r="O64" s="12"/>
      <c r="P64" s="12"/>
      <c r="Q64" s="12"/>
      <c r="R64" s="12"/>
      <c r="S64" s="12"/>
      <c r="T64" s="12"/>
      <c r="U64" s="12"/>
      <c r="V64" s="12"/>
      <c r="W64" s="12"/>
      <c r="X64" s="12"/>
      <c r="Y64" s="12"/>
      <c r="Z64" s="12"/>
      <c r="AA64" s="12"/>
      <c r="AB64" s="12"/>
      <c r="AC64" s="12"/>
    </row>
    <row r="65" ht="15.75" customHeight="1">
      <c r="A65" s="12"/>
      <c r="B65" s="12"/>
      <c r="C65" s="12"/>
      <c r="D65" s="12"/>
      <c r="E65" s="12"/>
      <c r="F65" s="12"/>
      <c r="G65" s="12"/>
      <c r="H65" s="12"/>
      <c r="I65" s="12"/>
      <c r="J65" s="12"/>
      <c r="K65" s="12"/>
      <c r="L65" s="12"/>
      <c r="M65" s="12"/>
      <c r="N65" s="12"/>
      <c r="O65" s="12"/>
      <c r="P65" s="12"/>
      <c r="Q65" s="12"/>
      <c r="R65" s="12"/>
      <c r="S65" s="12"/>
      <c r="T65" s="12"/>
      <c r="U65" s="12"/>
      <c r="V65" s="12"/>
      <c r="W65" s="12"/>
      <c r="X65" s="12"/>
      <c r="Y65" s="12"/>
      <c r="Z65" s="12"/>
      <c r="AA65" s="12"/>
      <c r="AB65" s="12"/>
      <c r="AC65" s="12"/>
    </row>
    <row r="66" ht="15.75" customHeight="1">
      <c r="A66" s="12"/>
      <c r="B66" s="12"/>
      <c r="C66" s="12"/>
      <c r="D66" s="12"/>
      <c r="E66" s="12"/>
      <c r="F66" s="12"/>
      <c r="G66" s="12"/>
      <c r="H66" s="12"/>
      <c r="I66" s="12"/>
      <c r="J66" s="12"/>
      <c r="K66" s="12"/>
      <c r="L66" s="12"/>
      <c r="M66" s="12"/>
      <c r="N66" s="12"/>
      <c r="O66" s="12"/>
      <c r="P66" s="12"/>
      <c r="Q66" s="12"/>
      <c r="R66" s="12"/>
      <c r="S66" s="12"/>
      <c r="T66" s="12"/>
      <c r="U66" s="12"/>
      <c r="V66" s="12"/>
      <c r="W66" s="12"/>
      <c r="X66" s="12"/>
      <c r="Y66" s="12"/>
      <c r="Z66" s="12"/>
      <c r="AA66" s="12"/>
      <c r="AB66" s="12"/>
      <c r="AC66" s="12"/>
    </row>
    <row r="67" ht="15.75" customHeight="1">
      <c r="A67" s="12"/>
      <c r="B67" s="12"/>
      <c r="C67" s="12"/>
      <c r="D67" s="12"/>
      <c r="E67" s="12"/>
      <c r="F67" s="12"/>
      <c r="G67" s="12"/>
      <c r="H67" s="12"/>
      <c r="I67" s="12"/>
      <c r="J67" s="12"/>
      <c r="K67" s="12"/>
      <c r="L67" s="12"/>
      <c r="M67" s="12"/>
      <c r="N67" s="12"/>
      <c r="O67" s="12"/>
      <c r="P67" s="12"/>
      <c r="Q67" s="12"/>
      <c r="R67" s="12"/>
      <c r="S67" s="12"/>
      <c r="T67" s="12"/>
      <c r="U67" s="12"/>
      <c r="V67" s="12"/>
      <c r="W67" s="12"/>
      <c r="X67" s="12"/>
      <c r="Y67" s="12"/>
      <c r="Z67" s="12"/>
      <c r="AA67" s="12"/>
      <c r="AB67" s="12"/>
      <c r="AC67" s="12"/>
    </row>
    <row r="68" ht="15.75" customHeight="1">
      <c r="A68" s="12"/>
      <c r="B68" s="12"/>
      <c r="C68" s="12"/>
      <c r="D68" s="12"/>
      <c r="E68" s="12"/>
      <c r="F68" s="12"/>
      <c r="G68" s="12"/>
      <c r="H68" s="12"/>
      <c r="I68" s="12"/>
      <c r="J68" s="12"/>
      <c r="K68" s="12"/>
      <c r="L68" s="12"/>
      <c r="M68" s="12"/>
      <c r="N68" s="12"/>
      <c r="O68" s="12"/>
      <c r="P68" s="12"/>
      <c r="Q68" s="12"/>
      <c r="R68" s="12"/>
      <c r="S68" s="12"/>
      <c r="T68" s="12"/>
      <c r="U68" s="12"/>
      <c r="V68" s="12"/>
      <c r="W68" s="12"/>
      <c r="X68" s="12"/>
      <c r="Y68" s="12"/>
      <c r="Z68" s="12"/>
      <c r="AA68" s="12"/>
      <c r="AB68" s="12"/>
      <c r="AC68" s="12"/>
    </row>
    <row r="69" ht="15.75" customHeight="1">
      <c r="A69" s="12"/>
      <c r="B69" s="12"/>
      <c r="C69" s="12"/>
      <c r="D69" s="12"/>
      <c r="E69" s="12"/>
      <c r="F69" s="12"/>
      <c r="G69" s="12"/>
      <c r="H69" s="12"/>
      <c r="I69" s="12"/>
      <c r="J69" s="12"/>
      <c r="K69" s="12"/>
      <c r="L69" s="12"/>
      <c r="M69" s="12"/>
      <c r="N69" s="12"/>
      <c r="O69" s="12"/>
      <c r="P69" s="12"/>
      <c r="Q69" s="12"/>
      <c r="R69" s="12"/>
      <c r="S69" s="12"/>
      <c r="T69" s="12"/>
      <c r="U69" s="12"/>
      <c r="V69" s="12"/>
      <c r="W69" s="12"/>
      <c r="X69" s="12"/>
      <c r="Y69" s="12"/>
      <c r="Z69" s="12"/>
      <c r="AA69" s="12"/>
      <c r="AB69" s="12"/>
      <c r="AC69" s="12"/>
    </row>
    <row r="70" ht="15.75" customHeight="1">
      <c r="A70" s="12"/>
      <c r="B70" s="12"/>
      <c r="C70" s="12"/>
      <c r="D70" s="12"/>
      <c r="E70" s="12"/>
      <c r="F70" s="12"/>
      <c r="G70" s="12"/>
      <c r="H70" s="12"/>
      <c r="I70" s="12"/>
      <c r="J70" s="12"/>
      <c r="K70" s="12"/>
      <c r="L70" s="12"/>
      <c r="M70" s="12"/>
      <c r="N70" s="12"/>
      <c r="O70" s="12"/>
      <c r="P70" s="12"/>
      <c r="Q70" s="12"/>
      <c r="R70" s="12"/>
      <c r="S70" s="12"/>
      <c r="T70" s="12"/>
      <c r="U70" s="12"/>
      <c r="V70" s="12"/>
      <c r="W70" s="12"/>
      <c r="X70" s="12"/>
      <c r="Y70" s="12"/>
      <c r="Z70" s="12"/>
      <c r="AA70" s="12"/>
      <c r="AB70" s="12"/>
      <c r="AC70" s="12"/>
    </row>
    <row r="71" ht="15.75" customHeight="1">
      <c r="A71" s="12"/>
      <c r="B71" s="12"/>
      <c r="C71" s="12"/>
      <c r="D71" s="12"/>
      <c r="E71" s="12"/>
      <c r="F71" s="12"/>
      <c r="G71" s="12"/>
      <c r="H71" s="12"/>
      <c r="I71" s="12"/>
      <c r="J71" s="12"/>
      <c r="K71" s="12"/>
      <c r="L71" s="12"/>
      <c r="M71" s="12"/>
      <c r="N71" s="12"/>
      <c r="O71" s="12"/>
      <c r="P71" s="12"/>
      <c r="Q71" s="12"/>
      <c r="R71" s="12"/>
      <c r="S71" s="12"/>
      <c r="T71" s="12"/>
      <c r="U71" s="12"/>
      <c r="V71" s="12"/>
      <c r="W71" s="12"/>
      <c r="X71" s="12"/>
      <c r="Y71" s="12"/>
      <c r="Z71" s="12"/>
      <c r="AA71" s="12"/>
      <c r="AB71" s="12"/>
      <c r="AC71" s="12"/>
    </row>
    <row r="72" ht="15.75" customHeight="1">
      <c r="A72" s="12"/>
      <c r="B72" s="12"/>
      <c r="C72" s="12"/>
      <c r="D72" s="12"/>
      <c r="E72" s="12"/>
      <c r="F72" s="12"/>
      <c r="G72" s="12"/>
      <c r="H72" s="12"/>
      <c r="I72" s="12"/>
      <c r="J72" s="12"/>
      <c r="K72" s="12"/>
      <c r="L72" s="12"/>
      <c r="M72" s="12"/>
      <c r="N72" s="12"/>
      <c r="O72" s="12"/>
      <c r="P72" s="12"/>
      <c r="Q72" s="12"/>
      <c r="R72" s="12"/>
      <c r="S72" s="12"/>
      <c r="T72" s="12"/>
      <c r="U72" s="12"/>
      <c r="V72" s="12"/>
      <c r="W72" s="12"/>
      <c r="X72" s="12"/>
      <c r="Y72" s="12"/>
      <c r="Z72" s="12"/>
      <c r="AA72" s="12"/>
      <c r="AB72" s="12"/>
      <c r="AC72" s="12"/>
    </row>
    <row r="73" ht="15.75" customHeight="1">
      <c r="A73" s="12"/>
      <c r="B73" s="12"/>
      <c r="C73" s="12"/>
      <c r="D73" s="12"/>
      <c r="E73" s="12"/>
      <c r="F73" s="12"/>
      <c r="G73" s="12"/>
      <c r="H73" s="12"/>
      <c r="I73" s="12"/>
      <c r="J73" s="12"/>
      <c r="K73" s="12"/>
      <c r="L73" s="12"/>
      <c r="M73" s="12"/>
      <c r="N73" s="12"/>
      <c r="O73" s="12"/>
      <c r="P73" s="12"/>
      <c r="Q73" s="12"/>
      <c r="R73" s="12"/>
      <c r="S73" s="12"/>
      <c r="T73" s="12"/>
      <c r="U73" s="12"/>
      <c r="V73" s="12"/>
      <c r="W73" s="12"/>
      <c r="X73" s="12"/>
      <c r="Y73" s="12"/>
      <c r="Z73" s="12"/>
      <c r="AA73" s="12"/>
      <c r="AB73" s="12"/>
      <c r="AC73" s="12"/>
    </row>
    <row r="74" ht="15.75" customHeight="1">
      <c r="A74" s="12"/>
      <c r="B74" s="12"/>
      <c r="C74" s="12"/>
      <c r="D74" s="12"/>
      <c r="E74" s="12"/>
      <c r="F74" s="12"/>
      <c r="G74" s="12"/>
      <c r="H74" s="12"/>
      <c r="I74" s="12"/>
      <c r="J74" s="12"/>
      <c r="K74" s="12"/>
      <c r="L74" s="12"/>
      <c r="M74" s="12"/>
      <c r="N74" s="12"/>
      <c r="O74" s="12"/>
      <c r="P74" s="12"/>
      <c r="Q74" s="12"/>
      <c r="R74" s="12"/>
      <c r="S74" s="12"/>
      <c r="T74" s="12"/>
      <c r="U74" s="12"/>
      <c r="V74" s="12"/>
      <c r="W74" s="12"/>
      <c r="X74" s="12"/>
      <c r="Y74" s="12"/>
      <c r="Z74" s="12"/>
      <c r="AA74" s="12"/>
      <c r="AB74" s="12"/>
      <c r="AC74" s="12"/>
    </row>
    <row r="75" ht="15.75" customHeight="1">
      <c r="A75" s="12"/>
      <c r="B75" s="12"/>
      <c r="C75" s="12"/>
      <c r="D75" s="12"/>
      <c r="E75" s="12"/>
      <c r="F75" s="12"/>
      <c r="G75" s="12"/>
      <c r="H75" s="12"/>
      <c r="I75" s="12"/>
      <c r="J75" s="12"/>
      <c r="K75" s="12"/>
      <c r="L75" s="12"/>
      <c r="M75" s="12"/>
      <c r="N75" s="12"/>
      <c r="O75" s="12"/>
      <c r="P75" s="12"/>
      <c r="Q75" s="12"/>
      <c r="R75" s="12"/>
      <c r="S75" s="12"/>
      <c r="T75" s="12"/>
      <c r="U75" s="12"/>
      <c r="V75" s="12"/>
      <c r="W75" s="12"/>
      <c r="X75" s="12"/>
      <c r="Y75" s="12"/>
      <c r="Z75" s="12"/>
      <c r="AA75" s="12"/>
      <c r="AB75" s="12"/>
      <c r="AC75" s="12"/>
    </row>
    <row r="76" ht="15.75" customHeight="1">
      <c r="A76" s="12"/>
      <c r="B76" s="12"/>
      <c r="C76" s="12"/>
      <c r="D76" s="12"/>
      <c r="E76" s="12"/>
      <c r="F76" s="12"/>
      <c r="G76" s="12"/>
      <c r="H76" s="12"/>
      <c r="I76" s="12"/>
      <c r="J76" s="12"/>
      <c r="K76" s="12"/>
      <c r="L76" s="12"/>
      <c r="M76" s="12"/>
      <c r="N76" s="12"/>
      <c r="O76" s="12"/>
      <c r="P76" s="12"/>
      <c r="Q76" s="12"/>
      <c r="R76" s="12"/>
      <c r="S76" s="12"/>
      <c r="T76" s="12"/>
      <c r="U76" s="12"/>
      <c r="V76" s="12"/>
      <c r="W76" s="12"/>
      <c r="X76" s="12"/>
      <c r="Y76" s="12"/>
      <c r="Z76" s="12"/>
      <c r="AA76" s="12"/>
      <c r="AB76" s="12"/>
      <c r="AC76" s="12"/>
    </row>
    <row r="77" ht="15.75" customHeight="1">
      <c r="A77" s="12"/>
      <c r="B77" s="12"/>
      <c r="C77" s="12"/>
      <c r="D77" s="12"/>
      <c r="E77" s="12"/>
      <c r="F77" s="12"/>
      <c r="G77" s="12"/>
      <c r="H77" s="12"/>
      <c r="I77" s="12"/>
      <c r="J77" s="12"/>
      <c r="K77" s="12"/>
      <c r="L77" s="12"/>
      <c r="M77" s="12"/>
      <c r="N77" s="12"/>
      <c r="O77" s="12"/>
      <c r="P77" s="12"/>
      <c r="Q77" s="12"/>
      <c r="R77" s="12"/>
      <c r="S77" s="12"/>
      <c r="T77" s="12"/>
      <c r="U77" s="12"/>
      <c r="V77" s="12"/>
      <c r="W77" s="12"/>
      <c r="X77" s="12"/>
      <c r="Y77" s="12"/>
      <c r="Z77" s="12"/>
      <c r="AA77" s="12"/>
      <c r="AB77" s="12"/>
      <c r="AC77" s="12"/>
    </row>
    <row r="78" ht="15.75" customHeight="1">
      <c r="A78" s="12"/>
      <c r="B78" s="12"/>
      <c r="C78" s="12"/>
      <c r="D78" s="12"/>
      <c r="E78" s="12"/>
      <c r="F78" s="12"/>
      <c r="G78" s="12"/>
      <c r="H78" s="12"/>
      <c r="I78" s="12"/>
      <c r="J78" s="12"/>
      <c r="K78" s="12"/>
      <c r="L78" s="12"/>
      <c r="M78" s="12"/>
      <c r="N78" s="12"/>
      <c r="O78" s="12"/>
      <c r="P78" s="12"/>
      <c r="Q78" s="12"/>
      <c r="R78" s="12"/>
      <c r="S78" s="12"/>
      <c r="T78" s="12"/>
      <c r="U78" s="12"/>
      <c r="V78" s="12"/>
      <c r="W78" s="12"/>
      <c r="X78" s="12"/>
      <c r="Y78" s="12"/>
      <c r="Z78" s="12"/>
      <c r="AA78" s="12"/>
      <c r="AB78" s="12"/>
      <c r="AC78" s="12"/>
    </row>
    <row r="79" ht="15.75" customHeight="1">
      <c r="A79" s="12"/>
      <c r="B79" s="12"/>
      <c r="C79" s="12"/>
      <c r="D79" s="12"/>
      <c r="E79" s="12"/>
      <c r="F79" s="12"/>
      <c r="G79" s="12"/>
      <c r="H79" s="12"/>
      <c r="I79" s="12"/>
      <c r="J79" s="12"/>
      <c r="K79" s="12"/>
      <c r="L79" s="12"/>
      <c r="M79" s="12"/>
      <c r="N79" s="12"/>
      <c r="O79" s="12"/>
      <c r="P79" s="12"/>
      <c r="Q79" s="12"/>
      <c r="R79" s="12"/>
      <c r="S79" s="12"/>
      <c r="T79" s="12"/>
      <c r="U79" s="12"/>
      <c r="V79" s="12"/>
      <c r="W79" s="12"/>
      <c r="X79" s="12"/>
      <c r="Y79" s="12"/>
      <c r="Z79" s="12"/>
      <c r="AA79" s="12"/>
      <c r="AB79" s="12"/>
      <c r="AC79" s="12"/>
    </row>
    <row r="80" ht="15.75" customHeight="1">
      <c r="A80" s="12"/>
      <c r="B80" s="12"/>
      <c r="C80" s="12"/>
      <c r="D80" s="12"/>
      <c r="E80" s="12"/>
      <c r="F80" s="12"/>
      <c r="G80" s="12"/>
      <c r="H80" s="12"/>
      <c r="I80" s="12"/>
      <c r="J80" s="12"/>
      <c r="K80" s="12"/>
      <c r="L80" s="12"/>
      <c r="M80" s="12"/>
      <c r="N80" s="12"/>
      <c r="O80" s="12"/>
      <c r="P80" s="12"/>
      <c r="Q80" s="12"/>
      <c r="R80" s="12"/>
      <c r="S80" s="12"/>
      <c r="T80" s="12"/>
      <c r="U80" s="12"/>
      <c r="V80" s="12"/>
      <c r="W80" s="12"/>
      <c r="X80" s="12"/>
      <c r="Y80" s="12"/>
      <c r="Z80" s="12"/>
      <c r="AA80" s="12"/>
      <c r="AB80" s="12"/>
      <c r="AC80" s="12"/>
    </row>
    <row r="81" ht="15.75" customHeight="1">
      <c r="A81" s="12"/>
      <c r="B81" s="12"/>
      <c r="C81" s="12"/>
      <c r="D81" s="12"/>
      <c r="E81" s="12"/>
      <c r="F81" s="12"/>
      <c r="G81" s="12"/>
      <c r="H81" s="12"/>
      <c r="I81" s="12"/>
      <c r="J81" s="12"/>
      <c r="K81" s="12"/>
      <c r="L81" s="12"/>
      <c r="M81" s="12"/>
      <c r="N81" s="12"/>
      <c r="O81" s="12"/>
      <c r="P81" s="12"/>
      <c r="Q81" s="12"/>
      <c r="R81" s="12"/>
      <c r="S81" s="12"/>
      <c r="T81" s="12"/>
      <c r="U81" s="12"/>
      <c r="V81" s="12"/>
      <c r="W81" s="12"/>
      <c r="X81" s="12"/>
      <c r="Y81" s="12"/>
      <c r="Z81" s="12"/>
      <c r="AA81" s="12"/>
      <c r="AB81" s="12"/>
      <c r="AC81" s="12"/>
    </row>
    <row r="82" ht="15.75" customHeight="1">
      <c r="A82" s="12"/>
      <c r="B82" s="12"/>
      <c r="C82" s="12"/>
      <c r="D82" s="12"/>
      <c r="E82" s="12"/>
      <c r="F82" s="12"/>
      <c r="G82" s="12"/>
      <c r="H82" s="12"/>
      <c r="I82" s="12"/>
      <c r="J82" s="12"/>
      <c r="K82" s="12"/>
      <c r="L82" s="12"/>
      <c r="M82" s="12"/>
      <c r="N82" s="12"/>
      <c r="O82" s="12"/>
      <c r="P82" s="12"/>
      <c r="Q82" s="12"/>
      <c r="R82" s="12"/>
      <c r="S82" s="12"/>
      <c r="T82" s="12"/>
      <c r="U82" s="12"/>
      <c r="V82" s="12"/>
      <c r="W82" s="12"/>
      <c r="X82" s="12"/>
      <c r="Y82" s="12"/>
      <c r="Z82" s="12"/>
      <c r="AA82" s="12"/>
      <c r="AB82" s="12"/>
      <c r="AC82" s="12"/>
    </row>
    <row r="83" ht="15.75" customHeight="1">
      <c r="A83" s="12"/>
      <c r="B83" s="12"/>
      <c r="C83" s="12"/>
      <c r="D83" s="12"/>
      <c r="E83" s="12"/>
      <c r="F83" s="12"/>
      <c r="G83" s="12"/>
      <c r="H83" s="12"/>
      <c r="I83" s="12"/>
      <c r="J83" s="12"/>
      <c r="K83" s="12"/>
      <c r="L83" s="12"/>
      <c r="M83" s="12"/>
      <c r="N83" s="12"/>
      <c r="O83" s="12"/>
      <c r="P83" s="12"/>
      <c r="Q83" s="12"/>
      <c r="R83" s="12"/>
      <c r="S83" s="12"/>
      <c r="T83" s="12"/>
      <c r="U83" s="12"/>
      <c r="V83" s="12"/>
      <c r="W83" s="12"/>
      <c r="X83" s="12"/>
      <c r="Y83" s="12"/>
      <c r="Z83" s="12"/>
      <c r="AA83" s="12"/>
      <c r="AB83" s="12"/>
      <c r="AC83" s="12"/>
    </row>
    <row r="84" ht="15.75" customHeight="1">
      <c r="A84" s="12"/>
      <c r="B84" s="12"/>
      <c r="C84" s="12"/>
      <c r="D84" s="12"/>
      <c r="E84" s="12"/>
      <c r="F84" s="12"/>
      <c r="G84" s="12"/>
      <c r="H84" s="12"/>
      <c r="I84" s="12"/>
      <c r="J84" s="12"/>
      <c r="K84" s="12"/>
      <c r="L84" s="12"/>
      <c r="M84" s="12"/>
      <c r="N84" s="12"/>
      <c r="O84" s="12"/>
      <c r="P84" s="12"/>
      <c r="Q84" s="12"/>
      <c r="R84" s="12"/>
      <c r="S84" s="12"/>
      <c r="T84" s="12"/>
      <c r="U84" s="12"/>
      <c r="V84" s="12"/>
      <c r="W84" s="12"/>
      <c r="X84" s="12"/>
      <c r="Y84" s="12"/>
      <c r="Z84" s="12"/>
      <c r="AA84" s="12"/>
      <c r="AB84" s="12"/>
      <c r="AC84" s="12"/>
    </row>
    <row r="85" ht="15.75" customHeight="1">
      <c r="A85" s="12"/>
      <c r="B85" s="12"/>
      <c r="C85" s="12"/>
      <c r="D85" s="12"/>
      <c r="E85" s="12"/>
      <c r="F85" s="12"/>
      <c r="G85" s="12"/>
      <c r="H85" s="12"/>
      <c r="I85" s="12"/>
      <c r="J85" s="12"/>
      <c r="K85" s="12"/>
      <c r="L85" s="12"/>
      <c r="M85" s="12"/>
      <c r="N85" s="12"/>
      <c r="O85" s="12"/>
      <c r="P85" s="12"/>
      <c r="Q85" s="12"/>
      <c r="R85" s="12"/>
      <c r="S85" s="12"/>
      <c r="T85" s="12"/>
      <c r="U85" s="12"/>
      <c r="V85" s="12"/>
      <c r="W85" s="12"/>
      <c r="X85" s="12"/>
      <c r="Y85" s="12"/>
      <c r="Z85" s="12"/>
      <c r="AA85" s="12"/>
      <c r="AB85" s="12"/>
      <c r="AC85" s="12"/>
    </row>
    <row r="86" ht="15.75" customHeight="1">
      <c r="A86" s="12"/>
      <c r="B86" s="12"/>
      <c r="C86" s="12"/>
      <c r="D86" s="12"/>
      <c r="E86" s="12"/>
      <c r="F86" s="12"/>
      <c r="G86" s="12"/>
      <c r="H86" s="12"/>
      <c r="I86" s="12"/>
      <c r="J86" s="12"/>
      <c r="K86" s="12"/>
      <c r="L86" s="12"/>
      <c r="M86" s="12"/>
      <c r="N86" s="12"/>
      <c r="O86" s="12"/>
      <c r="P86" s="12"/>
      <c r="Q86" s="12"/>
      <c r="R86" s="12"/>
      <c r="S86" s="12"/>
      <c r="T86" s="12"/>
      <c r="U86" s="12"/>
      <c r="V86" s="12"/>
      <c r="W86" s="12"/>
      <c r="X86" s="12"/>
      <c r="Y86" s="12"/>
      <c r="Z86" s="12"/>
      <c r="AA86" s="12"/>
      <c r="AB86" s="12"/>
      <c r="AC86" s="12"/>
    </row>
    <row r="87" ht="15.75" customHeight="1">
      <c r="A87" s="12"/>
      <c r="B87" s="12"/>
      <c r="C87" s="12"/>
      <c r="D87" s="12"/>
      <c r="E87" s="12"/>
      <c r="F87" s="12"/>
      <c r="G87" s="12"/>
      <c r="H87" s="12"/>
      <c r="I87" s="12"/>
      <c r="J87" s="12"/>
      <c r="K87" s="12"/>
      <c r="L87" s="12"/>
      <c r="M87" s="12"/>
      <c r="N87" s="12"/>
      <c r="O87" s="12"/>
      <c r="P87" s="12"/>
      <c r="Q87" s="12"/>
      <c r="R87" s="12"/>
      <c r="S87" s="12"/>
      <c r="T87" s="12"/>
      <c r="U87" s="12"/>
      <c r="V87" s="12"/>
      <c r="W87" s="12"/>
      <c r="X87" s="12"/>
      <c r="Y87" s="12"/>
      <c r="Z87" s="12"/>
      <c r="AA87" s="12"/>
      <c r="AB87" s="12"/>
      <c r="AC87" s="12"/>
    </row>
    <row r="88" ht="15.75" customHeight="1">
      <c r="A88" s="12"/>
      <c r="B88" s="12"/>
      <c r="C88" s="12"/>
      <c r="D88" s="12"/>
      <c r="E88" s="12"/>
      <c r="F88" s="12"/>
      <c r="G88" s="12"/>
      <c r="H88" s="12"/>
      <c r="I88" s="12"/>
      <c r="J88" s="12"/>
      <c r="K88" s="12"/>
      <c r="L88" s="12"/>
      <c r="M88" s="12"/>
      <c r="N88" s="12"/>
      <c r="O88" s="12"/>
      <c r="P88" s="12"/>
      <c r="Q88" s="12"/>
      <c r="R88" s="12"/>
      <c r="S88" s="12"/>
      <c r="T88" s="12"/>
      <c r="U88" s="12"/>
      <c r="V88" s="12"/>
      <c r="W88" s="12"/>
      <c r="X88" s="12"/>
      <c r="Y88" s="12"/>
      <c r="Z88" s="12"/>
      <c r="AA88" s="12"/>
      <c r="AB88" s="12"/>
      <c r="AC88" s="12"/>
    </row>
    <row r="89" ht="15.75" customHeight="1">
      <c r="A89" s="12"/>
      <c r="B89" s="12"/>
      <c r="C89" s="12"/>
      <c r="D89" s="12"/>
      <c r="E89" s="12"/>
      <c r="F89" s="12"/>
      <c r="G89" s="12"/>
      <c r="H89" s="12"/>
      <c r="I89" s="12"/>
      <c r="J89" s="12"/>
      <c r="K89" s="12"/>
      <c r="L89" s="12"/>
      <c r="M89" s="12"/>
      <c r="N89" s="12"/>
      <c r="O89" s="12"/>
      <c r="P89" s="12"/>
      <c r="Q89" s="12"/>
      <c r="R89" s="12"/>
      <c r="S89" s="12"/>
      <c r="T89" s="12"/>
      <c r="U89" s="12"/>
      <c r="V89" s="12"/>
      <c r="W89" s="12"/>
      <c r="X89" s="12"/>
      <c r="Y89" s="12"/>
      <c r="Z89" s="12"/>
      <c r="AA89" s="12"/>
      <c r="AB89" s="12"/>
      <c r="AC89" s="12"/>
    </row>
    <row r="90" ht="15.75" customHeight="1">
      <c r="A90" s="12"/>
      <c r="B90" s="12"/>
      <c r="C90" s="12"/>
      <c r="D90" s="12"/>
      <c r="E90" s="12"/>
      <c r="F90" s="12"/>
      <c r="G90" s="12"/>
      <c r="H90" s="12"/>
      <c r="I90" s="12"/>
      <c r="J90" s="12"/>
      <c r="K90" s="12"/>
      <c r="L90" s="12"/>
      <c r="M90" s="12"/>
      <c r="N90" s="12"/>
      <c r="O90" s="12"/>
      <c r="P90" s="12"/>
      <c r="Q90" s="12"/>
      <c r="R90" s="12"/>
      <c r="S90" s="12"/>
      <c r="T90" s="12"/>
      <c r="U90" s="12"/>
      <c r="V90" s="12"/>
      <c r="W90" s="12"/>
      <c r="X90" s="12"/>
      <c r="Y90" s="12"/>
      <c r="Z90" s="12"/>
      <c r="AA90" s="12"/>
      <c r="AB90" s="12"/>
      <c r="AC90" s="12"/>
    </row>
    <row r="91" ht="15.75" customHeight="1">
      <c r="A91" s="12"/>
      <c r="B91" s="12"/>
      <c r="C91" s="12"/>
      <c r="D91" s="12"/>
      <c r="E91" s="12"/>
      <c r="F91" s="12"/>
      <c r="G91" s="12"/>
      <c r="H91" s="12"/>
      <c r="I91" s="12"/>
      <c r="J91" s="12"/>
      <c r="K91" s="12"/>
      <c r="L91" s="12"/>
      <c r="M91" s="12"/>
      <c r="N91" s="12"/>
      <c r="O91" s="12"/>
      <c r="P91" s="12"/>
      <c r="Q91" s="12"/>
      <c r="R91" s="12"/>
      <c r="S91" s="12"/>
      <c r="T91" s="12"/>
      <c r="U91" s="12"/>
      <c r="V91" s="12"/>
      <c r="W91" s="12"/>
      <c r="X91" s="12"/>
      <c r="Y91" s="12"/>
      <c r="Z91" s="12"/>
      <c r="AA91" s="12"/>
      <c r="AB91" s="12"/>
      <c r="AC91" s="12"/>
    </row>
    <row r="92" ht="15.75" customHeight="1">
      <c r="A92" s="12"/>
      <c r="B92" s="12"/>
      <c r="C92" s="12"/>
      <c r="D92" s="12"/>
      <c r="E92" s="12"/>
      <c r="F92" s="12"/>
      <c r="G92" s="12"/>
      <c r="H92" s="12"/>
      <c r="I92" s="12"/>
      <c r="J92" s="12"/>
      <c r="K92" s="12"/>
      <c r="L92" s="12"/>
      <c r="M92" s="12"/>
      <c r="N92" s="12"/>
      <c r="O92" s="12"/>
      <c r="P92" s="12"/>
      <c r="Q92" s="12"/>
      <c r="R92" s="12"/>
      <c r="S92" s="12"/>
      <c r="T92" s="12"/>
      <c r="U92" s="12"/>
      <c r="V92" s="12"/>
      <c r="W92" s="12"/>
      <c r="X92" s="12"/>
      <c r="Y92" s="12"/>
      <c r="Z92" s="12"/>
      <c r="AA92" s="12"/>
      <c r="AB92" s="12"/>
      <c r="AC92" s="12"/>
    </row>
    <row r="93" ht="15.75" customHeight="1">
      <c r="A93" s="12"/>
      <c r="B93" s="12"/>
      <c r="C93" s="12"/>
      <c r="D93" s="12"/>
      <c r="E93" s="12"/>
      <c r="F93" s="12"/>
      <c r="G93" s="12"/>
      <c r="H93" s="12"/>
      <c r="I93" s="12"/>
      <c r="J93" s="12"/>
      <c r="K93" s="12"/>
      <c r="L93" s="12"/>
      <c r="M93" s="12"/>
      <c r="N93" s="12"/>
      <c r="O93" s="12"/>
      <c r="P93" s="12"/>
      <c r="Q93" s="12"/>
      <c r="R93" s="12"/>
      <c r="S93" s="12"/>
      <c r="T93" s="12"/>
      <c r="U93" s="12"/>
      <c r="V93" s="12"/>
      <c r="W93" s="12"/>
      <c r="X93" s="12"/>
      <c r="Y93" s="12"/>
      <c r="Z93" s="12"/>
      <c r="AA93" s="12"/>
      <c r="AB93" s="12"/>
      <c r="AC93" s="12"/>
    </row>
    <row r="94" ht="15.75" customHeight="1">
      <c r="A94" s="12"/>
      <c r="B94" s="12"/>
      <c r="C94" s="12"/>
      <c r="D94" s="12"/>
      <c r="E94" s="12"/>
      <c r="F94" s="12"/>
      <c r="G94" s="12"/>
      <c r="H94" s="12"/>
      <c r="I94" s="12"/>
      <c r="J94" s="12"/>
      <c r="K94" s="12"/>
      <c r="L94" s="12"/>
      <c r="M94" s="12"/>
      <c r="N94" s="12"/>
      <c r="O94" s="12"/>
      <c r="P94" s="12"/>
      <c r="Q94" s="12"/>
      <c r="R94" s="12"/>
      <c r="S94" s="12"/>
      <c r="T94" s="12"/>
      <c r="U94" s="12"/>
      <c r="V94" s="12"/>
      <c r="W94" s="12"/>
      <c r="X94" s="12"/>
      <c r="Y94" s="12"/>
      <c r="Z94" s="12"/>
      <c r="AA94" s="12"/>
      <c r="AB94" s="12"/>
      <c r="AC94" s="12"/>
    </row>
    <row r="95" ht="15.75" customHeight="1">
      <c r="A95" s="12"/>
      <c r="B95" s="12"/>
      <c r="C95" s="12"/>
      <c r="D95" s="12"/>
      <c r="E95" s="12"/>
      <c r="F95" s="12"/>
      <c r="G95" s="12"/>
      <c r="H95" s="12"/>
      <c r="I95" s="12"/>
      <c r="J95" s="12"/>
      <c r="K95" s="12"/>
      <c r="L95" s="12"/>
      <c r="M95" s="12"/>
      <c r="N95" s="12"/>
      <c r="O95" s="12"/>
      <c r="P95" s="12"/>
      <c r="Q95" s="12"/>
      <c r="R95" s="12"/>
      <c r="S95" s="12"/>
      <c r="T95" s="12"/>
      <c r="U95" s="12"/>
      <c r="V95" s="12"/>
      <c r="W95" s="12"/>
      <c r="X95" s="12"/>
      <c r="Y95" s="12"/>
      <c r="Z95" s="12"/>
      <c r="AA95" s="12"/>
      <c r="AB95" s="12"/>
      <c r="AC95" s="12"/>
    </row>
    <row r="96" ht="15.75" customHeight="1">
      <c r="A96" s="12"/>
      <c r="B96" s="12"/>
      <c r="C96" s="12"/>
      <c r="D96" s="12"/>
      <c r="E96" s="12"/>
      <c r="F96" s="12"/>
      <c r="G96" s="12"/>
      <c r="H96" s="12"/>
      <c r="I96" s="12"/>
      <c r="J96" s="12"/>
      <c r="K96" s="12"/>
      <c r="L96" s="12"/>
      <c r="M96" s="12"/>
      <c r="N96" s="12"/>
      <c r="O96" s="12"/>
      <c r="P96" s="12"/>
      <c r="Q96" s="12"/>
      <c r="R96" s="12"/>
      <c r="S96" s="12"/>
      <c r="T96" s="12"/>
      <c r="U96" s="12"/>
      <c r="V96" s="12"/>
      <c r="W96" s="12"/>
      <c r="X96" s="12"/>
      <c r="Y96" s="12"/>
      <c r="Z96" s="12"/>
      <c r="AA96" s="12"/>
      <c r="AB96" s="12"/>
      <c r="AC96" s="12"/>
    </row>
    <row r="97" ht="15.75" customHeight="1">
      <c r="A97" s="12"/>
      <c r="B97" s="12"/>
      <c r="C97" s="12"/>
      <c r="D97" s="12"/>
      <c r="E97" s="12"/>
      <c r="F97" s="12"/>
      <c r="G97" s="12"/>
      <c r="H97" s="12"/>
      <c r="I97" s="12"/>
      <c r="J97" s="12"/>
      <c r="K97" s="12"/>
      <c r="L97" s="12"/>
      <c r="M97" s="12"/>
      <c r="N97" s="12"/>
      <c r="O97" s="12"/>
      <c r="P97" s="12"/>
      <c r="Q97" s="12"/>
      <c r="R97" s="12"/>
      <c r="S97" s="12"/>
      <c r="T97" s="12"/>
      <c r="U97" s="12"/>
      <c r="V97" s="12"/>
      <c r="W97" s="12"/>
      <c r="X97" s="12"/>
      <c r="Y97" s="12"/>
      <c r="Z97" s="12"/>
      <c r="AA97" s="12"/>
      <c r="AB97" s="12"/>
      <c r="AC97" s="12"/>
    </row>
    <row r="98" ht="15.75" customHeight="1">
      <c r="A98" s="12"/>
      <c r="B98" s="12"/>
      <c r="C98" s="12"/>
      <c r="D98" s="12"/>
      <c r="E98" s="12"/>
      <c r="F98" s="12"/>
      <c r="G98" s="12"/>
      <c r="H98" s="12"/>
      <c r="I98" s="12"/>
      <c r="J98" s="12"/>
      <c r="K98" s="12"/>
      <c r="L98" s="12"/>
      <c r="M98" s="12"/>
      <c r="N98" s="12"/>
      <c r="O98" s="12"/>
      <c r="P98" s="12"/>
      <c r="Q98" s="12"/>
      <c r="R98" s="12"/>
      <c r="S98" s="12"/>
      <c r="T98" s="12"/>
      <c r="U98" s="12"/>
      <c r="V98" s="12"/>
      <c r="W98" s="12"/>
      <c r="X98" s="12"/>
      <c r="Y98" s="12"/>
      <c r="Z98" s="12"/>
      <c r="AA98" s="12"/>
      <c r="AB98" s="12"/>
      <c r="AC98" s="12"/>
    </row>
    <row r="99" ht="15.75" customHeight="1">
      <c r="A99" s="12"/>
      <c r="B99" s="12"/>
      <c r="C99" s="12"/>
      <c r="D99" s="12"/>
      <c r="E99" s="12"/>
      <c r="F99" s="12"/>
      <c r="G99" s="12"/>
      <c r="H99" s="12"/>
      <c r="I99" s="12"/>
      <c r="J99" s="12"/>
      <c r="K99" s="12"/>
      <c r="L99" s="12"/>
      <c r="M99" s="12"/>
      <c r="N99" s="12"/>
      <c r="O99" s="12"/>
      <c r="P99" s="12"/>
      <c r="Q99" s="12"/>
      <c r="R99" s="12"/>
      <c r="S99" s="12"/>
      <c r="T99" s="12"/>
      <c r="U99" s="12"/>
      <c r="V99" s="12"/>
      <c r="W99" s="12"/>
      <c r="X99" s="12"/>
      <c r="Y99" s="12"/>
      <c r="Z99" s="12"/>
      <c r="AA99" s="12"/>
      <c r="AB99" s="12"/>
      <c r="AC99" s="12"/>
    </row>
    <row r="100" ht="15.75" customHeight="1">
      <c r="A100" s="12"/>
      <c r="B100" s="12"/>
      <c r="C100" s="12"/>
      <c r="D100" s="12"/>
      <c r="E100" s="12"/>
      <c r="F100" s="12"/>
      <c r="G100" s="12"/>
      <c r="H100" s="12"/>
      <c r="I100" s="12"/>
      <c r="J100" s="12"/>
      <c r="K100" s="12"/>
      <c r="L100" s="12"/>
      <c r="M100" s="12"/>
      <c r="N100" s="12"/>
      <c r="O100" s="12"/>
      <c r="P100" s="12"/>
      <c r="Q100" s="12"/>
      <c r="R100" s="12"/>
      <c r="S100" s="12"/>
      <c r="T100" s="12"/>
      <c r="U100" s="12"/>
      <c r="V100" s="12"/>
      <c r="W100" s="12"/>
      <c r="X100" s="12"/>
      <c r="Y100" s="12"/>
      <c r="Z100" s="12"/>
      <c r="AA100" s="12"/>
      <c r="AB100" s="12"/>
      <c r="AC100" s="12"/>
    </row>
    <row r="101" ht="15.75" customHeight="1">
      <c r="A101" s="12"/>
      <c r="B101" s="12"/>
      <c r="C101" s="12"/>
      <c r="D101" s="12"/>
      <c r="E101" s="12"/>
      <c r="F101" s="12"/>
      <c r="G101" s="12"/>
      <c r="H101" s="12"/>
      <c r="I101" s="12"/>
      <c r="J101" s="12"/>
      <c r="K101" s="12"/>
      <c r="L101" s="12"/>
      <c r="M101" s="12"/>
      <c r="N101" s="12"/>
      <c r="O101" s="12"/>
      <c r="P101" s="12"/>
      <c r="Q101" s="12"/>
      <c r="R101" s="12"/>
      <c r="S101" s="12"/>
      <c r="T101" s="12"/>
      <c r="U101" s="12"/>
      <c r="V101" s="12"/>
      <c r="W101" s="12"/>
      <c r="X101" s="12"/>
      <c r="Y101" s="12"/>
      <c r="Z101" s="12"/>
      <c r="AA101" s="12"/>
      <c r="AB101" s="12"/>
      <c r="AC101" s="12"/>
    </row>
    <row r="102" ht="15.75" customHeight="1">
      <c r="A102" s="12"/>
      <c r="B102" s="12"/>
      <c r="C102" s="12"/>
      <c r="D102" s="12"/>
      <c r="E102" s="12"/>
      <c r="F102" s="12"/>
      <c r="G102" s="12"/>
      <c r="H102" s="12"/>
      <c r="I102" s="12"/>
      <c r="J102" s="12"/>
      <c r="K102" s="12"/>
      <c r="L102" s="12"/>
      <c r="M102" s="12"/>
      <c r="N102" s="12"/>
      <c r="O102" s="12"/>
      <c r="P102" s="12"/>
      <c r="Q102" s="12"/>
      <c r="R102" s="12"/>
      <c r="S102" s="12"/>
      <c r="T102" s="12"/>
      <c r="U102" s="12"/>
      <c r="V102" s="12"/>
      <c r="W102" s="12"/>
      <c r="X102" s="12"/>
      <c r="Y102" s="12"/>
      <c r="Z102" s="12"/>
      <c r="AA102" s="12"/>
      <c r="AB102" s="12"/>
      <c r="AC102" s="12"/>
    </row>
    <row r="103" ht="15.75" customHeight="1">
      <c r="A103" s="12"/>
      <c r="B103" s="12"/>
      <c r="C103" s="12"/>
      <c r="D103" s="12"/>
      <c r="E103" s="12"/>
      <c r="F103" s="12"/>
      <c r="G103" s="12"/>
      <c r="H103" s="12"/>
      <c r="I103" s="12"/>
      <c r="J103" s="12"/>
      <c r="K103" s="12"/>
      <c r="L103" s="12"/>
      <c r="M103" s="12"/>
      <c r="N103" s="12"/>
      <c r="O103" s="12"/>
      <c r="P103" s="12"/>
      <c r="Q103" s="12"/>
      <c r="R103" s="12"/>
      <c r="S103" s="12"/>
      <c r="T103" s="12"/>
      <c r="U103" s="12"/>
      <c r="V103" s="12"/>
      <c r="W103" s="12"/>
      <c r="X103" s="12"/>
      <c r="Y103" s="12"/>
      <c r="Z103" s="12"/>
      <c r="AA103" s="12"/>
      <c r="AB103" s="12"/>
      <c r="AC103" s="12"/>
    </row>
    <row r="104" ht="15.75" customHeight="1">
      <c r="A104" s="12"/>
      <c r="B104" s="12"/>
      <c r="C104" s="12"/>
      <c r="D104" s="12"/>
      <c r="E104" s="12"/>
      <c r="F104" s="12"/>
      <c r="G104" s="12"/>
      <c r="H104" s="12"/>
      <c r="I104" s="12"/>
      <c r="J104" s="12"/>
      <c r="K104" s="12"/>
      <c r="L104" s="12"/>
      <c r="M104" s="12"/>
      <c r="N104" s="12"/>
      <c r="O104" s="12"/>
      <c r="P104" s="12"/>
      <c r="Q104" s="12"/>
      <c r="R104" s="12"/>
      <c r="S104" s="12"/>
      <c r="T104" s="12"/>
      <c r="U104" s="12"/>
      <c r="V104" s="12"/>
      <c r="W104" s="12"/>
      <c r="X104" s="12"/>
      <c r="Y104" s="12"/>
      <c r="Z104" s="12"/>
      <c r="AA104" s="12"/>
      <c r="AB104" s="12"/>
      <c r="AC104" s="12"/>
    </row>
    <row r="105" ht="15.75" customHeight="1">
      <c r="A105" s="12"/>
      <c r="B105" s="12"/>
      <c r="C105" s="12"/>
      <c r="D105" s="12"/>
      <c r="E105" s="12"/>
      <c r="F105" s="12"/>
      <c r="G105" s="12"/>
      <c r="H105" s="12"/>
      <c r="I105" s="12"/>
      <c r="J105" s="12"/>
      <c r="K105" s="12"/>
      <c r="L105" s="12"/>
      <c r="M105" s="12"/>
      <c r="N105" s="12"/>
      <c r="O105" s="12"/>
      <c r="P105" s="12"/>
      <c r="Q105" s="12"/>
      <c r="R105" s="12"/>
      <c r="S105" s="12"/>
      <c r="T105" s="12"/>
      <c r="U105" s="12"/>
      <c r="V105" s="12"/>
      <c r="W105" s="12"/>
      <c r="X105" s="12"/>
      <c r="Y105" s="12"/>
      <c r="Z105" s="12"/>
      <c r="AA105" s="12"/>
      <c r="AB105" s="12"/>
      <c r="AC105" s="12"/>
    </row>
    <row r="106" ht="15.75" customHeight="1">
      <c r="A106" s="12"/>
      <c r="B106" s="12"/>
      <c r="C106" s="12"/>
      <c r="D106" s="12"/>
      <c r="E106" s="12"/>
      <c r="F106" s="12"/>
      <c r="G106" s="12"/>
      <c r="H106" s="12"/>
      <c r="I106" s="12"/>
      <c r="J106" s="12"/>
      <c r="K106" s="12"/>
      <c r="L106" s="12"/>
      <c r="M106" s="12"/>
      <c r="N106" s="12"/>
      <c r="O106" s="12"/>
      <c r="P106" s="12"/>
      <c r="Q106" s="12"/>
      <c r="R106" s="12"/>
      <c r="S106" s="12"/>
      <c r="T106" s="12"/>
      <c r="U106" s="12"/>
      <c r="V106" s="12"/>
      <c r="W106" s="12"/>
      <c r="X106" s="12"/>
      <c r="Y106" s="12"/>
      <c r="Z106" s="12"/>
      <c r="AA106" s="12"/>
      <c r="AB106" s="12"/>
      <c r="AC106" s="12"/>
    </row>
    <row r="107" ht="15.75" customHeight="1">
      <c r="A107" s="12"/>
      <c r="B107" s="12"/>
      <c r="C107" s="12"/>
      <c r="D107" s="12"/>
      <c r="E107" s="12"/>
      <c r="F107" s="12"/>
      <c r="G107" s="12"/>
      <c r="H107" s="12"/>
      <c r="I107" s="12"/>
      <c r="J107" s="12"/>
      <c r="K107" s="12"/>
      <c r="L107" s="12"/>
      <c r="M107" s="12"/>
      <c r="N107" s="12"/>
      <c r="O107" s="12"/>
      <c r="P107" s="12"/>
      <c r="Q107" s="12"/>
      <c r="R107" s="12"/>
      <c r="S107" s="12"/>
      <c r="T107" s="12"/>
      <c r="U107" s="12"/>
      <c r="V107" s="12"/>
      <c r="W107" s="12"/>
      <c r="X107" s="12"/>
      <c r="Y107" s="12"/>
      <c r="Z107" s="12"/>
      <c r="AA107" s="12"/>
      <c r="AB107" s="12"/>
      <c r="AC107" s="12"/>
    </row>
    <row r="108" ht="15.75" customHeight="1">
      <c r="A108" s="12"/>
      <c r="B108" s="12"/>
      <c r="C108" s="12"/>
      <c r="D108" s="12"/>
      <c r="E108" s="12"/>
      <c r="F108" s="12"/>
      <c r="G108" s="12"/>
      <c r="H108" s="12"/>
      <c r="I108" s="12"/>
      <c r="J108" s="12"/>
      <c r="K108" s="12"/>
      <c r="L108" s="12"/>
      <c r="M108" s="12"/>
      <c r="N108" s="12"/>
      <c r="O108" s="12"/>
      <c r="P108" s="12"/>
      <c r="Q108" s="12"/>
      <c r="R108" s="12"/>
      <c r="S108" s="12"/>
      <c r="T108" s="12"/>
      <c r="U108" s="12"/>
      <c r="V108" s="12"/>
      <c r="W108" s="12"/>
      <c r="X108" s="12"/>
      <c r="Y108" s="12"/>
      <c r="Z108" s="12"/>
      <c r="AA108" s="12"/>
      <c r="AB108" s="12"/>
      <c r="AC108" s="12"/>
    </row>
    <row r="109" ht="15.75" customHeight="1">
      <c r="A109" s="12"/>
      <c r="B109" s="12"/>
      <c r="C109" s="12"/>
      <c r="D109" s="12"/>
      <c r="E109" s="12"/>
      <c r="F109" s="12"/>
      <c r="G109" s="12"/>
      <c r="H109" s="12"/>
      <c r="I109" s="12"/>
      <c r="J109" s="12"/>
      <c r="K109" s="12"/>
      <c r="L109" s="12"/>
      <c r="M109" s="12"/>
      <c r="N109" s="12"/>
      <c r="O109" s="12"/>
      <c r="P109" s="12"/>
      <c r="Q109" s="12"/>
      <c r="R109" s="12"/>
      <c r="S109" s="12"/>
      <c r="T109" s="12"/>
      <c r="U109" s="12"/>
      <c r="V109" s="12"/>
      <c r="W109" s="12"/>
      <c r="X109" s="12"/>
      <c r="Y109" s="12"/>
      <c r="Z109" s="12"/>
      <c r="AA109" s="12"/>
      <c r="AB109" s="12"/>
      <c r="AC109" s="12"/>
    </row>
    <row r="110" ht="15.75" customHeight="1">
      <c r="A110" s="12"/>
      <c r="B110" s="12"/>
      <c r="C110" s="12"/>
      <c r="D110" s="12"/>
      <c r="E110" s="12"/>
      <c r="F110" s="12"/>
      <c r="G110" s="12"/>
      <c r="H110" s="12"/>
      <c r="I110" s="12"/>
      <c r="J110" s="12"/>
      <c r="K110" s="12"/>
      <c r="L110" s="12"/>
      <c r="M110" s="12"/>
      <c r="N110" s="12"/>
      <c r="O110" s="12"/>
      <c r="P110" s="12"/>
      <c r="Q110" s="12"/>
      <c r="R110" s="12"/>
      <c r="S110" s="12"/>
      <c r="T110" s="12"/>
      <c r="U110" s="12"/>
      <c r="V110" s="12"/>
      <c r="W110" s="12"/>
      <c r="X110" s="12"/>
      <c r="Y110" s="12"/>
      <c r="Z110" s="12"/>
      <c r="AA110" s="12"/>
      <c r="AB110" s="12"/>
      <c r="AC110" s="12"/>
    </row>
    <row r="111" ht="15.75" customHeight="1">
      <c r="A111" s="12"/>
      <c r="B111" s="12"/>
      <c r="C111" s="12"/>
      <c r="D111" s="12"/>
      <c r="E111" s="12"/>
      <c r="F111" s="12"/>
      <c r="G111" s="12"/>
      <c r="H111" s="12"/>
      <c r="I111" s="12"/>
      <c r="J111" s="12"/>
      <c r="K111" s="12"/>
      <c r="L111" s="12"/>
      <c r="M111" s="12"/>
      <c r="N111" s="12"/>
      <c r="O111" s="12"/>
      <c r="P111" s="12"/>
      <c r="Q111" s="12"/>
      <c r="R111" s="12"/>
      <c r="S111" s="12"/>
      <c r="T111" s="12"/>
      <c r="U111" s="12"/>
      <c r="V111" s="12"/>
      <c r="W111" s="12"/>
      <c r="X111" s="12"/>
      <c r="Y111" s="12"/>
      <c r="Z111" s="12"/>
      <c r="AA111" s="12"/>
      <c r="AB111" s="12"/>
      <c r="AC111" s="12"/>
    </row>
    <row r="112" ht="15.75" customHeight="1">
      <c r="A112" s="12"/>
      <c r="B112" s="12"/>
      <c r="C112" s="12"/>
      <c r="D112" s="12"/>
      <c r="E112" s="12"/>
      <c r="F112" s="12"/>
      <c r="G112" s="12"/>
      <c r="H112" s="12"/>
      <c r="I112" s="12"/>
      <c r="J112" s="12"/>
      <c r="K112" s="12"/>
      <c r="L112" s="12"/>
      <c r="M112" s="12"/>
      <c r="N112" s="12"/>
      <c r="O112" s="12"/>
      <c r="P112" s="12"/>
      <c r="Q112" s="12"/>
      <c r="R112" s="12"/>
      <c r="S112" s="12"/>
      <c r="T112" s="12"/>
      <c r="U112" s="12"/>
      <c r="V112" s="12"/>
      <c r="W112" s="12"/>
      <c r="X112" s="12"/>
      <c r="Y112" s="12"/>
      <c r="Z112" s="12"/>
      <c r="AA112" s="12"/>
      <c r="AB112" s="12"/>
      <c r="AC112" s="12"/>
    </row>
    <row r="113" ht="15.75" customHeight="1">
      <c r="A113" s="12"/>
      <c r="B113" s="12"/>
      <c r="C113" s="12"/>
      <c r="D113" s="12"/>
      <c r="E113" s="12"/>
      <c r="F113" s="12"/>
      <c r="G113" s="12"/>
      <c r="H113" s="12"/>
      <c r="I113" s="12"/>
      <c r="J113" s="12"/>
      <c r="K113" s="12"/>
      <c r="L113" s="12"/>
      <c r="M113" s="12"/>
      <c r="N113" s="12"/>
      <c r="O113" s="12"/>
      <c r="P113" s="12"/>
      <c r="Q113" s="12"/>
      <c r="R113" s="12"/>
      <c r="S113" s="12"/>
      <c r="T113" s="12"/>
      <c r="U113" s="12"/>
      <c r="V113" s="12"/>
      <c r="W113" s="12"/>
      <c r="X113" s="12"/>
      <c r="Y113" s="12"/>
      <c r="Z113" s="12"/>
      <c r="AA113" s="12"/>
      <c r="AB113" s="12"/>
      <c r="AC113" s="12"/>
    </row>
    <row r="114" ht="15.75" customHeight="1">
      <c r="A114" s="12"/>
      <c r="B114" s="12"/>
      <c r="C114" s="12"/>
      <c r="D114" s="12"/>
      <c r="E114" s="12"/>
      <c r="F114" s="12"/>
      <c r="G114" s="12"/>
      <c r="H114" s="12"/>
      <c r="I114" s="12"/>
      <c r="J114" s="12"/>
      <c r="K114" s="12"/>
      <c r="L114" s="12"/>
      <c r="M114" s="12"/>
      <c r="N114" s="12"/>
      <c r="O114" s="12"/>
      <c r="P114" s="12"/>
      <c r="Q114" s="12"/>
      <c r="R114" s="12"/>
      <c r="S114" s="12"/>
      <c r="T114" s="12"/>
      <c r="U114" s="12"/>
      <c r="V114" s="12"/>
      <c r="W114" s="12"/>
      <c r="X114" s="12"/>
      <c r="Y114" s="12"/>
      <c r="Z114" s="12"/>
      <c r="AA114" s="12"/>
      <c r="AB114" s="12"/>
      <c r="AC114" s="12"/>
    </row>
    <row r="115" ht="15.75" customHeight="1">
      <c r="A115" s="12"/>
      <c r="B115" s="12"/>
      <c r="C115" s="12"/>
      <c r="D115" s="12"/>
      <c r="E115" s="12"/>
      <c r="F115" s="12"/>
      <c r="G115" s="12"/>
      <c r="H115" s="12"/>
      <c r="I115" s="12"/>
      <c r="J115" s="12"/>
      <c r="K115" s="12"/>
      <c r="L115" s="12"/>
      <c r="M115" s="12"/>
      <c r="N115" s="12"/>
      <c r="O115" s="12"/>
      <c r="P115" s="12"/>
      <c r="Q115" s="12"/>
      <c r="R115" s="12"/>
      <c r="S115" s="12"/>
      <c r="T115" s="12"/>
      <c r="U115" s="12"/>
      <c r="V115" s="12"/>
      <c r="W115" s="12"/>
      <c r="X115" s="12"/>
      <c r="Y115" s="12"/>
      <c r="Z115" s="12"/>
      <c r="AA115" s="12"/>
      <c r="AB115" s="12"/>
      <c r="AC115" s="12"/>
    </row>
    <row r="116" ht="15.75" customHeight="1">
      <c r="A116" s="12"/>
      <c r="B116" s="12"/>
      <c r="C116" s="12"/>
      <c r="D116" s="12"/>
      <c r="E116" s="12"/>
      <c r="F116" s="12"/>
      <c r="G116" s="12"/>
      <c r="H116" s="12"/>
      <c r="I116" s="12"/>
      <c r="J116" s="12"/>
      <c r="K116" s="12"/>
      <c r="L116" s="12"/>
      <c r="M116" s="12"/>
      <c r="N116" s="12"/>
      <c r="O116" s="12"/>
      <c r="P116" s="12"/>
      <c r="Q116" s="12"/>
      <c r="R116" s="12"/>
      <c r="S116" s="12"/>
      <c r="T116" s="12"/>
      <c r="U116" s="12"/>
      <c r="V116" s="12"/>
      <c r="W116" s="12"/>
      <c r="X116" s="12"/>
      <c r="Y116" s="12"/>
      <c r="Z116" s="12"/>
      <c r="AA116" s="12"/>
      <c r="AB116" s="12"/>
      <c r="AC116" s="12"/>
    </row>
    <row r="117" ht="15.75" customHeight="1">
      <c r="A117" s="12"/>
      <c r="B117" s="12"/>
      <c r="C117" s="12"/>
      <c r="D117" s="12"/>
      <c r="E117" s="12"/>
      <c r="F117" s="12"/>
      <c r="G117" s="12"/>
      <c r="H117" s="12"/>
      <c r="I117" s="12"/>
      <c r="J117" s="12"/>
      <c r="K117" s="12"/>
      <c r="L117" s="12"/>
      <c r="M117" s="12"/>
      <c r="N117" s="12"/>
      <c r="O117" s="12"/>
      <c r="P117" s="12"/>
      <c r="Q117" s="12"/>
      <c r="R117" s="12"/>
      <c r="S117" s="12"/>
      <c r="T117" s="12"/>
      <c r="U117" s="12"/>
      <c r="V117" s="12"/>
      <c r="W117" s="12"/>
      <c r="X117" s="12"/>
      <c r="Y117" s="12"/>
      <c r="Z117" s="12"/>
      <c r="AA117" s="12"/>
      <c r="AB117" s="12"/>
      <c r="AC117" s="12"/>
    </row>
    <row r="118" ht="15.75" customHeight="1">
      <c r="A118" s="12"/>
      <c r="B118" s="12"/>
      <c r="C118" s="12"/>
      <c r="D118" s="12"/>
      <c r="E118" s="12"/>
      <c r="F118" s="12"/>
      <c r="G118" s="12"/>
      <c r="H118" s="12"/>
      <c r="I118" s="12"/>
      <c r="J118" s="12"/>
      <c r="K118" s="12"/>
      <c r="L118" s="12"/>
      <c r="M118" s="12"/>
      <c r="N118" s="12"/>
      <c r="O118" s="12"/>
      <c r="P118" s="12"/>
      <c r="Q118" s="12"/>
      <c r="R118" s="12"/>
      <c r="S118" s="12"/>
      <c r="T118" s="12"/>
      <c r="U118" s="12"/>
      <c r="V118" s="12"/>
      <c r="W118" s="12"/>
      <c r="X118" s="12"/>
      <c r="Y118" s="12"/>
      <c r="Z118" s="12"/>
      <c r="AA118" s="12"/>
      <c r="AB118" s="12"/>
      <c r="AC118" s="12"/>
    </row>
    <row r="119" ht="15.75" customHeight="1">
      <c r="A119" s="12"/>
      <c r="B119" s="12"/>
      <c r="C119" s="12"/>
      <c r="D119" s="12"/>
      <c r="E119" s="12"/>
      <c r="F119" s="12"/>
      <c r="G119" s="12"/>
      <c r="H119" s="12"/>
      <c r="I119" s="12"/>
      <c r="J119" s="12"/>
      <c r="K119" s="12"/>
      <c r="L119" s="12"/>
      <c r="M119" s="12"/>
      <c r="N119" s="12"/>
      <c r="O119" s="12"/>
      <c r="P119" s="12"/>
      <c r="Q119" s="12"/>
      <c r="R119" s="12"/>
      <c r="S119" s="12"/>
      <c r="T119" s="12"/>
      <c r="U119" s="12"/>
      <c r="V119" s="12"/>
      <c r="W119" s="12"/>
      <c r="X119" s="12"/>
      <c r="Y119" s="12"/>
      <c r="Z119" s="12"/>
      <c r="AA119" s="12"/>
      <c r="AB119" s="12"/>
      <c r="AC119" s="12"/>
    </row>
    <row r="120" ht="15.75" customHeight="1">
      <c r="A120" s="12"/>
      <c r="B120" s="12"/>
      <c r="C120" s="12"/>
      <c r="D120" s="12"/>
      <c r="E120" s="12"/>
      <c r="F120" s="12"/>
      <c r="G120" s="12"/>
      <c r="H120" s="12"/>
      <c r="I120" s="12"/>
      <c r="J120" s="12"/>
      <c r="K120" s="12"/>
      <c r="L120" s="12"/>
      <c r="M120" s="12"/>
      <c r="N120" s="12"/>
      <c r="O120" s="12"/>
      <c r="P120" s="12"/>
      <c r="Q120" s="12"/>
      <c r="R120" s="12"/>
      <c r="S120" s="12"/>
      <c r="T120" s="12"/>
      <c r="U120" s="12"/>
      <c r="V120" s="12"/>
      <c r="W120" s="12"/>
      <c r="X120" s="12"/>
      <c r="Y120" s="12"/>
      <c r="Z120" s="12"/>
      <c r="AA120" s="12"/>
      <c r="AB120" s="12"/>
      <c r="AC120" s="12"/>
    </row>
    <row r="121" ht="15.75" customHeight="1">
      <c r="A121" s="12"/>
      <c r="B121" s="12"/>
      <c r="C121" s="12"/>
      <c r="D121" s="12"/>
      <c r="E121" s="12"/>
      <c r="F121" s="12"/>
      <c r="G121" s="12"/>
      <c r="H121" s="12"/>
      <c r="I121" s="12"/>
      <c r="J121" s="12"/>
      <c r="K121" s="12"/>
      <c r="L121" s="12"/>
      <c r="M121" s="12"/>
      <c r="N121" s="12"/>
      <c r="O121" s="12"/>
      <c r="P121" s="12"/>
      <c r="Q121" s="12"/>
      <c r="R121" s="12"/>
      <c r="S121" s="12"/>
      <c r="T121" s="12"/>
      <c r="U121" s="12"/>
      <c r="V121" s="12"/>
      <c r="W121" s="12"/>
      <c r="X121" s="12"/>
      <c r="Y121" s="12"/>
      <c r="Z121" s="12"/>
      <c r="AA121" s="12"/>
      <c r="AB121" s="12"/>
      <c r="AC121" s="12"/>
    </row>
    <row r="122" ht="15.75" customHeight="1">
      <c r="A122" s="12"/>
      <c r="B122" s="12"/>
      <c r="C122" s="12"/>
      <c r="D122" s="12"/>
      <c r="E122" s="12"/>
      <c r="F122" s="12"/>
      <c r="G122" s="12"/>
      <c r="H122" s="12"/>
      <c r="I122" s="12"/>
      <c r="J122" s="12"/>
      <c r="K122" s="12"/>
      <c r="L122" s="12"/>
      <c r="M122" s="12"/>
      <c r="N122" s="12"/>
      <c r="O122" s="12"/>
      <c r="P122" s="12"/>
      <c r="Q122" s="12"/>
      <c r="R122" s="12"/>
      <c r="S122" s="12"/>
      <c r="T122" s="12"/>
      <c r="U122" s="12"/>
      <c r="V122" s="12"/>
      <c r="W122" s="12"/>
      <c r="X122" s="12"/>
      <c r="Y122" s="12"/>
      <c r="Z122" s="12"/>
      <c r="AA122" s="12"/>
      <c r="AB122" s="12"/>
      <c r="AC122" s="12"/>
    </row>
    <row r="123" ht="15.75" customHeight="1">
      <c r="A123" s="12"/>
      <c r="B123" s="12"/>
      <c r="C123" s="12"/>
      <c r="D123" s="12"/>
      <c r="E123" s="12"/>
      <c r="F123" s="12"/>
      <c r="G123" s="12"/>
      <c r="H123" s="12"/>
      <c r="I123" s="12"/>
      <c r="J123" s="12"/>
      <c r="K123" s="12"/>
      <c r="L123" s="12"/>
      <c r="M123" s="12"/>
      <c r="N123" s="12"/>
      <c r="O123" s="12"/>
      <c r="P123" s="12"/>
      <c r="Q123" s="12"/>
      <c r="R123" s="12"/>
      <c r="S123" s="12"/>
      <c r="T123" s="12"/>
      <c r="U123" s="12"/>
      <c r="V123" s="12"/>
      <c r="W123" s="12"/>
      <c r="X123" s="12"/>
      <c r="Y123" s="12"/>
      <c r="Z123" s="12"/>
      <c r="AA123" s="12"/>
      <c r="AB123" s="12"/>
      <c r="AC123" s="12"/>
    </row>
    <row r="124" ht="15.75" customHeight="1">
      <c r="A124" s="12"/>
      <c r="B124" s="12"/>
      <c r="C124" s="12"/>
      <c r="D124" s="12"/>
      <c r="E124" s="12"/>
      <c r="F124" s="12"/>
      <c r="G124" s="12"/>
      <c r="H124" s="12"/>
      <c r="I124" s="12"/>
      <c r="J124" s="12"/>
      <c r="K124" s="12"/>
      <c r="L124" s="12"/>
      <c r="M124" s="12"/>
      <c r="N124" s="12"/>
      <c r="O124" s="12"/>
      <c r="P124" s="12"/>
      <c r="Q124" s="12"/>
      <c r="R124" s="12"/>
      <c r="S124" s="12"/>
      <c r="T124" s="12"/>
      <c r="U124" s="12"/>
      <c r="V124" s="12"/>
      <c r="W124" s="12"/>
      <c r="X124" s="12"/>
      <c r="Y124" s="12"/>
      <c r="Z124" s="12"/>
      <c r="AA124" s="12"/>
      <c r="AB124" s="12"/>
      <c r="AC124" s="12"/>
    </row>
    <row r="125" ht="15.75" customHeight="1">
      <c r="A125" s="12"/>
      <c r="B125" s="12"/>
      <c r="C125" s="12"/>
      <c r="D125" s="12"/>
      <c r="E125" s="12"/>
      <c r="F125" s="12"/>
      <c r="G125" s="12"/>
      <c r="H125" s="12"/>
      <c r="I125" s="12"/>
      <c r="J125" s="12"/>
      <c r="K125" s="12"/>
      <c r="L125" s="12"/>
      <c r="M125" s="12"/>
      <c r="N125" s="12"/>
      <c r="O125" s="12"/>
      <c r="P125" s="12"/>
      <c r="Q125" s="12"/>
      <c r="R125" s="12"/>
      <c r="S125" s="12"/>
      <c r="T125" s="12"/>
      <c r="U125" s="12"/>
      <c r="V125" s="12"/>
      <c r="W125" s="12"/>
      <c r="X125" s="12"/>
      <c r="Y125" s="12"/>
      <c r="Z125" s="12"/>
      <c r="AA125" s="12"/>
      <c r="AB125" s="12"/>
      <c r="AC125" s="12"/>
    </row>
    <row r="126" ht="15.75" customHeight="1">
      <c r="A126" s="12"/>
      <c r="B126" s="12"/>
      <c r="C126" s="12"/>
      <c r="D126" s="12"/>
      <c r="E126" s="12"/>
      <c r="F126" s="12"/>
      <c r="G126" s="12"/>
      <c r="H126" s="12"/>
      <c r="I126" s="12"/>
      <c r="J126" s="12"/>
      <c r="K126" s="12"/>
      <c r="L126" s="12"/>
      <c r="M126" s="12"/>
      <c r="N126" s="12"/>
      <c r="O126" s="12"/>
      <c r="P126" s="12"/>
      <c r="Q126" s="12"/>
      <c r="R126" s="12"/>
      <c r="S126" s="12"/>
      <c r="T126" s="12"/>
      <c r="U126" s="12"/>
      <c r="V126" s="12"/>
      <c r="W126" s="12"/>
      <c r="X126" s="12"/>
      <c r="Y126" s="12"/>
      <c r="Z126" s="12"/>
      <c r="AA126" s="12"/>
      <c r="AB126" s="12"/>
      <c r="AC126" s="12"/>
    </row>
    <row r="127" ht="15.75" customHeight="1">
      <c r="A127" s="12"/>
      <c r="B127" s="12"/>
      <c r="C127" s="12"/>
      <c r="D127" s="12"/>
      <c r="E127" s="12"/>
      <c r="F127" s="12"/>
      <c r="G127" s="12"/>
      <c r="H127" s="12"/>
      <c r="I127" s="12"/>
      <c r="J127" s="12"/>
      <c r="K127" s="12"/>
      <c r="L127" s="12"/>
      <c r="M127" s="12"/>
      <c r="N127" s="12"/>
      <c r="O127" s="12"/>
      <c r="P127" s="12"/>
      <c r="Q127" s="12"/>
      <c r="R127" s="12"/>
      <c r="S127" s="12"/>
      <c r="T127" s="12"/>
      <c r="U127" s="12"/>
      <c r="V127" s="12"/>
      <c r="W127" s="12"/>
      <c r="X127" s="12"/>
      <c r="Y127" s="12"/>
      <c r="Z127" s="12"/>
      <c r="AA127" s="12"/>
      <c r="AB127" s="12"/>
      <c r="AC127" s="12"/>
    </row>
    <row r="128" ht="15.75" customHeight="1">
      <c r="A128" s="12"/>
      <c r="B128" s="12"/>
      <c r="C128" s="12"/>
      <c r="D128" s="12"/>
      <c r="E128" s="12"/>
      <c r="F128" s="12"/>
      <c r="G128" s="12"/>
      <c r="H128" s="12"/>
      <c r="I128" s="12"/>
      <c r="J128" s="12"/>
      <c r="K128" s="12"/>
      <c r="L128" s="12"/>
      <c r="M128" s="12"/>
      <c r="N128" s="12"/>
      <c r="O128" s="12"/>
      <c r="P128" s="12"/>
      <c r="Q128" s="12"/>
      <c r="R128" s="12"/>
      <c r="S128" s="12"/>
      <c r="T128" s="12"/>
      <c r="U128" s="12"/>
      <c r="V128" s="12"/>
      <c r="W128" s="12"/>
      <c r="X128" s="12"/>
      <c r="Y128" s="12"/>
      <c r="Z128" s="12"/>
      <c r="AA128" s="12"/>
      <c r="AB128" s="12"/>
      <c r="AC128" s="12"/>
    </row>
    <row r="129" ht="15.75" customHeight="1">
      <c r="A129" s="12"/>
      <c r="B129" s="12"/>
      <c r="C129" s="12"/>
      <c r="D129" s="12"/>
      <c r="E129" s="12"/>
      <c r="F129" s="12"/>
      <c r="G129" s="12"/>
      <c r="H129" s="12"/>
      <c r="I129" s="12"/>
      <c r="J129" s="12"/>
      <c r="K129" s="12"/>
      <c r="L129" s="12"/>
      <c r="M129" s="12"/>
      <c r="N129" s="12"/>
      <c r="O129" s="12"/>
      <c r="P129" s="12"/>
      <c r="Q129" s="12"/>
      <c r="R129" s="12"/>
      <c r="S129" s="12"/>
      <c r="T129" s="12"/>
      <c r="U129" s="12"/>
      <c r="V129" s="12"/>
      <c r="W129" s="12"/>
      <c r="X129" s="12"/>
      <c r="Y129" s="12"/>
      <c r="Z129" s="12"/>
      <c r="AA129" s="12"/>
      <c r="AB129" s="12"/>
      <c r="AC129" s="12"/>
    </row>
    <row r="130" ht="15.75" customHeight="1">
      <c r="A130" s="12"/>
      <c r="B130" s="12"/>
      <c r="C130" s="12"/>
      <c r="D130" s="12"/>
      <c r="E130" s="12"/>
      <c r="F130" s="12"/>
      <c r="G130" s="12"/>
      <c r="H130" s="12"/>
      <c r="I130" s="12"/>
      <c r="J130" s="12"/>
      <c r="K130" s="12"/>
      <c r="L130" s="12"/>
      <c r="M130" s="12"/>
      <c r="N130" s="12"/>
      <c r="O130" s="12"/>
      <c r="P130" s="12"/>
      <c r="Q130" s="12"/>
      <c r="R130" s="12"/>
      <c r="S130" s="12"/>
      <c r="T130" s="12"/>
      <c r="U130" s="12"/>
      <c r="V130" s="12"/>
      <c r="W130" s="12"/>
      <c r="X130" s="12"/>
      <c r="Y130" s="12"/>
      <c r="Z130" s="12"/>
      <c r="AA130" s="12"/>
      <c r="AB130" s="12"/>
      <c r="AC130" s="12"/>
    </row>
    <row r="131" ht="15.75" customHeight="1">
      <c r="A131" s="12"/>
      <c r="B131" s="12"/>
      <c r="C131" s="12"/>
      <c r="D131" s="12"/>
      <c r="E131" s="12"/>
      <c r="F131" s="12"/>
      <c r="G131" s="12"/>
      <c r="H131" s="12"/>
      <c r="I131" s="12"/>
      <c r="J131" s="12"/>
      <c r="K131" s="12"/>
      <c r="L131" s="12"/>
      <c r="M131" s="12"/>
      <c r="N131" s="12"/>
      <c r="O131" s="12"/>
      <c r="P131" s="12"/>
      <c r="Q131" s="12"/>
      <c r="R131" s="12"/>
      <c r="S131" s="12"/>
      <c r="T131" s="12"/>
      <c r="U131" s="12"/>
      <c r="V131" s="12"/>
      <c r="W131" s="12"/>
      <c r="X131" s="12"/>
      <c r="Y131" s="12"/>
      <c r="Z131" s="12"/>
      <c r="AA131" s="12"/>
      <c r="AB131" s="12"/>
      <c r="AC131" s="12"/>
    </row>
    <row r="132" ht="15.75" customHeight="1">
      <c r="A132" s="12"/>
      <c r="B132" s="12"/>
      <c r="C132" s="12"/>
      <c r="D132" s="12"/>
      <c r="E132" s="12"/>
      <c r="F132" s="12"/>
      <c r="G132" s="12"/>
      <c r="H132" s="12"/>
      <c r="I132" s="12"/>
      <c r="J132" s="12"/>
      <c r="K132" s="12"/>
      <c r="L132" s="12"/>
      <c r="M132" s="12"/>
      <c r="N132" s="12"/>
      <c r="O132" s="12"/>
      <c r="P132" s="12"/>
      <c r="Q132" s="12"/>
      <c r="R132" s="12"/>
      <c r="S132" s="12"/>
      <c r="T132" s="12"/>
      <c r="U132" s="12"/>
      <c r="V132" s="12"/>
      <c r="W132" s="12"/>
      <c r="X132" s="12"/>
      <c r="Y132" s="12"/>
      <c r="Z132" s="12"/>
      <c r="AA132" s="12"/>
      <c r="AB132" s="12"/>
      <c r="AC132" s="12"/>
    </row>
    <row r="133" ht="15.75" customHeight="1">
      <c r="A133" s="12"/>
      <c r="B133" s="12"/>
      <c r="C133" s="12"/>
      <c r="D133" s="12"/>
      <c r="E133" s="12"/>
      <c r="F133" s="12"/>
      <c r="G133" s="12"/>
      <c r="H133" s="12"/>
      <c r="I133" s="12"/>
      <c r="J133" s="12"/>
      <c r="K133" s="12"/>
      <c r="L133" s="12"/>
      <c r="M133" s="12"/>
      <c r="N133" s="12"/>
      <c r="O133" s="12"/>
      <c r="P133" s="12"/>
      <c r="Q133" s="12"/>
      <c r="R133" s="12"/>
      <c r="S133" s="12"/>
      <c r="T133" s="12"/>
      <c r="U133" s="12"/>
      <c r="V133" s="12"/>
      <c r="W133" s="12"/>
      <c r="X133" s="12"/>
      <c r="Y133" s="12"/>
      <c r="Z133" s="12"/>
      <c r="AA133" s="12"/>
      <c r="AB133" s="12"/>
      <c r="AC133" s="12"/>
    </row>
    <row r="134" ht="15.75" customHeight="1">
      <c r="A134" s="12"/>
      <c r="B134" s="12"/>
      <c r="C134" s="12"/>
      <c r="D134" s="12"/>
      <c r="E134" s="12"/>
      <c r="F134" s="12"/>
      <c r="G134" s="12"/>
      <c r="H134" s="12"/>
      <c r="I134" s="12"/>
      <c r="J134" s="12"/>
      <c r="K134" s="12"/>
      <c r="L134" s="12"/>
      <c r="M134" s="12"/>
      <c r="N134" s="12"/>
      <c r="O134" s="12"/>
      <c r="P134" s="12"/>
      <c r="Q134" s="12"/>
      <c r="R134" s="12"/>
      <c r="S134" s="12"/>
      <c r="T134" s="12"/>
      <c r="U134" s="12"/>
      <c r="V134" s="12"/>
      <c r="W134" s="12"/>
      <c r="X134" s="12"/>
      <c r="Y134" s="12"/>
      <c r="Z134" s="12"/>
      <c r="AA134" s="12"/>
      <c r="AB134" s="12"/>
      <c r="AC134" s="12"/>
    </row>
    <row r="135" ht="15.75" customHeight="1">
      <c r="A135" s="12"/>
      <c r="B135" s="12"/>
      <c r="C135" s="12"/>
      <c r="D135" s="12"/>
      <c r="E135" s="12"/>
      <c r="F135" s="12"/>
      <c r="G135" s="12"/>
      <c r="H135" s="12"/>
      <c r="I135" s="12"/>
      <c r="J135" s="12"/>
      <c r="K135" s="12"/>
      <c r="L135" s="12"/>
      <c r="M135" s="12"/>
      <c r="N135" s="12"/>
      <c r="O135" s="12"/>
      <c r="P135" s="12"/>
      <c r="Q135" s="12"/>
      <c r="R135" s="12"/>
      <c r="S135" s="12"/>
      <c r="T135" s="12"/>
      <c r="U135" s="12"/>
      <c r="V135" s="12"/>
      <c r="W135" s="12"/>
      <c r="X135" s="12"/>
      <c r="Y135" s="12"/>
      <c r="Z135" s="12"/>
      <c r="AA135" s="12"/>
      <c r="AB135" s="12"/>
      <c r="AC135" s="12"/>
    </row>
    <row r="136" ht="15.75" customHeight="1">
      <c r="A136" s="12"/>
      <c r="B136" s="12"/>
      <c r="C136" s="12"/>
      <c r="D136" s="12"/>
      <c r="E136" s="12"/>
      <c r="F136" s="12"/>
      <c r="G136" s="12"/>
      <c r="H136" s="12"/>
      <c r="I136" s="12"/>
      <c r="J136" s="12"/>
      <c r="K136" s="12"/>
      <c r="L136" s="12"/>
      <c r="M136" s="12"/>
      <c r="N136" s="12"/>
      <c r="O136" s="12"/>
      <c r="P136" s="12"/>
      <c r="Q136" s="12"/>
      <c r="R136" s="12"/>
      <c r="S136" s="12"/>
      <c r="T136" s="12"/>
      <c r="U136" s="12"/>
      <c r="V136" s="12"/>
      <c r="W136" s="12"/>
      <c r="X136" s="12"/>
      <c r="Y136" s="12"/>
      <c r="Z136" s="12"/>
      <c r="AA136" s="12"/>
      <c r="AB136" s="12"/>
      <c r="AC136" s="12"/>
    </row>
    <row r="137" ht="15.75" customHeight="1">
      <c r="A137" s="12"/>
      <c r="B137" s="12"/>
      <c r="C137" s="12"/>
      <c r="D137" s="12"/>
      <c r="E137" s="12"/>
      <c r="F137" s="12"/>
      <c r="G137" s="12"/>
      <c r="H137" s="12"/>
      <c r="I137" s="12"/>
      <c r="J137" s="12"/>
      <c r="K137" s="12"/>
      <c r="L137" s="12"/>
      <c r="M137" s="12"/>
      <c r="N137" s="12"/>
      <c r="O137" s="12"/>
      <c r="P137" s="12"/>
      <c r="Q137" s="12"/>
      <c r="R137" s="12"/>
      <c r="S137" s="12"/>
      <c r="T137" s="12"/>
      <c r="U137" s="12"/>
      <c r="V137" s="12"/>
      <c r="W137" s="12"/>
      <c r="X137" s="12"/>
      <c r="Y137" s="12"/>
      <c r="Z137" s="12"/>
      <c r="AA137" s="12"/>
      <c r="AB137" s="12"/>
      <c r="AC137" s="12"/>
    </row>
    <row r="138" ht="15.75" customHeight="1">
      <c r="A138" s="12"/>
      <c r="B138" s="12"/>
      <c r="C138" s="12"/>
      <c r="D138" s="12"/>
      <c r="E138" s="12"/>
      <c r="F138" s="12"/>
      <c r="G138" s="12"/>
      <c r="H138" s="12"/>
      <c r="I138" s="12"/>
      <c r="J138" s="12"/>
      <c r="K138" s="12"/>
      <c r="L138" s="12"/>
      <c r="M138" s="12"/>
      <c r="N138" s="12"/>
      <c r="O138" s="12"/>
      <c r="P138" s="12"/>
      <c r="Q138" s="12"/>
      <c r="R138" s="12"/>
      <c r="S138" s="12"/>
      <c r="T138" s="12"/>
      <c r="U138" s="12"/>
      <c r="V138" s="12"/>
      <c r="W138" s="12"/>
      <c r="X138" s="12"/>
      <c r="Y138" s="12"/>
      <c r="Z138" s="12"/>
      <c r="AA138" s="12"/>
      <c r="AB138" s="12"/>
      <c r="AC138" s="12"/>
    </row>
    <row r="139" ht="15.75" customHeight="1">
      <c r="A139" s="12"/>
      <c r="B139" s="12"/>
      <c r="C139" s="12"/>
      <c r="D139" s="12"/>
      <c r="E139" s="12"/>
      <c r="F139" s="12"/>
      <c r="G139" s="12"/>
      <c r="H139" s="12"/>
      <c r="I139" s="12"/>
      <c r="J139" s="12"/>
      <c r="K139" s="12"/>
      <c r="L139" s="12"/>
      <c r="M139" s="12"/>
      <c r="N139" s="12"/>
      <c r="O139" s="12"/>
      <c r="P139" s="12"/>
      <c r="Q139" s="12"/>
      <c r="R139" s="12"/>
      <c r="S139" s="12"/>
      <c r="T139" s="12"/>
      <c r="U139" s="12"/>
      <c r="V139" s="12"/>
      <c r="W139" s="12"/>
      <c r="X139" s="12"/>
      <c r="Y139" s="12"/>
      <c r="Z139" s="12"/>
      <c r="AA139" s="12"/>
      <c r="AB139" s="12"/>
      <c r="AC139" s="12"/>
    </row>
    <row r="140" ht="15.75" customHeight="1">
      <c r="A140" s="12"/>
      <c r="B140" s="12"/>
      <c r="C140" s="12"/>
      <c r="D140" s="12"/>
      <c r="E140" s="12"/>
      <c r="F140" s="12"/>
      <c r="G140" s="12"/>
      <c r="H140" s="12"/>
      <c r="I140" s="12"/>
      <c r="J140" s="12"/>
      <c r="K140" s="12"/>
      <c r="L140" s="12"/>
      <c r="M140" s="12"/>
      <c r="N140" s="12"/>
      <c r="O140" s="12"/>
      <c r="P140" s="12"/>
      <c r="Q140" s="12"/>
      <c r="R140" s="12"/>
      <c r="S140" s="12"/>
      <c r="T140" s="12"/>
      <c r="U140" s="12"/>
      <c r="V140" s="12"/>
      <c r="W140" s="12"/>
      <c r="X140" s="12"/>
      <c r="Y140" s="12"/>
      <c r="Z140" s="12"/>
      <c r="AA140" s="12"/>
      <c r="AB140" s="12"/>
      <c r="AC140" s="12"/>
    </row>
    <row r="141" ht="15.75" customHeight="1">
      <c r="A141" s="12"/>
      <c r="B141" s="12"/>
      <c r="C141" s="12"/>
      <c r="D141" s="12"/>
      <c r="E141" s="12"/>
      <c r="F141" s="12"/>
      <c r="G141" s="12"/>
      <c r="H141" s="12"/>
      <c r="I141" s="12"/>
      <c r="J141" s="12"/>
      <c r="K141" s="12"/>
      <c r="L141" s="12"/>
      <c r="M141" s="12"/>
      <c r="N141" s="12"/>
      <c r="O141" s="12"/>
      <c r="P141" s="12"/>
      <c r="Q141" s="12"/>
      <c r="R141" s="12"/>
      <c r="S141" s="12"/>
      <c r="T141" s="12"/>
      <c r="U141" s="12"/>
      <c r="V141" s="12"/>
      <c r="W141" s="12"/>
      <c r="X141" s="12"/>
      <c r="Y141" s="12"/>
      <c r="Z141" s="12"/>
      <c r="AA141" s="12"/>
      <c r="AB141" s="12"/>
      <c r="AC141" s="12"/>
    </row>
    <row r="142" ht="15.75" customHeight="1">
      <c r="A142" s="12"/>
      <c r="B142" s="12"/>
      <c r="C142" s="12"/>
      <c r="D142" s="12"/>
      <c r="E142" s="12"/>
      <c r="F142" s="12"/>
      <c r="G142" s="12"/>
      <c r="H142" s="12"/>
      <c r="I142" s="12"/>
      <c r="J142" s="12"/>
      <c r="K142" s="12"/>
      <c r="L142" s="12"/>
      <c r="M142" s="12"/>
      <c r="N142" s="12"/>
      <c r="O142" s="12"/>
      <c r="P142" s="12"/>
      <c r="Q142" s="12"/>
      <c r="R142" s="12"/>
      <c r="S142" s="12"/>
      <c r="T142" s="12"/>
      <c r="U142" s="12"/>
      <c r="V142" s="12"/>
      <c r="W142" s="12"/>
      <c r="X142" s="12"/>
      <c r="Y142" s="12"/>
      <c r="Z142" s="12"/>
      <c r="AA142" s="12"/>
      <c r="AB142" s="12"/>
      <c r="AC142" s="12"/>
    </row>
    <row r="143" ht="15.75" customHeight="1">
      <c r="A143" s="12"/>
      <c r="B143" s="12"/>
      <c r="C143" s="12"/>
      <c r="D143" s="12"/>
      <c r="E143" s="12"/>
      <c r="F143" s="12"/>
      <c r="G143" s="12"/>
      <c r="H143" s="12"/>
      <c r="I143" s="12"/>
      <c r="J143" s="12"/>
      <c r="K143" s="12"/>
      <c r="L143" s="12"/>
      <c r="M143" s="12"/>
      <c r="N143" s="12"/>
      <c r="O143" s="12"/>
      <c r="P143" s="12"/>
      <c r="Q143" s="12"/>
      <c r="R143" s="12"/>
      <c r="S143" s="12"/>
      <c r="T143" s="12"/>
      <c r="U143" s="12"/>
      <c r="V143" s="12"/>
      <c r="W143" s="12"/>
      <c r="X143" s="12"/>
      <c r="Y143" s="12"/>
      <c r="Z143" s="12"/>
      <c r="AA143" s="12"/>
      <c r="AB143" s="12"/>
      <c r="AC143" s="12"/>
    </row>
    <row r="144" ht="15.75" customHeight="1">
      <c r="A144" s="12"/>
      <c r="B144" s="12"/>
      <c r="C144" s="12"/>
      <c r="D144" s="12"/>
      <c r="E144" s="12"/>
      <c r="F144" s="12"/>
      <c r="G144" s="12"/>
      <c r="H144" s="12"/>
      <c r="I144" s="12"/>
      <c r="J144" s="12"/>
      <c r="K144" s="12"/>
      <c r="L144" s="12"/>
      <c r="M144" s="12"/>
      <c r="N144" s="12"/>
      <c r="O144" s="12"/>
      <c r="P144" s="12"/>
      <c r="Q144" s="12"/>
      <c r="R144" s="12"/>
      <c r="S144" s="12"/>
      <c r="T144" s="12"/>
      <c r="U144" s="12"/>
      <c r="V144" s="12"/>
      <c r="W144" s="12"/>
      <c r="X144" s="12"/>
      <c r="Y144" s="12"/>
      <c r="Z144" s="12"/>
      <c r="AA144" s="12"/>
      <c r="AB144" s="12"/>
      <c r="AC144" s="12"/>
    </row>
    <row r="145" ht="15.75" customHeight="1">
      <c r="A145" s="12"/>
      <c r="B145" s="12"/>
      <c r="C145" s="12"/>
      <c r="D145" s="12"/>
      <c r="E145" s="12"/>
      <c r="F145" s="12"/>
      <c r="G145" s="12"/>
      <c r="H145" s="12"/>
      <c r="I145" s="12"/>
      <c r="J145" s="12"/>
      <c r="K145" s="12"/>
      <c r="L145" s="12"/>
      <c r="M145" s="12"/>
      <c r="N145" s="12"/>
      <c r="O145" s="12"/>
      <c r="P145" s="12"/>
      <c r="Q145" s="12"/>
      <c r="R145" s="12"/>
      <c r="S145" s="12"/>
      <c r="T145" s="12"/>
      <c r="U145" s="12"/>
      <c r="V145" s="12"/>
      <c r="W145" s="12"/>
      <c r="X145" s="12"/>
      <c r="Y145" s="12"/>
      <c r="Z145" s="12"/>
      <c r="AA145" s="12"/>
      <c r="AB145" s="12"/>
      <c r="AC145" s="12"/>
    </row>
    <row r="146" ht="15.75" customHeight="1">
      <c r="A146" s="12"/>
      <c r="B146" s="12"/>
      <c r="C146" s="12"/>
      <c r="D146" s="12"/>
      <c r="E146" s="12"/>
      <c r="F146" s="12"/>
      <c r="G146" s="12"/>
      <c r="H146" s="12"/>
      <c r="I146" s="12"/>
      <c r="J146" s="12"/>
      <c r="K146" s="12"/>
      <c r="L146" s="12"/>
      <c r="M146" s="12"/>
      <c r="N146" s="12"/>
      <c r="O146" s="12"/>
      <c r="P146" s="12"/>
      <c r="Q146" s="12"/>
      <c r="R146" s="12"/>
      <c r="S146" s="12"/>
      <c r="T146" s="12"/>
      <c r="U146" s="12"/>
      <c r="V146" s="12"/>
      <c r="W146" s="12"/>
      <c r="X146" s="12"/>
      <c r="Y146" s="12"/>
      <c r="Z146" s="12"/>
      <c r="AA146" s="12"/>
      <c r="AB146" s="12"/>
      <c r="AC146" s="12"/>
    </row>
    <row r="147" ht="15.75" customHeight="1">
      <c r="A147" s="12"/>
      <c r="B147" s="12"/>
      <c r="C147" s="12"/>
      <c r="D147" s="12"/>
      <c r="E147" s="12"/>
      <c r="F147" s="12"/>
      <c r="G147" s="12"/>
      <c r="H147" s="12"/>
      <c r="I147" s="12"/>
      <c r="J147" s="12"/>
      <c r="K147" s="12"/>
      <c r="L147" s="12"/>
      <c r="M147" s="12"/>
      <c r="N147" s="12"/>
      <c r="O147" s="12"/>
      <c r="P147" s="12"/>
      <c r="Q147" s="12"/>
      <c r="R147" s="12"/>
      <c r="S147" s="12"/>
      <c r="T147" s="12"/>
      <c r="U147" s="12"/>
      <c r="V147" s="12"/>
      <c r="W147" s="12"/>
      <c r="X147" s="12"/>
      <c r="Y147" s="12"/>
      <c r="Z147" s="12"/>
      <c r="AA147" s="12"/>
      <c r="AB147" s="12"/>
      <c r="AC147" s="12"/>
    </row>
    <row r="148" ht="15.75" customHeight="1">
      <c r="A148" s="12"/>
      <c r="B148" s="12"/>
      <c r="C148" s="12"/>
      <c r="D148" s="12"/>
      <c r="E148" s="12"/>
      <c r="F148" s="12"/>
      <c r="G148" s="12"/>
      <c r="H148" s="12"/>
      <c r="I148" s="12"/>
      <c r="J148" s="12"/>
      <c r="K148" s="12"/>
      <c r="L148" s="12"/>
      <c r="M148" s="12"/>
      <c r="N148" s="12"/>
      <c r="O148" s="12"/>
      <c r="P148" s="12"/>
      <c r="Q148" s="12"/>
      <c r="R148" s="12"/>
      <c r="S148" s="12"/>
      <c r="T148" s="12"/>
      <c r="U148" s="12"/>
      <c r="V148" s="12"/>
      <c r="W148" s="12"/>
      <c r="X148" s="12"/>
      <c r="Y148" s="12"/>
      <c r="Z148" s="12"/>
      <c r="AA148" s="12"/>
      <c r="AB148" s="12"/>
      <c r="AC148" s="12"/>
    </row>
    <row r="149" ht="15.75" customHeight="1">
      <c r="A149" s="12"/>
      <c r="B149" s="12"/>
      <c r="C149" s="12"/>
      <c r="D149" s="12"/>
      <c r="E149" s="12"/>
      <c r="F149" s="12"/>
      <c r="G149" s="12"/>
      <c r="H149" s="12"/>
      <c r="I149" s="12"/>
      <c r="J149" s="12"/>
      <c r="K149" s="12"/>
      <c r="L149" s="12"/>
      <c r="M149" s="12"/>
      <c r="N149" s="12"/>
      <c r="O149" s="12"/>
      <c r="P149" s="12"/>
      <c r="Q149" s="12"/>
      <c r="R149" s="12"/>
      <c r="S149" s="12"/>
      <c r="T149" s="12"/>
      <c r="U149" s="12"/>
      <c r="V149" s="12"/>
      <c r="W149" s="12"/>
      <c r="X149" s="12"/>
      <c r="Y149" s="12"/>
      <c r="Z149" s="12"/>
      <c r="AA149" s="12"/>
      <c r="AB149" s="12"/>
      <c r="AC149" s="12"/>
    </row>
    <row r="150" ht="15.75" customHeight="1">
      <c r="A150" s="12"/>
      <c r="B150" s="12"/>
      <c r="C150" s="12"/>
      <c r="D150" s="12"/>
      <c r="E150" s="12"/>
      <c r="F150" s="12"/>
      <c r="G150" s="12"/>
      <c r="H150" s="12"/>
      <c r="I150" s="12"/>
      <c r="J150" s="12"/>
      <c r="K150" s="12"/>
      <c r="L150" s="12"/>
      <c r="M150" s="12"/>
      <c r="N150" s="12"/>
      <c r="O150" s="12"/>
      <c r="P150" s="12"/>
      <c r="Q150" s="12"/>
      <c r="R150" s="12"/>
      <c r="S150" s="12"/>
      <c r="T150" s="12"/>
      <c r="U150" s="12"/>
      <c r="V150" s="12"/>
      <c r="W150" s="12"/>
      <c r="X150" s="12"/>
      <c r="Y150" s="12"/>
      <c r="Z150" s="12"/>
      <c r="AA150" s="12"/>
      <c r="AB150" s="12"/>
      <c r="AC150" s="12"/>
    </row>
    <row r="151" ht="15.75" customHeight="1">
      <c r="A151" s="12"/>
      <c r="B151" s="12"/>
      <c r="C151" s="12"/>
      <c r="D151" s="12"/>
      <c r="E151" s="12"/>
      <c r="F151" s="12"/>
      <c r="G151" s="12"/>
      <c r="H151" s="12"/>
      <c r="I151" s="12"/>
      <c r="J151" s="12"/>
      <c r="K151" s="12"/>
      <c r="L151" s="12"/>
      <c r="M151" s="12"/>
      <c r="N151" s="12"/>
      <c r="O151" s="12"/>
      <c r="P151" s="12"/>
      <c r="Q151" s="12"/>
      <c r="R151" s="12"/>
      <c r="S151" s="12"/>
      <c r="T151" s="12"/>
      <c r="U151" s="12"/>
      <c r="V151" s="12"/>
      <c r="W151" s="12"/>
      <c r="X151" s="12"/>
      <c r="Y151" s="12"/>
      <c r="Z151" s="12"/>
      <c r="AA151" s="12"/>
      <c r="AB151" s="12"/>
      <c r="AC151" s="12"/>
    </row>
    <row r="152" ht="15.75" customHeight="1">
      <c r="A152" s="12"/>
      <c r="B152" s="12"/>
      <c r="C152" s="12"/>
      <c r="D152" s="12"/>
      <c r="E152" s="12"/>
      <c r="F152" s="12"/>
      <c r="G152" s="12"/>
      <c r="H152" s="12"/>
      <c r="I152" s="12"/>
      <c r="J152" s="12"/>
      <c r="K152" s="12"/>
      <c r="L152" s="12"/>
      <c r="M152" s="12"/>
      <c r="N152" s="12"/>
      <c r="O152" s="12"/>
      <c r="P152" s="12"/>
      <c r="Q152" s="12"/>
      <c r="R152" s="12"/>
      <c r="S152" s="12"/>
      <c r="T152" s="12"/>
      <c r="U152" s="12"/>
      <c r="V152" s="12"/>
      <c r="W152" s="12"/>
      <c r="X152" s="12"/>
      <c r="Y152" s="12"/>
      <c r="Z152" s="12"/>
      <c r="AA152" s="12"/>
      <c r="AB152" s="12"/>
      <c r="AC152" s="12"/>
    </row>
    <row r="153" ht="15.75" customHeight="1">
      <c r="A153" s="12"/>
      <c r="B153" s="12"/>
      <c r="C153" s="12"/>
      <c r="D153" s="12"/>
      <c r="E153" s="12"/>
      <c r="F153" s="12"/>
      <c r="G153" s="12"/>
      <c r="H153" s="12"/>
      <c r="I153" s="12"/>
      <c r="J153" s="12"/>
      <c r="K153" s="12"/>
      <c r="L153" s="12"/>
      <c r="M153" s="12"/>
      <c r="N153" s="12"/>
      <c r="O153" s="12"/>
      <c r="P153" s="12"/>
      <c r="Q153" s="12"/>
      <c r="R153" s="12"/>
      <c r="S153" s="12"/>
      <c r="T153" s="12"/>
      <c r="U153" s="12"/>
      <c r="V153" s="12"/>
      <c r="W153" s="12"/>
      <c r="X153" s="12"/>
      <c r="Y153" s="12"/>
      <c r="Z153" s="12"/>
      <c r="AA153" s="12"/>
      <c r="AB153" s="12"/>
      <c r="AC153" s="12"/>
    </row>
    <row r="154" ht="15.75" customHeight="1">
      <c r="A154" s="12"/>
      <c r="B154" s="12"/>
      <c r="C154" s="12"/>
      <c r="D154" s="12"/>
      <c r="E154" s="12"/>
      <c r="F154" s="12"/>
      <c r="G154" s="12"/>
      <c r="H154" s="12"/>
      <c r="I154" s="12"/>
      <c r="J154" s="12"/>
      <c r="K154" s="12"/>
      <c r="L154" s="12"/>
      <c r="M154" s="12"/>
      <c r="N154" s="12"/>
      <c r="O154" s="12"/>
      <c r="P154" s="12"/>
      <c r="Q154" s="12"/>
      <c r="R154" s="12"/>
      <c r="S154" s="12"/>
      <c r="T154" s="12"/>
      <c r="U154" s="12"/>
      <c r="V154" s="12"/>
      <c r="W154" s="12"/>
      <c r="X154" s="12"/>
      <c r="Y154" s="12"/>
      <c r="Z154" s="12"/>
      <c r="AA154" s="12"/>
      <c r="AB154" s="12"/>
      <c r="AC154" s="12"/>
    </row>
    <row r="155" ht="15.75" customHeight="1">
      <c r="A155" s="12"/>
      <c r="B155" s="12"/>
      <c r="C155" s="12"/>
      <c r="D155" s="12"/>
      <c r="E155" s="12"/>
      <c r="F155" s="12"/>
      <c r="G155" s="12"/>
      <c r="H155" s="12"/>
      <c r="I155" s="12"/>
      <c r="J155" s="12"/>
      <c r="K155" s="12"/>
      <c r="L155" s="12"/>
      <c r="M155" s="12"/>
      <c r="N155" s="12"/>
      <c r="O155" s="12"/>
      <c r="P155" s="12"/>
      <c r="Q155" s="12"/>
      <c r="R155" s="12"/>
      <c r="S155" s="12"/>
      <c r="T155" s="12"/>
      <c r="U155" s="12"/>
      <c r="V155" s="12"/>
      <c r="W155" s="12"/>
      <c r="X155" s="12"/>
      <c r="Y155" s="12"/>
      <c r="Z155" s="12"/>
      <c r="AA155" s="12"/>
      <c r="AB155" s="12"/>
      <c r="AC155" s="12"/>
    </row>
    <row r="156" ht="15.75" customHeight="1">
      <c r="A156" s="12"/>
      <c r="B156" s="12"/>
      <c r="C156" s="12"/>
      <c r="D156" s="12"/>
      <c r="E156" s="12"/>
      <c r="F156" s="12"/>
      <c r="G156" s="12"/>
      <c r="H156" s="12"/>
      <c r="I156" s="12"/>
      <c r="J156" s="12"/>
      <c r="K156" s="12"/>
      <c r="L156" s="12"/>
      <c r="M156" s="12"/>
      <c r="N156" s="12"/>
      <c r="O156" s="12"/>
      <c r="P156" s="12"/>
      <c r="Q156" s="12"/>
      <c r="R156" s="12"/>
      <c r="S156" s="12"/>
      <c r="T156" s="12"/>
      <c r="U156" s="12"/>
      <c r="V156" s="12"/>
      <c r="W156" s="12"/>
      <c r="X156" s="12"/>
      <c r="Y156" s="12"/>
      <c r="Z156" s="12"/>
      <c r="AA156" s="12"/>
      <c r="AB156" s="12"/>
      <c r="AC156" s="12"/>
    </row>
    <row r="157" ht="15.75" customHeight="1">
      <c r="A157" s="12"/>
      <c r="B157" s="12"/>
      <c r="C157" s="12"/>
      <c r="D157" s="12"/>
      <c r="E157" s="12"/>
      <c r="F157" s="12"/>
      <c r="G157" s="12"/>
      <c r="H157" s="12"/>
      <c r="I157" s="12"/>
      <c r="J157" s="12"/>
      <c r="K157" s="12"/>
      <c r="L157" s="12"/>
      <c r="M157" s="12"/>
      <c r="N157" s="12"/>
      <c r="O157" s="12"/>
      <c r="P157" s="12"/>
      <c r="Q157" s="12"/>
      <c r="R157" s="12"/>
      <c r="S157" s="12"/>
      <c r="T157" s="12"/>
      <c r="U157" s="12"/>
      <c r="V157" s="12"/>
      <c r="W157" s="12"/>
      <c r="X157" s="12"/>
      <c r="Y157" s="12"/>
      <c r="Z157" s="12"/>
      <c r="AA157" s="12"/>
      <c r="AB157" s="12"/>
      <c r="AC157" s="12"/>
    </row>
    <row r="158" ht="15.75" customHeight="1">
      <c r="A158" s="12"/>
      <c r="B158" s="12"/>
      <c r="C158" s="12"/>
      <c r="D158" s="12"/>
      <c r="E158" s="12"/>
      <c r="F158" s="12"/>
      <c r="G158" s="12"/>
      <c r="H158" s="12"/>
      <c r="I158" s="12"/>
      <c r="J158" s="12"/>
      <c r="K158" s="12"/>
      <c r="L158" s="12"/>
      <c r="M158" s="12"/>
      <c r="N158" s="12"/>
      <c r="O158" s="12"/>
      <c r="P158" s="12"/>
      <c r="Q158" s="12"/>
      <c r="R158" s="12"/>
      <c r="S158" s="12"/>
      <c r="T158" s="12"/>
      <c r="U158" s="12"/>
      <c r="V158" s="12"/>
      <c r="W158" s="12"/>
      <c r="X158" s="12"/>
      <c r="Y158" s="12"/>
      <c r="Z158" s="12"/>
      <c r="AA158" s="12"/>
      <c r="AB158" s="12"/>
      <c r="AC158" s="12"/>
    </row>
    <row r="159" ht="15.75" customHeight="1">
      <c r="A159" s="12"/>
      <c r="B159" s="12"/>
      <c r="C159" s="12"/>
      <c r="D159" s="12"/>
      <c r="E159" s="12"/>
      <c r="F159" s="12"/>
      <c r="G159" s="12"/>
      <c r="H159" s="12"/>
      <c r="I159" s="12"/>
      <c r="J159" s="12"/>
      <c r="K159" s="12"/>
      <c r="L159" s="12"/>
      <c r="M159" s="12"/>
      <c r="N159" s="12"/>
      <c r="O159" s="12"/>
      <c r="P159" s="12"/>
      <c r="Q159" s="12"/>
      <c r="R159" s="12"/>
      <c r="S159" s="12"/>
      <c r="T159" s="12"/>
      <c r="U159" s="12"/>
      <c r="V159" s="12"/>
      <c r="W159" s="12"/>
      <c r="X159" s="12"/>
      <c r="Y159" s="12"/>
      <c r="Z159" s="12"/>
      <c r="AA159" s="12"/>
      <c r="AB159" s="12"/>
      <c r="AC159" s="12"/>
    </row>
    <row r="160" ht="15.75" customHeight="1">
      <c r="A160" s="12"/>
      <c r="B160" s="12"/>
      <c r="C160" s="12"/>
      <c r="D160" s="12"/>
      <c r="E160" s="12"/>
      <c r="F160" s="12"/>
      <c r="G160" s="12"/>
      <c r="H160" s="12"/>
      <c r="I160" s="12"/>
      <c r="J160" s="12"/>
      <c r="K160" s="12"/>
      <c r="L160" s="12"/>
      <c r="M160" s="12"/>
      <c r="N160" s="12"/>
      <c r="O160" s="12"/>
      <c r="P160" s="12"/>
      <c r="Q160" s="12"/>
      <c r="R160" s="12"/>
      <c r="S160" s="12"/>
      <c r="T160" s="12"/>
      <c r="U160" s="12"/>
      <c r="V160" s="12"/>
      <c r="W160" s="12"/>
      <c r="X160" s="12"/>
      <c r="Y160" s="12"/>
      <c r="Z160" s="12"/>
      <c r="AA160" s="12"/>
      <c r="AB160" s="12"/>
      <c r="AC160" s="12"/>
    </row>
    <row r="161" ht="15.75" customHeight="1">
      <c r="A161" s="12"/>
      <c r="B161" s="12"/>
      <c r="C161" s="12"/>
      <c r="D161" s="12"/>
      <c r="E161" s="12"/>
      <c r="F161" s="12"/>
      <c r="G161" s="12"/>
      <c r="H161" s="12"/>
      <c r="I161" s="12"/>
      <c r="J161" s="12"/>
      <c r="K161" s="12"/>
      <c r="L161" s="12"/>
      <c r="M161" s="12"/>
      <c r="N161" s="12"/>
      <c r="O161" s="12"/>
      <c r="P161" s="12"/>
      <c r="Q161" s="12"/>
      <c r="R161" s="12"/>
      <c r="S161" s="12"/>
      <c r="T161" s="12"/>
      <c r="U161" s="12"/>
      <c r="V161" s="12"/>
      <c r="W161" s="12"/>
      <c r="X161" s="12"/>
      <c r="Y161" s="12"/>
      <c r="Z161" s="12"/>
      <c r="AA161" s="12"/>
      <c r="AB161" s="12"/>
      <c r="AC161" s="12"/>
    </row>
    <row r="162" ht="15.75" customHeight="1">
      <c r="A162" s="12"/>
      <c r="B162" s="12"/>
      <c r="C162" s="12"/>
      <c r="D162" s="12"/>
      <c r="E162" s="12"/>
      <c r="F162" s="12"/>
      <c r="G162" s="12"/>
      <c r="H162" s="12"/>
      <c r="I162" s="12"/>
      <c r="J162" s="12"/>
      <c r="K162" s="12"/>
      <c r="L162" s="12"/>
      <c r="M162" s="12"/>
      <c r="N162" s="12"/>
      <c r="O162" s="12"/>
      <c r="P162" s="12"/>
      <c r="Q162" s="12"/>
      <c r="R162" s="12"/>
      <c r="S162" s="12"/>
      <c r="T162" s="12"/>
      <c r="U162" s="12"/>
      <c r="V162" s="12"/>
      <c r="W162" s="12"/>
      <c r="X162" s="12"/>
      <c r="Y162" s="12"/>
      <c r="Z162" s="12"/>
      <c r="AA162" s="12"/>
      <c r="AB162" s="12"/>
      <c r="AC162" s="12"/>
    </row>
    <row r="163" ht="15.75" customHeight="1">
      <c r="A163" s="12"/>
      <c r="B163" s="12"/>
      <c r="C163" s="12"/>
      <c r="D163" s="12"/>
      <c r="E163" s="12"/>
      <c r="F163" s="12"/>
      <c r="G163" s="12"/>
      <c r="H163" s="12"/>
      <c r="I163" s="12"/>
      <c r="J163" s="12"/>
      <c r="K163" s="12"/>
      <c r="L163" s="12"/>
      <c r="M163" s="12"/>
      <c r="N163" s="12"/>
      <c r="O163" s="12"/>
      <c r="P163" s="12"/>
      <c r="Q163" s="12"/>
      <c r="R163" s="12"/>
      <c r="S163" s="12"/>
      <c r="T163" s="12"/>
      <c r="U163" s="12"/>
      <c r="V163" s="12"/>
      <c r="W163" s="12"/>
      <c r="X163" s="12"/>
      <c r="Y163" s="12"/>
      <c r="Z163" s="12"/>
      <c r="AA163" s="12"/>
      <c r="AB163" s="12"/>
      <c r="AC163" s="12"/>
    </row>
    <row r="164" ht="15.75" customHeight="1">
      <c r="A164" s="12"/>
      <c r="B164" s="12"/>
      <c r="C164" s="12"/>
      <c r="D164" s="12"/>
      <c r="E164" s="12"/>
      <c r="F164" s="12"/>
      <c r="G164" s="12"/>
      <c r="H164" s="12"/>
      <c r="I164" s="12"/>
      <c r="J164" s="12"/>
      <c r="K164" s="12"/>
      <c r="L164" s="12"/>
      <c r="M164" s="12"/>
      <c r="N164" s="12"/>
      <c r="O164" s="12"/>
      <c r="P164" s="12"/>
      <c r="Q164" s="12"/>
      <c r="R164" s="12"/>
      <c r="S164" s="12"/>
      <c r="T164" s="12"/>
      <c r="U164" s="12"/>
      <c r="V164" s="12"/>
      <c r="W164" s="12"/>
      <c r="X164" s="12"/>
      <c r="Y164" s="12"/>
      <c r="Z164" s="12"/>
      <c r="AA164" s="12"/>
      <c r="AB164" s="12"/>
      <c r="AC164" s="12"/>
    </row>
    <row r="165" ht="15.75" customHeight="1">
      <c r="A165" s="12"/>
      <c r="B165" s="12"/>
      <c r="C165" s="12"/>
      <c r="D165" s="12"/>
      <c r="E165" s="12"/>
      <c r="F165" s="12"/>
      <c r="G165" s="12"/>
      <c r="H165" s="12"/>
      <c r="I165" s="12"/>
      <c r="J165" s="12"/>
      <c r="K165" s="12"/>
      <c r="L165" s="12"/>
      <c r="M165" s="12"/>
      <c r="N165" s="12"/>
      <c r="O165" s="12"/>
      <c r="P165" s="12"/>
      <c r="Q165" s="12"/>
      <c r="R165" s="12"/>
      <c r="S165" s="12"/>
      <c r="T165" s="12"/>
      <c r="U165" s="12"/>
      <c r="V165" s="12"/>
      <c r="W165" s="12"/>
      <c r="X165" s="12"/>
      <c r="Y165" s="12"/>
      <c r="Z165" s="12"/>
      <c r="AA165" s="12"/>
      <c r="AB165" s="12"/>
      <c r="AC165" s="12"/>
    </row>
    <row r="166" ht="15.75" customHeight="1">
      <c r="A166" s="12"/>
      <c r="B166" s="12"/>
      <c r="C166" s="12"/>
      <c r="D166" s="12"/>
      <c r="E166" s="12"/>
      <c r="F166" s="12"/>
      <c r="G166" s="12"/>
      <c r="H166" s="12"/>
      <c r="I166" s="12"/>
      <c r="J166" s="12"/>
      <c r="K166" s="12"/>
      <c r="L166" s="12"/>
      <c r="M166" s="12"/>
      <c r="N166" s="12"/>
      <c r="O166" s="12"/>
      <c r="P166" s="12"/>
      <c r="Q166" s="12"/>
      <c r="R166" s="12"/>
      <c r="S166" s="12"/>
      <c r="T166" s="12"/>
      <c r="U166" s="12"/>
      <c r="V166" s="12"/>
      <c r="W166" s="12"/>
      <c r="X166" s="12"/>
      <c r="Y166" s="12"/>
      <c r="Z166" s="12"/>
      <c r="AA166" s="12"/>
      <c r="AB166" s="12"/>
      <c r="AC166" s="12"/>
    </row>
    <row r="167" ht="15.75" customHeight="1">
      <c r="A167" s="12"/>
      <c r="B167" s="12"/>
      <c r="C167" s="12"/>
      <c r="D167" s="12"/>
      <c r="E167" s="12"/>
      <c r="F167" s="12"/>
      <c r="G167" s="12"/>
      <c r="H167" s="12"/>
      <c r="I167" s="12"/>
      <c r="J167" s="12"/>
      <c r="K167" s="12"/>
      <c r="L167" s="12"/>
      <c r="M167" s="12"/>
      <c r="N167" s="12"/>
      <c r="O167" s="12"/>
      <c r="P167" s="12"/>
      <c r="Q167" s="12"/>
      <c r="R167" s="12"/>
      <c r="S167" s="12"/>
      <c r="T167" s="12"/>
      <c r="U167" s="12"/>
      <c r="V167" s="12"/>
      <c r="W167" s="12"/>
      <c r="X167" s="12"/>
      <c r="Y167" s="12"/>
      <c r="Z167" s="12"/>
      <c r="AA167" s="12"/>
      <c r="AB167" s="12"/>
      <c r="AC167" s="12"/>
    </row>
    <row r="168" ht="15.75" customHeight="1">
      <c r="A168" s="12"/>
      <c r="B168" s="12"/>
      <c r="C168" s="12"/>
      <c r="D168" s="12"/>
      <c r="E168" s="12"/>
      <c r="F168" s="12"/>
      <c r="G168" s="12"/>
      <c r="H168" s="12"/>
      <c r="I168" s="12"/>
      <c r="J168" s="12"/>
      <c r="K168" s="12"/>
      <c r="L168" s="12"/>
      <c r="M168" s="12"/>
      <c r="N168" s="12"/>
      <c r="O168" s="12"/>
      <c r="P168" s="12"/>
      <c r="Q168" s="12"/>
      <c r="R168" s="12"/>
      <c r="S168" s="12"/>
      <c r="T168" s="12"/>
      <c r="U168" s="12"/>
      <c r="V168" s="12"/>
      <c r="W168" s="12"/>
      <c r="X168" s="12"/>
      <c r="Y168" s="12"/>
      <c r="Z168" s="12"/>
      <c r="AA168" s="12"/>
      <c r="AB168" s="12"/>
      <c r="AC168" s="12"/>
    </row>
    <row r="169" ht="15.75" customHeight="1">
      <c r="A169" s="12"/>
      <c r="B169" s="12"/>
      <c r="C169" s="12"/>
      <c r="D169" s="12"/>
      <c r="E169" s="12"/>
      <c r="F169" s="12"/>
      <c r="G169" s="12"/>
      <c r="H169" s="12"/>
      <c r="I169" s="12"/>
      <c r="J169" s="12"/>
      <c r="K169" s="12"/>
      <c r="L169" s="12"/>
      <c r="M169" s="12"/>
      <c r="N169" s="12"/>
      <c r="O169" s="12"/>
      <c r="P169" s="12"/>
      <c r="Q169" s="12"/>
      <c r="R169" s="12"/>
      <c r="S169" s="12"/>
      <c r="T169" s="12"/>
      <c r="U169" s="12"/>
      <c r="V169" s="12"/>
      <c r="W169" s="12"/>
      <c r="X169" s="12"/>
      <c r="Y169" s="12"/>
      <c r="Z169" s="12"/>
      <c r="AA169" s="12"/>
      <c r="AB169" s="12"/>
      <c r="AC169" s="12"/>
    </row>
    <row r="170" ht="15.75" customHeight="1">
      <c r="A170" s="12"/>
      <c r="B170" s="12"/>
      <c r="C170" s="12"/>
      <c r="D170" s="12"/>
      <c r="E170" s="12"/>
      <c r="F170" s="12"/>
      <c r="G170" s="12"/>
      <c r="H170" s="12"/>
      <c r="I170" s="12"/>
      <c r="J170" s="12"/>
      <c r="K170" s="12"/>
      <c r="L170" s="12"/>
      <c r="M170" s="12"/>
      <c r="N170" s="12"/>
      <c r="O170" s="12"/>
      <c r="P170" s="12"/>
      <c r="Q170" s="12"/>
      <c r="R170" s="12"/>
      <c r="S170" s="12"/>
      <c r="T170" s="12"/>
      <c r="U170" s="12"/>
      <c r="V170" s="12"/>
      <c r="W170" s="12"/>
      <c r="X170" s="12"/>
      <c r="Y170" s="12"/>
      <c r="Z170" s="12"/>
      <c r="AA170" s="12"/>
      <c r="AB170" s="12"/>
      <c r="AC170" s="12"/>
    </row>
    <row r="171" ht="15.75" customHeight="1">
      <c r="A171" s="12"/>
      <c r="B171" s="12"/>
      <c r="C171" s="12"/>
      <c r="D171" s="12"/>
      <c r="E171" s="12"/>
      <c r="F171" s="12"/>
      <c r="G171" s="12"/>
      <c r="H171" s="12"/>
      <c r="I171" s="12"/>
      <c r="J171" s="12"/>
      <c r="K171" s="12"/>
      <c r="L171" s="12"/>
      <c r="M171" s="12"/>
      <c r="N171" s="12"/>
      <c r="O171" s="12"/>
      <c r="P171" s="12"/>
      <c r="Q171" s="12"/>
      <c r="R171" s="12"/>
      <c r="S171" s="12"/>
      <c r="T171" s="12"/>
      <c r="U171" s="12"/>
      <c r="V171" s="12"/>
      <c r="W171" s="12"/>
      <c r="X171" s="12"/>
      <c r="Y171" s="12"/>
      <c r="Z171" s="12"/>
      <c r="AA171" s="12"/>
      <c r="AB171" s="12"/>
      <c r="AC171" s="12"/>
    </row>
    <row r="172" ht="15.75" customHeight="1">
      <c r="A172" s="12"/>
      <c r="B172" s="12"/>
      <c r="C172" s="12"/>
      <c r="D172" s="12"/>
      <c r="E172" s="12"/>
      <c r="F172" s="12"/>
      <c r="G172" s="12"/>
      <c r="H172" s="12"/>
      <c r="I172" s="12"/>
      <c r="J172" s="12"/>
      <c r="K172" s="12"/>
      <c r="L172" s="12"/>
      <c r="M172" s="12"/>
      <c r="N172" s="12"/>
      <c r="O172" s="12"/>
      <c r="P172" s="12"/>
      <c r="Q172" s="12"/>
      <c r="R172" s="12"/>
      <c r="S172" s="12"/>
      <c r="T172" s="12"/>
      <c r="U172" s="12"/>
      <c r="V172" s="12"/>
      <c r="W172" s="12"/>
      <c r="X172" s="12"/>
      <c r="Y172" s="12"/>
      <c r="Z172" s="12"/>
      <c r="AA172" s="12"/>
      <c r="AB172" s="12"/>
      <c r="AC172" s="12"/>
    </row>
    <row r="173" ht="15.75" customHeight="1">
      <c r="A173" s="12"/>
      <c r="B173" s="12"/>
      <c r="C173" s="12"/>
      <c r="D173" s="12"/>
      <c r="E173" s="12"/>
      <c r="F173" s="12"/>
      <c r="G173" s="12"/>
      <c r="H173" s="12"/>
      <c r="I173" s="12"/>
      <c r="J173" s="12"/>
      <c r="K173" s="12"/>
      <c r="L173" s="12"/>
      <c r="M173" s="12"/>
      <c r="N173" s="12"/>
      <c r="O173" s="12"/>
      <c r="P173" s="12"/>
      <c r="Q173" s="12"/>
      <c r="R173" s="12"/>
      <c r="S173" s="12"/>
      <c r="T173" s="12"/>
      <c r="U173" s="12"/>
      <c r="V173" s="12"/>
      <c r="W173" s="12"/>
      <c r="X173" s="12"/>
      <c r="Y173" s="12"/>
      <c r="Z173" s="12"/>
      <c r="AA173" s="12"/>
      <c r="AB173" s="12"/>
      <c r="AC173" s="12"/>
    </row>
    <row r="174" ht="15.75" customHeight="1">
      <c r="A174" s="12"/>
      <c r="B174" s="12"/>
      <c r="C174" s="12"/>
      <c r="D174" s="12"/>
      <c r="E174" s="12"/>
      <c r="F174" s="12"/>
      <c r="G174" s="12"/>
      <c r="H174" s="12"/>
      <c r="I174" s="12"/>
      <c r="J174" s="12"/>
      <c r="K174" s="12"/>
      <c r="L174" s="12"/>
      <c r="M174" s="12"/>
      <c r="N174" s="12"/>
      <c r="O174" s="12"/>
      <c r="P174" s="12"/>
      <c r="Q174" s="12"/>
      <c r="R174" s="12"/>
      <c r="S174" s="12"/>
      <c r="T174" s="12"/>
      <c r="U174" s="12"/>
      <c r="V174" s="12"/>
      <c r="W174" s="12"/>
      <c r="X174" s="12"/>
      <c r="Y174" s="12"/>
      <c r="Z174" s="12"/>
      <c r="AA174" s="12"/>
      <c r="AB174" s="12"/>
      <c r="AC174" s="12"/>
    </row>
    <row r="175" ht="15.75" customHeight="1">
      <c r="A175" s="12"/>
      <c r="B175" s="12"/>
      <c r="C175" s="12"/>
      <c r="D175" s="12"/>
      <c r="E175" s="12"/>
      <c r="F175" s="12"/>
      <c r="G175" s="12"/>
      <c r="H175" s="12"/>
      <c r="I175" s="12"/>
      <c r="J175" s="12"/>
      <c r="K175" s="12"/>
      <c r="L175" s="12"/>
      <c r="M175" s="12"/>
      <c r="N175" s="12"/>
      <c r="O175" s="12"/>
      <c r="P175" s="12"/>
      <c r="Q175" s="12"/>
      <c r="R175" s="12"/>
      <c r="S175" s="12"/>
      <c r="T175" s="12"/>
      <c r="U175" s="12"/>
      <c r="V175" s="12"/>
      <c r="W175" s="12"/>
      <c r="X175" s="12"/>
      <c r="Y175" s="12"/>
      <c r="Z175" s="12"/>
      <c r="AA175" s="12"/>
      <c r="AB175" s="12"/>
      <c r="AC175" s="12"/>
    </row>
    <row r="176" ht="15.75" customHeight="1">
      <c r="A176" s="12"/>
      <c r="B176" s="12"/>
      <c r="C176" s="12"/>
      <c r="D176" s="12"/>
      <c r="E176" s="12"/>
      <c r="F176" s="12"/>
      <c r="G176" s="12"/>
      <c r="H176" s="12"/>
      <c r="I176" s="12"/>
      <c r="J176" s="12"/>
      <c r="K176" s="12"/>
      <c r="L176" s="12"/>
      <c r="M176" s="12"/>
      <c r="N176" s="12"/>
      <c r="O176" s="12"/>
      <c r="P176" s="12"/>
      <c r="Q176" s="12"/>
      <c r="R176" s="12"/>
      <c r="S176" s="12"/>
      <c r="T176" s="12"/>
      <c r="U176" s="12"/>
      <c r="V176" s="12"/>
      <c r="W176" s="12"/>
      <c r="X176" s="12"/>
      <c r="Y176" s="12"/>
      <c r="Z176" s="12"/>
      <c r="AA176" s="12"/>
      <c r="AB176" s="12"/>
      <c r="AC176" s="12"/>
    </row>
    <row r="177" ht="15.75" customHeight="1">
      <c r="A177" s="12"/>
      <c r="B177" s="12"/>
      <c r="C177" s="12"/>
      <c r="D177" s="12"/>
      <c r="E177" s="12"/>
      <c r="F177" s="12"/>
      <c r="G177" s="12"/>
      <c r="H177" s="12"/>
      <c r="I177" s="12"/>
      <c r="J177" s="12"/>
      <c r="K177" s="12"/>
      <c r="L177" s="12"/>
      <c r="M177" s="12"/>
      <c r="N177" s="12"/>
      <c r="O177" s="12"/>
      <c r="P177" s="12"/>
      <c r="Q177" s="12"/>
      <c r="R177" s="12"/>
      <c r="S177" s="12"/>
      <c r="T177" s="12"/>
      <c r="U177" s="12"/>
      <c r="V177" s="12"/>
      <c r="W177" s="12"/>
      <c r="X177" s="12"/>
      <c r="Y177" s="12"/>
      <c r="Z177" s="12"/>
      <c r="AA177" s="12"/>
      <c r="AB177" s="12"/>
      <c r="AC177" s="12"/>
    </row>
    <row r="178" ht="15.75" customHeight="1">
      <c r="A178" s="12"/>
      <c r="B178" s="12"/>
      <c r="C178" s="12"/>
      <c r="D178" s="12"/>
      <c r="E178" s="12"/>
      <c r="F178" s="12"/>
      <c r="G178" s="12"/>
      <c r="H178" s="12"/>
      <c r="I178" s="12"/>
      <c r="J178" s="12"/>
      <c r="K178" s="12"/>
      <c r="L178" s="12"/>
      <c r="M178" s="12"/>
      <c r="N178" s="12"/>
      <c r="O178" s="12"/>
      <c r="P178" s="12"/>
      <c r="Q178" s="12"/>
      <c r="R178" s="12"/>
      <c r="S178" s="12"/>
      <c r="T178" s="12"/>
      <c r="U178" s="12"/>
      <c r="V178" s="12"/>
      <c r="W178" s="12"/>
      <c r="X178" s="12"/>
      <c r="Y178" s="12"/>
      <c r="Z178" s="12"/>
      <c r="AA178" s="12"/>
      <c r="AB178" s="12"/>
      <c r="AC178" s="12"/>
    </row>
    <row r="179" ht="15.75" customHeight="1">
      <c r="A179" s="12"/>
      <c r="B179" s="12"/>
      <c r="C179" s="12"/>
      <c r="D179" s="12"/>
      <c r="E179" s="12"/>
      <c r="F179" s="12"/>
      <c r="G179" s="12"/>
      <c r="H179" s="12"/>
      <c r="I179" s="12"/>
      <c r="J179" s="12"/>
      <c r="K179" s="12"/>
      <c r="L179" s="12"/>
      <c r="M179" s="12"/>
      <c r="N179" s="12"/>
      <c r="O179" s="12"/>
      <c r="P179" s="12"/>
      <c r="Q179" s="12"/>
      <c r="R179" s="12"/>
      <c r="S179" s="12"/>
      <c r="T179" s="12"/>
      <c r="U179" s="12"/>
      <c r="V179" s="12"/>
      <c r="W179" s="12"/>
      <c r="X179" s="12"/>
      <c r="Y179" s="12"/>
      <c r="Z179" s="12"/>
      <c r="AA179" s="12"/>
      <c r="AB179" s="12"/>
      <c r="AC179" s="12"/>
    </row>
    <row r="180" ht="15.75" customHeight="1">
      <c r="A180" s="12"/>
      <c r="B180" s="12"/>
      <c r="C180" s="12"/>
      <c r="D180" s="12"/>
      <c r="E180" s="12"/>
      <c r="F180" s="12"/>
      <c r="G180" s="12"/>
      <c r="H180" s="12"/>
      <c r="I180" s="12"/>
      <c r="J180" s="12"/>
      <c r="K180" s="12"/>
      <c r="L180" s="12"/>
      <c r="M180" s="12"/>
      <c r="N180" s="12"/>
      <c r="O180" s="12"/>
      <c r="P180" s="12"/>
      <c r="Q180" s="12"/>
      <c r="R180" s="12"/>
      <c r="S180" s="12"/>
      <c r="T180" s="12"/>
      <c r="U180" s="12"/>
      <c r="V180" s="12"/>
      <c r="W180" s="12"/>
      <c r="X180" s="12"/>
      <c r="Y180" s="12"/>
      <c r="Z180" s="12"/>
      <c r="AA180" s="12"/>
      <c r="AB180" s="12"/>
      <c r="AC180" s="12"/>
    </row>
    <row r="181" ht="15.75" customHeight="1">
      <c r="A181" s="12"/>
      <c r="B181" s="12"/>
      <c r="C181" s="12"/>
      <c r="D181" s="12"/>
      <c r="E181" s="12"/>
      <c r="F181" s="12"/>
      <c r="G181" s="12"/>
      <c r="H181" s="12"/>
      <c r="I181" s="12"/>
      <c r="J181" s="12"/>
      <c r="K181" s="12"/>
      <c r="L181" s="12"/>
      <c r="M181" s="12"/>
      <c r="N181" s="12"/>
      <c r="O181" s="12"/>
      <c r="P181" s="12"/>
      <c r="Q181" s="12"/>
      <c r="R181" s="12"/>
      <c r="S181" s="12"/>
      <c r="T181" s="12"/>
      <c r="U181" s="12"/>
      <c r="V181" s="12"/>
      <c r="W181" s="12"/>
      <c r="X181" s="12"/>
      <c r="Y181" s="12"/>
      <c r="Z181" s="12"/>
      <c r="AA181" s="12"/>
      <c r="AB181" s="12"/>
      <c r="AC181" s="12"/>
    </row>
    <row r="182" ht="15.75" customHeight="1">
      <c r="A182" s="12"/>
      <c r="B182" s="12"/>
      <c r="C182" s="12"/>
      <c r="D182" s="12"/>
      <c r="E182" s="12"/>
      <c r="F182" s="12"/>
      <c r="G182" s="12"/>
      <c r="H182" s="12"/>
      <c r="I182" s="12"/>
      <c r="J182" s="12"/>
      <c r="K182" s="12"/>
      <c r="L182" s="12"/>
      <c r="M182" s="12"/>
      <c r="N182" s="12"/>
      <c r="O182" s="12"/>
      <c r="P182" s="12"/>
      <c r="Q182" s="12"/>
      <c r="R182" s="12"/>
      <c r="S182" s="12"/>
      <c r="T182" s="12"/>
      <c r="U182" s="12"/>
      <c r="V182" s="12"/>
      <c r="W182" s="12"/>
      <c r="X182" s="12"/>
      <c r="Y182" s="12"/>
      <c r="Z182" s="12"/>
      <c r="AA182" s="12"/>
      <c r="AB182" s="12"/>
      <c r="AC182" s="12"/>
    </row>
    <row r="183" ht="15.75" customHeight="1">
      <c r="A183" s="12"/>
      <c r="B183" s="12"/>
      <c r="C183" s="12"/>
      <c r="D183" s="12"/>
      <c r="E183" s="12"/>
      <c r="F183" s="12"/>
      <c r="G183" s="12"/>
      <c r="H183" s="12"/>
      <c r="I183" s="12"/>
      <c r="J183" s="12"/>
      <c r="K183" s="12"/>
      <c r="L183" s="12"/>
      <c r="M183" s="12"/>
      <c r="N183" s="12"/>
      <c r="O183" s="12"/>
      <c r="P183" s="12"/>
      <c r="Q183" s="12"/>
      <c r="R183" s="12"/>
      <c r="S183" s="12"/>
      <c r="T183" s="12"/>
      <c r="U183" s="12"/>
      <c r="V183" s="12"/>
      <c r="W183" s="12"/>
      <c r="X183" s="12"/>
      <c r="Y183" s="12"/>
      <c r="Z183" s="12"/>
      <c r="AA183" s="12"/>
      <c r="AB183" s="12"/>
      <c r="AC183" s="12"/>
    </row>
    <row r="184" ht="15.75" customHeight="1">
      <c r="A184" s="12"/>
      <c r="B184" s="12"/>
      <c r="C184" s="12"/>
      <c r="D184" s="12"/>
      <c r="E184" s="12"/>
      <c r="F184" s="12"/>
      <c r="G184" s="12"/>
      <c r="H184" s="12"/>
      <c r="I184" s="12"/>
      <c r="J184" s="12"/>
      <c r="K184" s="12"/>
      <c r="L184" s="12"/>
      <c r="M184" s="12"/>
      <c r="N184" s="12"/>
      <c r="O184" s="12"/>
      <c r="P184" s="12"/>
      <c r="Q184" s="12"/>
      <c r="R184" s="12"/>
      <c r="S184" s="12"/>
      <c r="T184" s="12"/>
      <c r="U184" s="12"/>
      <c r="V184" s="12"/>
      <c r="W184" s="12"/>
      <c r="X184" s="12"/>
      <c r="Y184" s="12"/>
      <c r="Z184" s="12"/>
      <c r="AA184" s="12"/>
      <c r="AB184" s="12"/>
      <c r="AC184" s="12"/>
    </row>
    <row r="185" ht="15.75" customHeight="1">
      <c r="A185" s="12"/>
      <c r="B185" s="12"/>
      <c r="C185" s="12"/>
      <c r="D185" s="12"/>
      <c r="E185" s="12"/>
      <c r="F185" s="12"/>
      <c r="G185" s="12"/>
      <c r="H185" s="12"/>
      <c r="I185" s="12"/>
      <c r="J185" s="12"/>
      <c r="K185" s="12"/>
      <c r="L185" s="12"/>
      <c r="M185" s="12"/>
      <c r="N185" s="12"/>
      <c r="O185" s="12"/>
      <c r="P185" s="12"/>
      <c r="Q185" s="12"/>
      <c r="R185" s="12"/>
      <c r="S185" s="12"/>
      <c r="T185" s="12"/>
      <c r="U185" s="12"/>
      <c r="V185" s="12"/>
      <c r="W185" s="12"/>
      <c r="X185" s="12"/>
      <c r="Y185" s="12"/>
      <c r="Z185" s="12"/>
      <c r="AA185" s="12"/>
      <c r="AB185" s="12"/>
      <c r="AC185" s="12"/>
    </row>
    <row r="186" ht="15.75" customHeight="1">
      <c r="A186" s="12"/>
      <c r="B186" s="12"/>
      <c r="C186" s="12"/>
      <c r="D186" s="12"/>
      <c r="E186" s="12"/>
      <c r="F186" s="12"/>
      <c r="G186" s="12"/>
      <c r="H186" s="12"/>
      <c r="I186" s="12"/>
      <c r="J186" s="12"/>
      <c r="K186" s="12"/>
      <c r="L186" s="12"/>
      <c r="M186" s="12"/>
      <c r="N186" s="12"/>
      <c r="O186" s="12"/>
      <c r="P186" s="12"/>
      <c r="Q186" s="12"/>
      <c r="R186" s="12"/>
      <c r="S186" s="12"/>
      <c r="T186" s="12"/>
      <c r="U186" s="12"/>
      <c r="V186" s="12"/>
      <c r="W186" s="12"/>
      <c r="X186" s="12"/>
      <c r="Y186" s="12"/>
      <c r="Z186" s="12"/>
      <c r="AA186" s="12"/>
      <c r="AB186" s="12"/>
      <c r="AC186" s="12"/>
    </row>
    <row r="187" ht="15.75" customHeight="1">
      <c r="A187" s="12"/>
      <c r="B187" s="12"/>
      <c r="C187" s="12"/>
      <c r="D187" s="12"/>
      <c r="E187" s="12"/>
      <c r="F187" s="12"/>
      <c r="G187" s="12"/>
      <c r="H187" s="12"/>
      <c r="I187" s="12"/>
      <c r="J187" s="12"/>
      <c r="K187" s="12"/>
      <c r="L187" s="12"/>
      <c r="M187" s="12"/>
      <c r="N187" s="12"/>
      <c r="O187" s="12"/>
      <c r="P187" s="12"/>
      <c r="Q187" s="12"/>
      <c r="R187" s="12"/>
      <c r="S187" s="12"/>
      <c r="T187" s="12"/>
      <c r="U187" s="12"/>
      <c r="V187" s="12"/>
      <c r="W187" s="12"/>
      <c r="X187" s="12"/>
      <c r="Y187" s="12"/>
      <c r="Z187" s="12"/>
      <c r="AA187" s="12"/>
      <c r="AB187" s="12"/>
      <c r="AC187" s="12"/>
    </row>
    <row r="188" ht="15.75" customHeight="1">
      <c r="A188" s="12"/>
      <c r="B188" s="12"/>
      <c r="C188" s="12"/>
      <c r="D188" s="12"/>
      <c r="E188" s="12"/>
      <c r="F188" s="12"/>
      <c r="G188" s="12"/>
      <c r="H188" s="12"/>
      <c r="I188" s="12"/>
      <c r="J188" s="12"/>
      <c r="K188" s="12"/>
      <c r="L188" s="12"/>
      <c r="M188" s="12"/>
      <c r="N188" s="12"/>
      <c r="O188" s="12"/>
      <c r="P188" s="12"/>
      <c r="Q188" s="12"/>
      <c r="R188" s="12"/>
      <c r="S188" s="12"/>
      <c r="T188" s="12"/>
      <c r="U188" s="12"/>
      <c r="V188" s="12"/>
      <c r="W188" s="12"/>
      <c r="X188" s="12"/>
      <c r="Y188" s="12"/>
      <c r="Z188" s="12"/>
      <c r="AA188" s="12"/>
      <c r="AB188" s="12"/>
      <c r="AC188" s="12"/>
    </row>
    <row r="189" ht="15.75" customHeight="1">
      <c r="A189" s="12"/>
      <c r="B189" s="12"/>
      <c r="C189" s="12"/>
      <c r="D189" s="12"/>
      <c r="E189" s="12"/>
      <c r="F189" s="12"/>
      <c r="G189" s="12"/>
      <c r="H189" s="12"/>
      <c r="I189" s="12"/>
      <c r="J189" s="12"/>
      <c r="K189" s="12"/>
      <c r="L189" s="12"/>
      <c r="M189" s="12"/>
      <c r="N189" s="12"/>
      <c r="O189" s="12"/>
      <c r="P189" s="12"/>
      <c r="Q189" s="12"/>
      <c r="R189" s="12"/>
      <c r="S189" s="12"/>
      <c r="T189" s="12"/>
      <c r="U189" s="12"/>
      <c r="V189" s="12"/>
      <c r="W189" s="12"/>
      <c r="X189" s="12"/>
      <c r="Y189" s="12"/>
      <c r="Z189" s="12"/>
      <c r="AA189" s="12"/>
      <c r="AB189" s="12"/>
      <c r="AC189" s="12"/>
    </row>
    <row r="190" ht="15.75" customHeight="1">
      <c r="A190" s="12"/>
      <c r="B190" s="12"/>
      <c r="C190" s="12"/>
      <c r="D190" s="12"/>
      <c r="E190" s="12"/>
      <c r="F190" s="12"/>
      <c r="G190" s="12"/>
      <c r="H190" s="12"/>
      <c r="I190" s="12"/>
      <c r="J190" s="12"/>
      <c r="K190" s="12"/>
      <c r="L190" s="12"/>
      <c r="M190" s="12"/>
      <c r="N190" s="12"/>
      <c r="O190" s="12"/>
      <c r="P190" s="12"/>
      <c r="Q190" s="12"/>
      <c r="R190" s="12"/>
      <c r="S190" s="12"/>
      <c r="T190" s="12"/>
      <c r="U190" s="12"/>
      <c r="V190" s="12"/>
      <c r="W190" s="12"/>
      <c r="X190" s="12"/>
      <c r="Y190" s="12"/>
      <c r="Z190" s="12"/>
      <c r="AA190" s="12"/>
      <c r="AB190" s="12"/>
      <c r="AC190" s="12"/>
    </row>
    <row r="191" ht="15.75" customHeight="1">
      <c r="A191" s="12"/>
      <c r="B191" s="12"/>
      <c r="C191" s="12"/>
      <c r="D191" s="12"/>
      <c r="E191" s="12"/>
      <c r="F191" s="12"/>
      <c r="G191" s="12"/>
      <c r="H191" s="12"/>
      <c r="I191" s="12"/>
      <c r="J191" s="12"/>
      <c r="K191" s="12"/>
      <c r="L191" s="12"/>
      <c r="M191" s="12"/>
      <c r="N191" s="12"/>
      <c r="O191" s="12"/>
      <c r="P191" s="12"/>
      <c r="Q191" s="12"/>
      <c r="R191" s="12"/>
      <c r="S191" s="12"/>
      <c r="T191" s="12"/>
      <c r="U191" s="12"/>
      <c r="V191" s="12"/>
      <c r="W191" s="12"/>
      <c r="X191" s="12"/>
      <c r="Y191" s="12"/>
      <c r="Z191" s="12"/>
      <c r="AA191" s="12"/>
      <c r="AB191" s="12"/>
      <c r="AC191" s="12"/>
    </row>
    <row r="192" ht="15.75" customHeight="1">
      <c r="A192" s="12"/>
      <c r="B192" s="12"/>
      <c r="C192" s="12"/>
      <c r="D192" s="12"/>
      <c r="E192" s="12"/>
      <c r="F192" s="12"/>
      <c r="G192" s="12"/>
      <c r="H192" s="12"/>
      <c r="I192" s="12"/>
      <c r="J192" s="12"/>
      <c r="K192" s="12"/>
      <c r="L192" s="12"/>
      <c r="M192" s="12"/>
      <c r="N192" s="12"/>
      <c r="O192" s="12"/>
      <c r="P192" s="12"/>
      <c r="Q192" s="12"/>
      <c r="R192" s="12"/>
      <c r="S192" s="12"/>
      <c r="T192" s="12"/>
      <c r="U192" s="12"/>
      <c r="V192" s="12"/>
      <c r="W192" s="12"/>
      <c r="X192" s="12"/>
      <c r="Y192" s="12"/>
      <c r="Z192" s="12"/>
      <c r="AA192" s="12"/>
      <c r="AB192" s="12"/>
      <c r="AC192" s="12"/>
    </row>
    <row r="193" ht="15.75" customHeight="1">
      <c r="A193" s="12"/>
      <c r="B193" s="12"/>
      <c r="C193" s="12"/>
      <c r="D193" s="12"/>
      <c r="E193" s="12"/>
      <c r="F193" s="12"/>
      <c r="G193" s="12"/>
      <c r="H193" s="12"/>
      <c r="I193" s="12"/>
      <c r="J193" s="12"/>
      <c r="K193" s="12"/>
      <c r="L193" s="12"/>
      <c r="M193" s="12"/>
      <c r="N193" s="12"/>
      <c r="O193" s="12"/>
      <c r="P193" s="12"/>
      <c r="Q193" s="12"/>
      <c r="R193" s="12"/>
      <c r="S193" s="12"/>
      <c r="T193" s="12"/>
      <c r="U193" s="12"/>
      <c r="V193" s="12"/>
      <c r="W193" s="12"/>
      <c r="X193" s="12"/>
      <c r="Y193" s="12"/>
      <c r="Z193" s="12"/>
      <c r="AA193" s="12"/>
      <c r="AB193" s="12"/>
      <c r="AC193" s="12"/>
    </row>
    <row r="194" ht="15.75" customHeight="1">
      <c r="A194" s="12"/>
      <c r="B194" s="12"/>
      <c r="C194" s="12"/>
      <c r="D194" s="12"/>
      <c r="E194" s="12"/>
      <c r="F194" s="12"/>
      <c r="G194" s="12"/>
      <c r="H194" s="12"/>
      <c r="I194" s="12"/>
      <c r="J194" s="12"/>
      <c r="K194" s="12"/>
      <c r="L194" s="12"/>
      <c r="M194" s="12"/>
      <c r="N194" s="12"/>
      <c r="O194" s="12"/>
      <c r="P194" s="12"/>
      <c r="Q194" s="12"/>
      <c r="R194" s="12"/>
      <c r="S194" s="12"/>
      <c r="T194" s="12"/>
      <c r="U194" s="12"/>
      <c r="V194" s="12"/>
      <c r="W194" s="12"/>
      <c r="X194" s="12"/>
      <c r="Y194" s="12"/>
      <c r="Z194" s="12"/>
      <c r="AA194" s="12"/>
      <c r="AB194" s="12"/>
      <c r="AC194" s="12"/>
    </row>
    <row r="195" ht="15.75" customHeight="1">
      <c r="A195" s="12"/>
      <c r="B195" s="12"/>
      <c r="C195" s="12"/>
      <c r="D195" s="12"/>
      <c r="E195" s="12"/>
      <c r="F195" s="12"/>
      <c r="G195" s="12"/>
      <c r="H195" s="12"/>
      <c r="I195" s="12"/>
      <c r="J195" s="12"/>
      <c r="K195" s="12"/>
      <c r="L195" s="12"/>
      <c r="M195" s="12"/>
      <c r="N195" s="12"/>
      <c r="O195" s="12"/>
      <c r="P195" s="12"/>
      <c r="Q195" s="12"/>
      <c r="R195" s="12"/>
      <c r="S195" s="12"/>
      <c r="T195" s="12"/>
      <c r="U195" s="12"/>
      <c r="V195" s="12"/>
      <c r="W195" s="12"/>
      <c r="X195" s="12"/>
      <c r="Y195" s="12"/>
      <c r="Z195" s="12"/>
      <c r="AA195" s="12"/>
      <c r="AB195" s="12"/>
      <c r="AC195" s="12"/>
    </row>
    <row r="196" ht="15.75" customHeight="1">
      <c r="A196" s="12"/>
      <c r="B196" s="12"/>
      <c r="C196" s="12"/>
      <c r="D196" s="12"/>
      <c r="E196" s="12"/>
      <c r="F196" s="12"/>
      <c r="G196" s="12"/>
      <c r="H196" s="12"/>
      <c r="I196" s="12"/>
      <c r="J196" s="12"/>
      <c r="K196" s="12"/>
      <c r="L196" s="12"/>
      <c r="M196" s="12"/>
      <c r="N196" s="12"/>
      <c r="O196" s="12"/>
      <c r="P196" s="12"/>
      <c r="Q196" s="12"/>
      <c r="R196" s="12"/>
      <c r="S196" s="12"/>
      <c r="T196" s="12"/>
      <c r="U196" s="12"/>
      <c r="V196" s="12"/>
      <c r="W196" s="12"/>
      <c r="X196" s="12"/>
      <c r="Y196" s="12"/>
      <c r="Z196" s="12"/>
      <c r="AA196" s="12"/>
      <c r="AB196" s="12"/>
      <c r="AC196" s="12"/>
    </row>
    <row r="197" ht="15.75" customHeight="1">
      <c r="A197" s="12"/>
      <c r="B197" s="12"/>
      <c r="C197" s="12"/>
      <c r="D197" s="12"/>
      <c r="E197" s="12"/>
      <c r="F197" s="12"/>
      <c r="G197" s="12"/>
      <c r="H197" s="12"/>
      <c r="I197" s="12"/>
      <c r="J197" s="12"/>
      <c r="K197" s="12"/>
      <c r="L197" s="12"/>
      <c r="M197" s="12"/>
      <c r="N197" s="12"/>
      <c r="O197" s="12"/>
      <c r="P197" s="12"/>
      <c r="Q197" s="12"/>
      <c r="R197" s="12"/>
      <c r="S197" s="12"/>
      <c r="T197" s="12"/>
      <c r="U197" s="12"/>
      <c r="V197" s="12"/>
      <c r="W197" s="12"/>
      <c r="X197" s="12"/>
      <c r="Y197" s="12"/>
      <c r="Z197" s="12"/>
      <c r="AA197" s="12"/>
      <c r="AB197" s="12"/>
      <c r="AC197" s="12"/>
    </row>
    <row r="198" ht="15.75" customHeight="1">
      <c r="A198" s="12"/>
      <c r="B198" s="12"/>
      <c r="C198" s="12"/>
      <c r="D198" s="12"/>
      <c r="E198" s="12"/>
      <c r="F198" s="12"/>
      <c r="G198" s="12"/>
      <c r="H198" s="12"/>
      <c r="I198" s="12"/>
      <c r="J198" s="12"/>
      <c r="K198" s="12"/>
      <c r="L198" s="12"/>
      <c r="M198" s="12"/>
      <c r="N198" s="12"/>
      <c r="O198" s="12"/>
      <c r="P198" s="12"/>
      <c r="Q198" s="12"/>
      <c r="R198" s="12"/>
      <c r="S198" s="12"/>
      <c r="T198" s="12"/>
      <c r="U198" s="12"/>
      <c r="V198" s="12"/>
      <c r="W198" s="12"/>
      <c r="X198" s="12"/>
      <c r="Y198" s="12"/>
      <c r="Z198" s="12"/>
      <c r="AA198" s="12"/>
      <c r="AB198" s="12"/>
      <c r="AC198" s="12"/>
    </row>
    <row r="199" ht="15.75" customHeight="1">
      <c r="A199" s="12"/>
      <c r="B199" s="12"/>
      <c r="C199" s="12"/>
      <c r="D199" s="12"/>
      <c r="E199" s="12"/>
      <c r="F199" s="12"/>
      <c r="G199" s="12"/>
      <c r="H199" s="12"/>
      <c r="I199" s="12"/>
      <c r="J199" s="12"/>
      <c r="K199" s="12"/>
      <c r="L199" s="12"/>
      <c r="M199" s="12"/>
      <c r="N199" s="12"/>
      <c r="O199" s="12"/>
      <c r="P199" s="12"/>
      <c r="Q199" s="12"/>
      <c r="R199" s="12"/>
      <c r="S199" s="12"/>
      <c r="T199" s="12"/>
      <c r="U199" s="12"/>
      <c r="V199" s="12"/>
      <c r="W199" s="12"/>
      <c r="X199" s="12"/>
      <c r="Y199" s="12"/>
      <c r="Z199" s="12"/>
      <c r="AA199" s="12"/>
      <c r="AB199" s="12"/>
      <c r="AC199" s="12"/>
    </row>
    <row r="200" ht="15.75" customHeight="1">
      <c r="A200" s="12"/>
      <c r="B200" s="12"/>
      <c r="C200" s="12"/>
      <c r="D200" s="12"/>
      <c r="E200" s="12"/>
      <c r="F200" s="12"/>
      <c r="G200" s="12"/>
      <c r="H200" s="12"/>
      <c r="I200" s="12"/>
      <c r="J200" s="12"/>
      <c r="K200" s="12"/>
      <c r="L200" s="12"/>
      <c r="M200" s="12"/>
      <c r="N200" s="12"/>
      <c r="O200" s="12"/>
      <c r="P200" s="12"/>
      <c r="Q200" s="12"/>
      <c r="R200" s="12"/>
      <c r="S200" s="12"/>
      <c r="T200" s="12"/>
      <c r="U200" s="12"/>
      <c r="V200" s="12"/>
      <c r="W200" s="12"/>
      <c r="X200" s="12"/>
      <c r="Y200" s="12"/>
      <c r="Z200" s="12"/>
      <c r="AA200" s="12"/>
      <c r="AB200" s="12"/>
      <c r="AC200" s="12"/>
    </row>
    <row r="201" ht="15.75" customHeight="1">
      <c r="A201" s="12"/>
      <c r="B201" s="12"/>
      <c r="C201" s="12"/>
      <c r="D201" s="12"/>
      <c r="E201" s="12"/>
      <c r="F201" s="12"/>
      <c r="G201" s="12"/>
      <c r="H201" s="12"/>
      <c r="I201" s="12"/>
      <c r="J201" s="12"/>
      <c r="K201" s="12"/>
      <c r="L201" s="12"/>
      <c r="M201" s="12"/>
      <c r="N201" s="12"/>
      <c r="O201" s="12"/>
      <c r="P201" s="12"/>
      <c r="Q201" s="12"/>
      <c r="R201" s="12"/>
      <c r="S201" s="12"/>
      <c r="T201" s="12"/>
      <c r="U201" s="12"/>
      <c r="V201" s="12"/>
      <c r="W201" s="12"/>
      <c r="X201" s="12"/>
      <c r="Y201" s="12"/>
      <c r="Z201" s="12"/>
      <c r="AA201" s="12"/>
      <c r="AB201" s="12"/>
      <c r="AC201" s="12"/>
    </row>
    <row r="202" ht="15.75" customHeight="1">
      <c r="A202" s="12"/>
      <c r="B202" s="12"/>
      <c r="C202" s="12"/>
      <c r="D202" s="12"/>
      <c r="E202" s="12"/>
      <c r="F202" s="12"/>
      <c r="G202" s="12"/>
      <c r="H202" s="12"/>
      <c r="I202" s="12"/>
      <c r="J202" s="12"/>
      <c r="K202" s="12"/>
      <c r="L202" s="12"/>
      <c r="M202" s="12"/>
      <c r="N202" s="12"/>
      <c r="O202" s="12"/>
      <c r="P202" s="12"/>
      <c r="Q202" s="12"/>
      <c r="R202" s="12"/>
      <c r="S202" s="12"/>
      <c r="T202" s="12"/>
      <c r="U202" s="12"/>
      <c r="V202" s="12"/>
      <c r="W202" s="12"/>
      <c r="X202" s="12"/>
      <c r="Y202" s="12"/>
      <c r="Z202" s="12"/>
      <c r="AA202" s="12"/>
      <c r="AB202" s="12"/>
      <c r="AC202" s="12"/>
    </row>
    <row r="203" ht="15.75" customHeight="1">
      <c r="A203" s="12"/>
      <c r="B203" s="12"/>
      <c r="C203" s="12"/>
      <c r="D203" s="12"/>
      <c r="E203" s="12"/>
      <c r="F203" s="12"/>
      <c r="G203" s="12"/>
      <c r="H203" s="12"/>
      <c r="I203" s="12"/>
      <c r="J203" s="12"/>
      <c r="K203" s="12"/>
      <c r="L203" s="12"/>
      <c r="M203" s="12"/>
      <c r="N203" s="12"/>
      <c r="O203" s="12"/>
      <c r="P203" s="12"/>
      <c r="Q203" s="12"/>
      <c r="R203" s="12"/>
      <c r="S203" s="12"/>
      <c r="T203" s="12"/>
      <c r="U203" s="12"/>
      <c r="V203" s="12"/>
      <c r="W203" s="12"/>
      <c r="X203" s="12"/>
      <c r="Y203" s="12"/>
      <c r="Z203" s="12"/>
      <c r="AA203" s="12"/>
      <c r="AB203" s="12"/>
      <c r="AC203" s="12"/>
    </row>
    <row r="204" ht="15.75" customHeight="1">
      <c r="A204" s="12"/>
      <c r="B204" s="12"/>
      <c r="C204" s="12"/>
      <c r="D204" s="12"/>
      <c r="E204" s="12"/>
      <c r="F204" s="12"/>
      <c r="G204" s="12"/>
      <c r="H204" s="12"/>
      <c r="I204" s="12"/>
      <c r="J204" s="12"/>
      <c r="K204" s="12"/>
      <c r="L204" s="12"/>
      <c r="M204" s="12"/>
      <c r="N204" s="12"/>
      <c r="O204" s="12"/>
      <c r="P204" s="12"/>
      <c r="Q204" s="12"/>
      <c r="R204" s="12"/>
      <c r="S204" s="12"/>
      <c r="T204" s="12"/>
      <c r="U204" s="12"/>
      <c r="V204" s="12"/>
      <c r="W204" s="12"/>
      <c r="X204" s="12"/>
      <c r="Y204" s="12"/>
      <c r="Z204" s="12"/>
      <c r="AA204" s="12"/>
      <c r="AB204" s="12"/>
      <c r="AC204" s="12"/>
    </row>
    <row r="205" ht="15.75" customHeight="1">
      <c r="A205" s="12"/>
      <c r="B205" s="12"/>
      <c r="C205" s="12"/>
      <c r="D205" s="12"/>
      <c r="E205" s="12"/>
      <c r="F205" s="12"/>
      <c r="G205" s="12"/>
      <c r="H205" s="12"/>
      <c r="I205" s="12"/>
      <c r="J205" s="12"/>
      <c r="K205" s="12"/>
      <c r="L205" s="12"/>
      <c r="M205" s="12"/>
      <c r="N205" s="12"/>
      <c r="O205" s="12"/>
      <c r="P205" s="12"/>
      <c r="Q205" s="12"/>
      <c r="R205" s="12"/>
      <c r="S205" s="12"/>
      <c r="T205" s="12"/>
      <c r="U205" s="12"/>
      <c r="V205" s="12"/>
      <c r="W205" s="12"/>
      <c r="X205" s="12"/>
      <c r="Y205" s="12"/>
      <c r="Z205" s="12"/>
      <c r="AA205" s="12"/>
      <c r="AB205" s="12"/>
      <c r="AC205" s="12"/>
    </row>
    <row r="206" ht="15.75" customHeight="1">
      <c r="A206" s="12"/>
      <c r="B206" s="12"/>
      <c r="C206" s="12"/>
      <c r="D206" s="12"/>
      <c r="E206" s="12"/>
      <c r="F206" s="12"/>
      <c r="G206" s="12"/>
      <c r="H206" s="12"/>
      <c r="I206" s="12"/>
      <c r="J206" s="12"/>
      <c r="K206" s="12"/>
      <c r="L206" s="12"/>
      <c r="M206" s="12"/>
      <c r="N206" s="12"/>
      <c r="O206" s="12"/>
      <c r="P206" s="12"/>
      <c r="Q206" s="12"/>
      <c r="R206" s="12"/>
      <c r="S206" s="12"/>
      <c r="T206" s="12"/>
      <c r="U206" s="12"/>
      <c r="V206" s="12"/>
      <c r="W206" s="12"/>
      <c r="X206" s="12"/>
      <c r="Y206" s="12"/>
      <c r="Z206" s="12"/>
      <c r="AA206" s="12"/>
      <c r="AB206" s="12"/>
      <c r="AC206" s="12"/>
    </row>
    <row r="207" ht="15.75" customHeight="1">
      <c r="A207" s="12"/>
      <c r="B207" s="12"/>
      <c r="C207" s="12"/>
      <c r="D207" s="12"/>
      <c r="E207" s="12"/>
      <c r="F207" s="12"/>
      <c r="G207" s="12"/>
      <c r="H207" s="12"/>
      <c r="I207" s="12"/>
      <c r="J207" s="12"/>
      <c r="K207" s="12"/>
      <c r="L207" s="12"/>
      <c r="M207" s="12"/>
      <c r="N207" s="12"/>
      <c r="O207" s="12"/>
      <c r="P207" s="12"/>
      <c r="Q207" s="12"/>
      <c r="R207" s="12"/>
      <c r="S207" s="12"/>
      <c r="T207" s="12"/>
      <c r="U207" s="12"/>
      <c r="V207" s="12"/>
      <c r="W207" s="12"/>
      <c r="X207" s="12"/>
      <c r="Y207" s="12"/>
      <c r="Z207" s="12"/>
      <c r="AA207" s="12"/>
      <c r="AB207" s="12"/>
      <c r="AC207" s="12"/>
    </row>
    <row r="208" ht="15.75" customHeight="1">
      <c r="A208" s="12"/>
      <c r="B208" s="12"/>
      <c r="C208" s="12"/>
      <c r="D208" s="12"/>
      <c r="E208" s="12"/>
      <c r="F208" s="12"/>
      <c r="G208" s="12"/>
      <c r="H208" s="12"/>
      <c r="I208" s="12"/>
      <c r="J208" s="12"/>
      <c r="K208" s="12"/>
      <c r="L208" s="12"/>
      <c r="M208" s="12"/>
      <c r="N208" s="12"/>
      <c r="O208" s="12"/>
      <c r="P208" s="12"/>
      <c r="Q208" s="12"/>
      <c r="R208" s="12"/>
      <c r="S208" s="12"/>
      <c r="T208" s="12"/>
      <c r="U208" s="12"/>
      <c r="V208" s="12"/>
      <c r="W208" s="12"/>
      <c r="X208" s="12"/>
      <c r="Y208" s="12"/>
      <c r="Z208" s="12"/>
      <c r="AA208" s="12"/>
      <c r="AB208" s="12"/>
      <c r="AC208" s="12"/>
    </row>
    <row r="209" ht="15.75" customHeight="1">
      <c r="A209" s="12"/>
      <c r="B209" s="12"/>
      <c r="C209" s="12"/>
      <c r="D209" s="12"/>
      <c r="E209" s="12"/>
      <c r="F209" s="12"/>
      <c r="G209" s="12"/>
      <c r="H209" s="12"/>
      <c r="I209" s="12"/>
      <c r="J209" s="12"/>
      <c r="K209" s="12"/>
      <c r="L209" s="12"/>
      <c r="M209" s="12"/>
      <c r="N209" s="12"/>
      <c r="O209" s="12"/>
      <c r="P209" s="12"/>
      <c r="Q209" s="12"/>
      <c r="R209" s="12"/>
      <c r="S209" s="12"/>
      <c r="T209" s="12"/>
      <c r="U209" s="12"/>
      <c r="V209" s="12"/>
      <c r="W209" s="12"/>
      <c r="X209" s="12"/>
      <c r="Y209" s="12"/>
      <c r="Z209" s="12"/>
      <c r="AA209" s="12"/>
      <c r="AB209" s="12"/>
      <c r="AC209" s="12"/>
    </row>
    <row r="210" ht="15.75" customHeight="1">
      <c r="A210" s="12"/>
      <c r="B210" s="12"/>
      <c r="C210" s="12"/>
      <c r="D210" s="12"/>
      <c r="E210" s="12"/>
      <c r="F210" s="12"/>
      <c r="G210" s="12"/>
      <c r="H210" s="12"/>
      <c r="I210" s="12"/>
      <c r="J210" s="12"/>
      <c r="K210" s="12"/>
      <c r="L210" s="12"/>
      <c r="M210" s="12"/>
      <c r="N210" s="12"/>
      <c r="O210" s="12"/>
      <c r="P210" s="12"/>
      <c r="Q210" s="12"/>
      <c r="R210" s="12"/>
      <c r="S210" s="12"/>
      <c r="T210" s="12"/>
      <c r="U210" s="12"/>
      <c r="V210" s="12"/>
      <c r="W210" s="12"/>
      <c r="X210" s="12"/>
      <c r="Y210" s="12"/>
      <c r="Z210" s="12"/>
      <c r="AA210" s="12"/>
      <c r="AB210" s="12"/>
      <c r="AC210" s="12"/>
    </row>
    <row r="211" ht="15.75" customHeight="1">
      <c r="A211" s="12"/>
      <c r="B211" s="12"/>
      <c r="C211" s="12"/>
      <c r="D211" s="12"/>
      <c r="E211" s="12"/>
      <c r="F211" s="12"/>
      <c r="G211" s="12"/>
      <c r="H211" s="12"/>
      <c r="I211" s="12"/>
      <c r="J211" s="12"/>
      <c r="K211" s="12"/>
      <c r="L211" s="12"/>
      <c r="M211" s="12"/>
      <c r="N211" s="12"/>
      <c r="O211" s="12"/>
      <c r="P211" s="12"/>
      <c r="Q211" s="12"/>
      <c r="R211" s="12"/>
      <c r="S211" s="12"/>
      <c r="T211" s="12"/>
      <c r="U211" s="12"/>
      <c r="V211" s="12"/>
      <c r="W211" s="12"/>
      <c r="X211" s="12"/>
      <c r="Y211" s="12"/>
      <c r="Z211" s="12"/>
      <c r="AA211" s="12"/>
      <c r="AB211" s="12"/>
      <c r="AC211" s="12"/>
    </row>
    <row r="212" ht="15.75" customHeight="1">
      <c r="A212" s="12"/>
      <c r="B212" s="12"/>
      <c r="C212" s="12"/>
      <c r="D212" s="12"/>
      <c r="E212" s="12"/>
      <c r="F212" s="12"/>
      <c r="G212" s="12"/>
      <c r="H212" s="12"/>
      <c r="I212" s="12"/>
      <c r="J212" s="12"/>
      <c r="K212" s="12"/>
      <c r="L212" s="12"/>
      <c r="M212" s="12"/>
      <c r="N212" s="12"/>
      <c r="O212" s="12"/>
      <c r="P212" s="12"/>
      <c r="Q212" s="12"/>
      <c r="R212" s="12"/>
      <c r="S212" s="12"/>
      <c r="T212" s="12"/>
      <c r="U212" s="12"/>
      <c r="V212" s="12"/>
      <c r="W212" s="12"/>
      <c r="X212" s="12"/>
      <c r="Y212" s="12"/>
      <c r="Z212" s="12"/>
      <c r="AA212" s="12"/>
      <c r="AB212" s="12"/>
      <c r="AC212" s="12"/>
    </row>
    <row r="213" ht="15.75" customHeight="1">
      <c r="A213" s="12"/>
      <c r="B213" s="12"/>
      <c r="C213" s="12"/>
      <c r="D213" s="12"/>
      <c r="E213" s="12"/>
      <c r="F213" s="12"/>
      <c r="G213" s="12"/>
      <c r="H213" s="12"/>
      <c r="I213" s="12"/>
      <c r="J213" s="12"/>
      <c r="K213" s="12"/>
      <c r="L213" s="12"/>
      <c r="M213" s="12"/>
      <c r="N213" s="12"/>
      <c r="O213" s="12"/>
      <c r="P213" s="12"/>
      <c r="Q213" s="12"/>
      <c r="R213" s="12"/>
      <c r="S213" s="12"/>
      <c r="T213" s="12"/>
      <c r="U213" s="12"/>
      <c r="V213" s="12"/>
      <c r="W213" s="12"/>
      <c r="X213" s="12"/>
      <c r="Y213" s="12"/>
      <c r="Z213" s="12"/>
      <c r="AA213" s="12"/>
      <c r="AB213" s="12"/>
      <c r="AC213" s="12"/>
    </row>
    <row r="214" ht="15.75" customHeight="1">
      <c r="A214" s="12"/>
      <c r="B214" s="12"/>
      <c r="C214" s="12"/>
      <c r="D214" s="12"/>
      <c r="E214" s="12"/>
      <c r="F214" s="12"/>
      <c r="G214" s="12"/>
      <c r="H214" s="12"/>
      <c r="I214" s="12"/>
      <c r="J214" s="12"/>
      <c r="K214" s="12"/>
      <c r="L214" s="12"/>
      <c r="M214" s="12"/>
      <c r="N214" s="12"/>
      <c r="O214" s="12"/>
      <c r="P214" s="12"/>
      <c r="Q214" s="12"/>
      <c r="R214" s="12"/>
      <c r="S214" s="12"/>
      <c r="T214" s="12"/>
      <c r="U214" s="12"/>
      <c r="V214" s="12"/>
      <c r="W214" s="12"/>
      <c r="X214" s="12"/>
      <c r="Y214" s="12"/>
      <c r="Z214" s="12"/>
      <c r="AA214" s="12"/>
      <c r="AB214" s="12"/>
      <c r="AC214" s="12"/>
    </row>
    <row r="215" ht="15.75" customHeight="1">
      <c r="A215" s="12"/>
      <c r="B215" s="12"/>
      <c r="C215" s="12"/>
      <c r="D215" s="12"/>
      <c r="E215" s="12"/>
      <c r="F215" s="12"/>
      <c r="G215" s="12"/>
      <c r="H215" s="12"/>
      <c r="I215" s="12"/>
      <c r="J215" s="12"/>
      <c r="K215" s="12"/>
      <c r="L215" s="12"/>
      <c r="M215" s="12"/>
      <c r="N215" s="12"/>
      <c r="O215" s="12"/>
      <c r="P215" s="12"/>
      <c r="Q215" s="12"/>
      <c r="R215" s="12"/>
      <c r="S215" s="12"/>
      <c r="T215" s="12"/>
      <c r="U215" s="12"/>
      <c r="V215" s="12"/>
      <c r="W215" s="12"/>
      <c r="X215" s="12"/>
      <c r="Y215" s="12"/>
      <c r="Z215" s="12"/>
      <c r="AA215" s="12"/>
      <c r="AB215" s="12"/>
      <c r="AC215" s="12"/>
    </row>
    <row r="216" ht="15.75" customHeight="1">
      <c r="A216" s="12"/>
      <c r="B216" s="12"/>
      <c r="C216" s="12"/>
      <c r="D216" s="12"/>
      <c r="E216" s="12"/>
      <c r="F216" s="12"/>
      <c r="G216" s="12"/>
      <c r="H216" s="12"/>
      <c r="I216" s="12"/>
      <c r="J216" s="12"/>
      <c r="K216" s="12"/>
      <c r="L216" s="12"/>
      <c r="M216" s="12"/>
      <c r="N216" s="12"/>
      <c r="O216" s="12"/>
      <c r="P216" s="12"/>
      <c r="Q216" s="12"/>
      <c r="R216" s="12"/>
      <c r="S216" s="12"/>
      <c r="T216" s="12"/>
      <c r="U216" s="12"/>
      <c r="V216" s="12"/>
      <c r="W216" s="12"/>
      <c r="X216" s="12"/>
      <c r="Y216" s="12"/>
      <c r="Z216" s="12"/>
      <c r="AA216" s="12"/>
      <c r="AB216" s="12"/>
      <c r="AC216" s="12"/>
    </row>
    <row r="217" ht="15.75" customHeight="1">
      <c r="A217" s="12"/>
      <c r="B217" s="12"/>
      <c r="C217" s="12"/>
      <c r="D217" s="12"/>
      <c r="E217" s="12"/>
      <c r="F217" s="12"/>
      <c r="G217" s="12"/>
      <c r="H217" s="12"/>
      <c r="I217" s="12"/>
      <c r="J217" s="12"/>
      <c r="K217" s="12"/>
      <c r="L217" s="12"/>
      <c r="M217" s="12"/>
      <c r="N217" s="12"/>
      <c r="O217" s="12"/>
      <c r="P217" s="12"/>
      <c r="Q217" s="12"/>
      <c r="R217" s="12"/>
      <c r="S217" s="12"/>
      <c r="T217" s="12"/>
      <c r="U217" s="12"/>
      <c r="V217" s="12"/>
      <c r="W217" s="12"/>
      <c r="X217" s="12"/>
      <c r="Y217" s="12"/>
      <c r="Z217" s="12"/>
      <c r="AA217" s="12"/>
      <c r="AB217" s="12"/>
      <c r="AC217" s="12"/>
    </row>
    <row r="218" ht="15.75" customHeight="1">
      <c r="A218" s="12"/>
      <c r="B218" s="12"/>
      <c r="C218" s="12"/>
      <c r="D218" s="12"/>
      <c r="E218" s="12"/>
      <c r="F218" s="12"/>
      <c r="G218" s="12"/>
      <c r="H218" s="12"/>
      <c r="I218" s="12"/>
      <c r="J218" s="12"/>
      <c r="K218" s="12"/>
      <c r="L218" s="12"/>
      <c r="M218" s="12"/>
      <c r="N218" s="12"/>
      <c r="O218" s="12"/>
      <c r="P218" s="12"/>
      <c r="Q218" s="12"/>
      <c r="R218" s="12"/>
      <c r="S218" s="12"/>
      <c r="T218" s="12"/>
      <c r="U218" s="12"/>
      <c r="V218" s="12"/>
      <c r="W218" s="12"/>
      <c r="X218" s="12"/>
      <c r="Y218" s="12"/>
      <c r="Z218" s="12"/>
      <c r="AA218" s="12"/>
      <c r="AB218" s="12"/>
      <c r="AC218" s="12"/>
    </row>
    <row r="219" ht="15.75" customHeight="1">
      <c r="A219" s="12"/>
      <c r="B219" s="12"/>
      <c r="C219" s="12"/>
      <c r="D219" s="12"/>
      <c r="E219" s="12"/>
      <c r="F219" s="12"/>
      <c r="G219" s="12"/>
      <c r="H219" s="12"/>
      <c r="I219" s="12"/>
      <c r="J219" s="12"/>
      <c r="K219" s="12"/>
      <c r="L219" s="12"/>
      <c r="M219" s="12"/>
      <c r="N219" s="12"/>
      <c r="O219" s="12"/>
      <c r="P219" s="12"/>
      <c r="Q219" s="12"/>
      <c r="R219" s="12"/>
      <c r="S219" s="12"/>
      <c r="T219" s="12"/>
      <c r="U219" s="12"/>
      <c r="V219" s="12"/>
      <c r="W219" s="12"/>
      <c r="X219" s="12"/>
      <c r="Y219" s="12"/>
      <c r="Z219" s="12"/>
      <c r="AA219" s="12"/>
      <c r="AB219" s="12"/>
      <c r="AC219" s="12"/>
    </row>
    <row r="220" ht="15.75" customHeight="1">
      <c r="A220" s="12"/>
      <c r="B220" s="12"/>
      <c r="C220" s="12"/>
      <c r="D220" s="12"/>
      <c r="E220" s="12"/>
      <c r="F220" s="12"/>
      <c r="G220" s="12"/>
      <c r="H220" s="12"/>
      <c r="I220" s="12"/>
      <c r="J220" s="12"/>
      <c r="K220" s="12"/>
      <c r="L220" s="12"/>
      <c r="M220" s="12"/>
      <c r="N220" s="12"/>
      <c r="O220" s="12"/>
      <c r="P220" s="12"/>
      <c r="Q220" s="12"/>
      <c r="R220" s="12"/>
      <c r="S220" s="12"/>
      <c r="T220" s="12"/>
      <c r="U220" s="12"/>
      <c r="V220" s="12"/>
      <c r="W220" s="12"/>
      <c r="X220" s="12"/>
      <c r="Y220" s="12"/>
      <c r="Z220" s="12"/>
      <c r="AA220" s="12"/>
      <c r="AB220" s="12"/>
      <c r="AC220" s="12"/>
    </row>
    <row r="221" ht="15.75" customHeight="1">
      <c r="A221" s="12"/>
      <c r="B221" s="12"/>
      <c r="C221" s="12"/>
      <c r="D221" s="12"/>
      <c r="E221" s="12"/>
      <c r="F221" s="12"/>
      <c r="G221" s="12"/>
      <c r="H221" s="12"/>
      <c r="I221" s="12"/>
      <c r="J221" s="12"/>
      <c r="K221" s="12"/>
      <c r="L221" s="12"/>
      <c r="M221" s="12"/>
      <c r="N221" s="12"/>
      <c r="O221" s="12"/>
      <c r="P221" s="12"/>
      <c r="Q221" s="12"/>
      <c r="R221" s="12"/>
      <c r="S221" s="12"/>
      <c r="T221" s="12"/>
      <c r="U221" s="12"/>
      <c r="V221" s="12"/>
      <c r="W221" s="12"/>
      <c r="X221" s="12"/>
      <c r="Y221" s="12"/>
      <c r="Z221" s="12"/>
      <c r="AA221" s="12"/>
      <c r="AB221" s="12"/>
      <c r="AC221" s="12"/>
    </row>
    <row r="222" ht="15.75" customHeight="1">
      <c r="A222" s="12"/>
      <c r="B222" s="12"/>
      <c r="C222" s="12"/>
      <c r="D222" s="12"/>
      <c r="E222" s="12"/>
      <c r="F222" s="12"/>
      <c r="G222" s="12"/>
      <c r="H222" s="12"/>
      <c r="I222" s="12"/>
      <c r="J222" s="12"/>
      <c r="K222" s="12"/>
      <c r="L222" s="12"/>
      <c r="M222" s="12"/>
      <c r="N222" s="12"/>
      <c r="O222" s="12"/>
      <c r="P222" s="12"/>
      <c r="Q222" s="12"/>
      <c r="R222" s="12"/>
      <c r="S222" s="12"/>
      <c r="T222" s="12"/>
      <c r="U222" s="12"/>
      <c r="V222" s="12"/>
      <c r="W222" s="12"/>
      <c r="X222" s="12"/>
      <c r="Y222" s="12"/>
      <c r="Z222" s="12"/>
      <c r="AA222" s="12"/>
      <c r="AB222" s="12"/>
      <c r="AC222" s="12"/>
    </row>
    <row r="223" ht="15.75" customHeight="1">
      <c r="A223" s="12"/>
      <c r="B223" s="12"/>
      <c r="C223" s="12"/>
      <c r="D223" s="12"/>
      <c r="E223" s="12"/>
      <c r="F223" s="12"/>
      <c r="G223" s="12"/>
      <c r="H223" s="12"/>
      <c r="I223" s="12"/>
      <c r="J223" s="12"/>
      <c r="K223" s="12"/>
      <c r="L223" s="12"/>
      <c r="M223" s="12"/>
      <c r="N223" s="12"/>
      <c r="O223" s="12"/>
      <c r="P223" s="12"/>
      <c r="Q223" s="12"/>
      <c r="R223" s="12"/>
      <c r="S223" s="12"/>
      <c r="T223" s="12"/>
      <c r="U223" s="12"/>
      <c r="V223" s="12"/>
      <c r="W223" s="12"/>
      <c r="X223" s="12"/>
      <c r="Y223" s="12"/>
      <c r="Z223" s="12"/>
      <c r="AA223" s="12"/>
      <c r="AB223" s="12"/>
      <c r="AC223" s="12"/>
    </row>
    <row r="224" ht="15.75" customHeight="1">
      <c r="A224" s="12"/>
      <c r="B224" s="12"/>
      <c r="C224" s="12"/>
      <c r="D224" s="12"/>
      <c r="E224" s="12"/>
      <c r="F224" s="12"/>
      <c r="G224" s="12"/>
      <c r="H224" s="12"/>
      <c r="I224" s="12"/>
      <c r="J224" s="12"/>
      <c r="K224" s="12"/>
      <c r="L224" s="12"/>
      <c r="M224" s="12"/>
      <c r="N224" s="12"/>
      <c r="O224" s="12"/>
      <c r="P224" s="12"/>
      <c r="Q224" s="12"/>
      <c r="R224" s="12"/>
      <c r="S224" s="12"/>
      <c r="T224" s="12"/>
      <c r="U224" s="12"/>
      <c r="V224" s="12"/>
      <c r="W224" s="12"/>
      <c r="X224" s="12"/>
      <c r="Y224" s="12"/>
      <c r="Z224" s="12"/>
      <c r="AA224" s="12"/>
      <c r="AB224" s="12"/>
      <c r="AC224" s="12"/>
    </row>
    <row r="225" ht="15.75" customHeight="1">
      <c r="A225" s="12"/>
      <c r="B225" s="12"/>
      <c r="C225" s="12"/>
      <c r="D225" s="12"/>
      <c r="E225" s="12"/>
      <c r="F225" s="12"/>
      <c r="G225" s="12"/>
      <c r="H225" s="12"/>
      <c r="I225" s="12"/>
      <c r="J225" s="12"/>
      <c r="K225" s="12"/>
      <c r="L225" s="12"/>
      <c r="M225" s="12"/>
      <c r="N225" s="12"/>
      <c r="O225" s="12"/>
      <c r="P225" s="12"/>
      <c r="Q225" s="12"/>
      <c r="R225" s="12"/>
      <c r="S225" s="12"/>
      <c r="T225" s="12"/>
      <c r="U225" s="12"/>
      <c r="V225" s="12"/>
      <c r="W225" s="12"/>
      <c r="X225" s="12"/>
      <c r="Y225" s="12"/>
      <c r="Z225" s="12"/>
      <c r="AA225" s="12"/>
      <c r="AB225" s="12"/>
      <c r="AC225" s="12"/>
    </row>
    <row r="226" ht="15.75" customHeight="1">
      <c r="A226" s="12"/>
      <c r="B226" s="12"/>
      <c r="C226" s="12"/>
      <c r="D226" s="12"/>
      <c r="E226" s="12"/>
      <c r="F226" s="12"/>
      <c r="G226" s="12"/>
      <c r="H226" s="12"/>
      <c r="I226" s="12"/>
      <c r="J226" s="12"/>
      <c r="K226" s="12"/>
      <c r="L226" s="12"/>
      <c r="M226" s="12"/>
      <c r="N226" s="12"/>
      <c r="O226" s="12"/>
      <c r="P226" s="12"/>
      <c r="Q226" s="12"/>
      <c r="R226" s="12"/>
      <c r="S226" s="12"/>
      <c r="T226" s="12"/>
      <c r="U226" s="12"/>
      <c r="V226" s="12"/>
      <c r="W226" s="12"/>
      <c r="X226" s="12"/>
      <c r="Y226" s="12"/>
      <c r="Z226" s="12"/>
      <c r="AA226" s="12"/>
      <c r="AB226" s="12"/>
      <c r="AC226" s="12"/>
    </row>
    <row r="227" ht="15.75" customHeight="1">
      <c r="A227" s="12"/>
      <c r="B227" s="12"/>
      <c r="C227" s="12"/>
      <c r="D227" s="12"/>
      <c r="E227" s="12"/>
      <c r="F227" s="12"/>
      <c r="G227" s="12"/>
      <c r="H227" s="12"/>
      <c r="I227" s="12"/>
      <c r="J227" s="12"/>
      <c r="K227" s="12"/>
      <c r="L227" s="12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  <c r="AA227" s="12"/>
      <c r="AB227" s="12"/>
      <c r="AC227" s="12"/>
    </row>
    <row r="228" ht="15.75" customHeight="1">
      <c r="A228" s="12"/>
      <c r="B228" s="12"/>
      <c r="C228" s="12"/>
      <c r="D228" s="12"/>
      <c r="E228" s="12"/>
      <c r="F228" s="12"/>
      <c r="G228" s="12"/>
      <c r="H228" s="12"/>
      <c r="I228" s="12"/>
      <c r="J228" s="12"/>
      <c r="K228" s="12"/>
      <c r="L228" s="12"/>
      <c r="M228" s="12"/>
      <c r="N228" s="12"/>
      <c r="O228" s="12"/>
      <c r="P228" s="12"/>
      <c r="Q228" s="12"/>
      <c r="R228" s="12"/>
      <c r="S228" s="12"/>
      <c r="T228" s="12"/>
      <c r="U228" s="12"/>
      <c r="V228" s="12"/>
      <c r="W228" s="12"/>
      <c r="X228" s="12"/>
      <c r="Y228" s="12"/>
      <c r="Z228" s="12"/>
      <c r="AA228" s="12"/>
      <c r="AB228" s="12"/>
      <c r="AC228" s="12"/>
    </row>
    <row r="229" ht="15.75" customHeight="1">
      <c r="A229" s="12"/>
      <c r="B229" s="12"/>
      <c r="C229" s="12"/>
      <c r="D229" s="12"/>
      <c r="E229" s="12"/>
      <c r="F229" s="12"/>
      <c r="G229" s="12"/>
      <c r="H229" s="12"/>
      <c r="I229" s="12"/>
      <c r="J229" s="12"/>
      <c r="K229" s="12"/>
      <c r="L229" s="12"/>
      <c r="M229" s="12"/>
      <c r="N229" s="12"/>
      <c r="O229" s="12"/>
      <c r="P229" s="12"/>
      <c r="Q229" s="12"/>
      <c r="R229" s="12"/>
      <c r="S229" s="12"/>
      <c r="T229" s="12"/>
      <c r="U229" s="12"/>
      <c r="V229" s="12"/>
      <c r="W229" s="12"/>
      <c r="X229" s="12"/>
      <c r="Y229" s="12"/>
      <c r="Z229" s="12"/>
      <c r="AA229" s="12"/>
      <c r="AB229" s="12"/>
      <c r="AC229" s="12"/>
    </row>
    <row r="230" ht="15.75" customHeight="1">
      <c r="A230" s="12"/>
      <c r="B230" s="12"/>
      <c r="C230" s="12"/>
      <c r="D230" s="12"/>
      <c r="E230" s="12"/>
      <c r="F230" s="12"/>
      <c r="G230" s="12"/>
      <c r="H230" s="12"/>
      <c r="I230" s="12"/>
      <c r="J230" s="12"/>
      <c r="K230" s="12"/>
      <c r="L230" s="12"/>
      <c r="M230" s="12"/>
      <c r="N230" s="12"/>
      <c r="O230" s="12"/>
      <c r="P230" s="12"/>
      <c r="Q230" s="12"/>
      <c r="R230" s="12"/>
      <c r="S230" s="12"/>
      <c r="T230" s="12"/>
      <c r="U230" s="12"/>
      <c r="V230" s="12"/>
      <c r="W230" s="12"/>
      <c r="X230" s="12"/>
      <c r="Y230" s="12"/>
      <c r="Z230" s="12"/>
      <c r="AA230" s="12"/>
      <c r="AB230" s="12"/>
      <c r="AC230" s="12"/>
    </row>
    <row r="231" ht="15.75" customHeight="1">
      <c r="A231" s="12"/>
      <c r="B231" s="12"/>
      <c r="C231" s="12"/>
      <c r="D231" s="12"/>
      <c r="E231" s="12"/>
      <c r="F231" s="12"/>
      <c r="G231" s="12"/>
      <c r="H231" s="12"/>
      <c r="I231" s="12"/>
      <c r="J231" s="12"/>
      <c r="K231" s="12"/>
      <c r="L231" s="12"/>
      <c r="M231" s="12"/>
      <c r="N231" s="12"/>
      <c r="O231" s="12"/>
      <c r="P231" s="12"/>
      <c r="Q231" s="12"/>
      <c r="R231" s="12"/>
      <c r="S231" s="12"/>
      <c r="T231" s="12"/>
      <c r="U231" s="12"/>
      <c r="V231" s="12"/>
      <c r="W231" s="12"/>
      <c r="X231" s="12"/>
      <c r="Y231" s="12"/>
      <c r="Z231" s="12"/>
      <c r="AA231" s="12"/>
      <c r="AB231" s="12"/>
      <c r="AC231" s="12"/>
    </row>
    <row r="232" ht="15.75" customHeight="1">
      <c r="A232" s="12"/>
      <c r="B232" s="12"/>
      <c r="C232" s="12"/>
      <c r="D232" s="12"/>
      <c r="E232" s="12"/>
      <c r="F232" s="12"/>
      <c r="G232" s="12"/>
      <c r="H232" s="12"/>
      <c r="I232" s="12"/>
      <c r="J232" s="12"/>
      <c r="K232" s="12"/>
      <c r="L232" s="12"/>
      <c r="M232" s="12"/>
      <c r="N232" s="12"/>
      <c r="O232" s="12"/>
      <c r="P232" s="12"/>
      <c r="Q232" s="12"/>
      <c r="R232" s="12"/>
      <c r="S232" s="12"/>
      <c r="T232" s="12"/>
      <c r="U232" s="12"/>
      <c r="V232" s="12"/>
      <c r="W232" s="12"/>
      <c r="X232" s="12"/>
      <c r="Y232" s="12"/>
      <c r="Z232" s="12"/>
      <c r="AA232" s="12"/>
      <c r="AB232" s="12"/>
      <c r="AC232" s="12"/>
    </row>
    <row r="233" ht="15.75" customHeight="1">
      <c r="A233" s="12"/>
      <c r="B233" s="12"/>
      <c r="C233" s="12"/>
      <c r="D233" s="12"/>
      <c r="E233" s="12"/>
      <c r="F233" s="12"/>
      <c r="G233" s="12"/>
      <c r="H233" s="12"/>
      <c r="I233" s="12"/>
      <c r="J233" s="12"/>
      <c r="K233" s="12"/>
      <c r="L233" s="12"/>
      <c r="M233" s="12"/>
      <c r="N233" s="12"/>
      <c r="O233" s="12"/>
      <c r="P233" s="12"/>
      <c r="Q233" s="12"/>
      <c r="R233" s="12"/>
      <c r="S233" s="12"/>
      <c r="T233" s="12"/>
      <c r="U233" s="12"/>
      <c r="V233" s="12"/>
      <c r="W233" s="12"/>
      <c r="X233" s="12"/>
      <c r="Y233" s="12"/>
      <c r="Z233" s="12"/>
      <c r="AA233" s="12"/>
      <c r="AB233" s="12"/>
      <c r="AC233" s="12"/>
    </row>
    <row r="234" ht="15.75" customHeight="1">
      <c r="A234" s="12"/>
      <c r="B234" s="12"/>
      <c r="C234" s="12"/>
      <c r="D234" s="12"/>
      <c r="E234" s="12"/>
      <c r="F234" s="12"/>
      <c r="G234" s="12"/>
      <c r="H234" s="12"/>
      <c r="I234" s="12"/>
      <c r="J234" s="12"/>
      <c r="K234" s="12"/>
      <c r="L234" s="12"/>
      <c r="M234" s="12"/>
      <c r="N234" s="12"/>
      <c r="O234" s="12"/>
      <c r="P234" s="12"/>
      <c r="Q234" s="12"/>
      <c r="R234" s="12"/>
      <c r="S234" s="12"/>
      <c r="T234" s="12"/>
      <c r="U234" s="12"/>
      <c r="V234" s="12"/>
      <c r="W234" s="12"/>
      <c r="X234" s="12"/>
      <c r="Y234" s="12"/>
      <c r="Z234" s="12"/>
      <c r="AA234" s="12"/>
      <c r="AB234" s="12"/>
      <c r="AC234" s="12"/>
    </row>
    <row r="235" ht="15.75" customHeight="1">
      <c r="A235" s="12"/>
      <c r="B235" s="12"/>
      <c r="C235" s="12"/>
      <c r="D235" s="12"/>
      <c r="E235" s="12"/>
      <c r="F235" s="12"/>
      <c r="G235" s="12"/>
      <c r="H235" s="12"/>
      <c r="I235" s="12"/>
      <c r="J235" s="12"/>
      <c r="K235" s="12"/>
      <c r="L235" s="12"/>
      <c r="M235" s="12"/>
      <c r="N235" s="12"/>
      <c r="O235" s="12"/>
      <c r="P235" s="12"/>
      <c r="Q235" s="12"/>
      <c r="R235" s="12"/>
      <c r="S235" s="12"/>
      <c r="T235" s="12"/>
      <c r="U235" s="12"/>
      <c r="V235" s="12"/>
      <c r="W235" s="12"/>
      <c r="X235" s="12"/>
      <c r="Y235" s="12"/>
      <c r="Z235" s="12"/>
      <c r="AA235" s="12"/>
      <c r="AB235" s="12"/>
      <c r="AC235" s="12"/>
    </row>
    <row r="236" ht="15.75" customHeight="1">
      <c r="A236" s="12"/>
      <c r="B236" s="12"/>
      <c r="C236" s="12"/>
      <c r="D236" s="12"/>
      <c r="E236" s="12"/>
      <c r="F236" s="12"/>
      <c r="G236" s="12"/>
      <c r="H236" s="12"/>
      <c r="I236" s="12"/>
      <c r="J236" s="12"/>
      <c r="K236" s="12"/>
      <c r="L236" s="12"/>
      <c r="M236" s="12"/>
      <c r="N236" s="12"/>
      <c r="O236" s="12"/>
      <c r="P236" s="12"/>
      <c r="Q236" s="12"/>
      <c r="R236" s="12"/>
      <c r="S236" s="12"/>
      <c r="T236" s="12"/>
      <c r="U236" s="12"/>
      <c r="V236" s="12"/>
      <c r="W236" s="12"/>
      <c r="X236" s="12"/>
      <c r="Y236" s="12"/>
      <c r="Z236" s="12"/>
      <c r="AA236" s="12"/>
      <c r="AB236" s="12"/>
      <c r="AC236" s="12"/>
    </row>
    <row r="237" ht="15.75" customHeight="1">
      <c r="A237" s="12"/>
      <c r="B237" s="12"/>
      <c r="C237" s="12"/>
      <c r="D237" s="12"/>
      <c r="E237" s="12"/>
      <c r="F237" s="12"/>
      <c r="G237" s="12"/>
      <c r="H237" s="12"/>
      <c r="I237" s="12"/>
      <c r="J237" s="12"/>
      <c r="K237" s="12"/>
      <c r="L237" s="12"/>
      <c r="M237" s="12"/>
      <c r="N237" s="12"/>
      <c r="O237" s="12"/>
      <c r="P237" s="12"/>
      <c r="Q237" s="12"/>
      <c r="R237" s="12"/>
      <c r="S237" s="12"/>
      <c r="T237" s="12"/>
      <c r="U237" s="12"/>
      <c r="V237" s="12"/>
      <c r="W237" s="12"/>
      <c r="X237" s="12"/>
      <c r="Y237" s="12"/>
      <c r="Z237" s="12"/>
      <c r="AA237" s="12"/>
      <c r="AB237" s="12"/>
      <c r="AC237" s="12"/>
    </row>
    <row r="238" ht="15.75" customHeight="1">
      <c r="A238" s="12"/>
      <c r="B238" s="12"/>
      <c r="C238" s="12"/>
      <c r="D238" s="12"/>
      <c r="E238" s="12"/>
      <c r="F238" s="12"/>
      <c r="G238" s="12"/>
      <c r="H238" s="12"/>
      <c r="I238" s="12"/>
      <c r="J238" s="12"/>
      <c r="K238" s="12"/>
      <c r="L238" s="12"/>
      <c r="M238" s="12"/>
      <c r="N238" s="12"/>
      <c r="O238" s="12"/>
      <c r="P238" s="12"/>
      <c r="Q238" s="12"/>
      <c r="R238" s="12"/>
      <c r="S238" s="12"/>
      <c r="T238" s="12"/>
      <c r="U238" s="12"/>
      <c r="V238" s="12"/>
      <c r="W238" s="12"/>
      <c r="X238" s="12"/>
      <c r="Y238" s="12"/>
      <c r="Z238" s="12"/>
      <c r="AA238" s="12"/>
      <c r="AB238" s="12"/>
      <c r="AC238" s="12"/>
    </row>
    <row r="239" ht="15.75" customHeight="1">
      <c r="A239" s="12"/>
      <c r="B239" s="12"/>
      <c r="C239" s="12"/>
      <c r="D239" s="12"/>
      <c r="E239" s="12"/>
      <c r="F239" s="12"/>
      <c r="G239" s="12"/>
      <c r="H239" s="12"/>
      <c r="I239" s="12"/>
      <c r="J239" s="12"/>
      <c r="K239" s="12"/>
      <c r="L239" s="12"/>
      <c r="M239" s="12"/>
      <c r="N239" s="12"/>
      <c r="O239" s="12"/>
      <c r="P239" s="12"/>
      <c r="Q239" s="12"/>
      <c r="R239" s="12"/>
      <c r="S239" s="12"/>
      <c r="T239" s="12"/>
      <c r="U239" s="12"/>
      <c r="V239" s="12"/>
      <c r="W239" s="12"/>
      <c r="X239" s="12"/>
      <c r="Y239" s="12"/>
      <c r="Z239" s="12"/>
      <c r="AA239" s="12"/>
      <c r="AB239" s="12"/>
      <c r="AC239" s="12"/>
    </row>
    <row r="240" ht="15.75" customHeight="1">
      <c r="A240" s="12"/>
      <c r="B240" s="12"/>
      <c r="C240" s="12"/>
      <c r="D240" s="12"/>
      <c r="E240" s="12"/>
      <c r="F240" s="12"/>
      <c r="G240" s="12"/>
      <c r="H240" s="12"/>
      <c r="I240" s="12"/>
      <c r="J240" s="12"/>
      <c r="K240" s="12"/>
      <c r="L240" s="12"/>
      <c r="M240" s="12"/>
      <c r="N240" s="12"/>
      <c r="O240" s="12"/>
      <c r="P240" s="12"/>
      <c r="Q240" s="12"/>
      <c r="R240" s="12"/>
      <c r="S240" s="12"/>
      <c r="T240" s="12"/>
      <c r="U240" s="12"/>
      <c r="V240" s="12"/>
      <c r="W240" s="12"/>
      <c r="X240" s="12"/>
      <c r="Y240" s="12"/>
      <c r="Z240" s="12"/>
      <c r="AA240" s="12"/>
      <c r="AB240" s="12"/>
      <c r="AC240" s="12"/>
    </row>
    <row r="241" ht="15.75" customHeight="1">
      <c r="A241" s="12"/>
      <c r="B241" s="12"/>
      <c r="C241" s="12"/>
      <c r="D241" s="12"/>
      <c r="E241" s="12"/>
      <c r="F241" s="12"/>
      <c r="G241" s="12"/>
      <c r="H241" s="12"/>
      <c r="I241" s="12"/>
      <c r="J241" s="12"/>
      <c r="K241" s="12"/>
      <c r="L241" s="12"/>
      <c r="M241" s="12"/>
      <c r="N241" s="12"/>
      <c r="O241" s="12"/>
      <c r="P241" s="12"/>
      <c r="Q241" s="12"/>
      <c r="R241" s="12"/>
      <c r="S241" s="12"/>
      <c r="T241" s="12"/>
      <c r="U241" s="12"/>
      <c r="V241" s="12"/>
      <c r="W241" s="12"/>
      <c r="X241" s="12"/>
      <c r="Y241" s="12"/>
      <c r="Z241" s="12"/>
      <c r="AA241" s="12"/>
      <c r="AB241" s="12"/>
      <c r="AC241" s="12"/>
    </row>
    <row r="242" ht="15.75" customHeight="1">
      <c r="A242" s="12"/>
      <c r="B242" s="12"/>
      <c r="C242" s="12"/>
      <c r="D242" s="12"/>
      <c r="E242" s="12"/>
      <c r="F242" s="12"/>
      <c r="G242" s="12"/>
      <c r="H242" s="12"/>
      <c r="I242" s="12"/>
      <c r="J242" s="12"/>
      <c r="K242" s="12"/>
      <c r="L242" s="12"/>
      <c r="M242" s="12"/>
      <c r="N242" s="12"/>
      <c r="O242" s="12"/>
      <c r="P242" s="12"/>
      <c r="Q242" s="12"/>
      <c r="R242" s="12"/>
      <c r="S242" s="12"/>
      <c r="T242" s="12"/>
      <c r="U242" s="12"/>
      <c r="V242" s="12"/>
      <c r="W242" s="12"/>
      <c r="X242" s="12"/>
      <c r="Y242" s="12"/>
      <c r="Z242" s="12"/>
      <c r="AA242" s="12"/>
      <c r="AB242" s="12"/>
      <c r="AC242" s="12"/>
    </row>
    <row r="243" ht="15.75" customHeight="1">
      <c r="A243" s="12"/>
      <c r="B243" s="12"/>
      <c r="C243" s="12"/>
      <c r="D243" s="12"/>
      <c r="E243" s="12"/>
      <c r="F243" s="12"/>
      <c r="G243" s="12"/>
      <c r="H243" s="12"/>
      <c r="I243" s="12"/>
      <c r="J243" s="12"/>
      <c r="K243" s="12"/>
      <c r="L243" s="12"/>
      <c r="M243" s="12"/>
      <c r="N243" s="12"/>
      <c r="O243" s="12"/>
      <c r="P243" s="12"/>
      <c r="Q243" s="12"/>
      <c r="R243" s="12"/>
      <c r="S243" s="12"/>
      <c r="T243" s="12"/>
      <c r="U243" s="12"/>
      <c r="V243" s="12"/>
      <c r="W243" s="12"/>
      <c r="X243" s="12"/>
      <c r="Y243" s="12"/>
      <c r="Z243" s="12"/>
      <c r="AA243" s="12"/>
      <c r="AB243" s="12"/>
      <c r="AC243" s="12"/>
    </row>
    <row r="244" ht="15.75" customHeight="1">
      <c r="A244" s="12"/>
      <c r="B244" s="12"/>
      <c r="C244" s="12"/>
      <c r="D244" s="12"/>
      <c r="E244" s="12"/>
      <c r="F244" s="12"/>
      <c r="G244" s="12"/>
      <c r="H244" s="12"/>
      <c r="I244" s="12"/>
      <c r="J244" s="12"/>
      <c r="K244" s="12"/>
      <c r="L244" s="12"/>
      <c r="M244" s="12"/>
      <c r="N244" s="12"/>
      <c r="O244" s="12"/>
      <c r="P244" s="12"/>
      <c r="Q244" s="12"/>
      <c r="R244" s="12"/>
      <c r="S244" s="12"/>
      <c r="T244" s="12"/>
      <c r="U244" s="12"/>
      <c r="V244" s="12"/>
      <c r="W244" s="12"/>
      <c r="X244" s="12"/>
      <c r="Y244" s="12"/>
      <c r="Z244" s="12"/>
      <c r="AA244" s="12"/>
      <c r="AB244" s="12"/>
      <c r="AC244" s="12"/>
    </row>
    <row r="245" ht="15.75" customHeight="1">
      <c r="A245" s="12"/>
      <c r="B245" s="12"/>
      <c r="C245" s="12"/>
      <c r="D245" s="12"/>
      <c r="E245" s="12"/>
      <c r="F245" s="12"/>
      <c r="G245" s="12"/>
      <c r="H245" s="12"/>
      <c r="I245" s="12"/>
      <c r="J245" s="12"/>
      <c r="K245" s="12"/>
      <c r="L245" s="12"/>
      <c r="M245" s="12"/>
      <c r="N245" s="12"/>
      <c r="O245" s="12"/>
      <c r="P245" s="12"/>
      <c r="Q245" s="12"/>
      <c r="R245" s="12"/>
      <c r="S245" s="12"/>
      <c r="T245" s="12"/>
      <c r="U245" s="12"/>
      <c r="V245" s="12"/>
      <c r="W245" s="12"/>
      <c r="X245" s="12"/>
      <c r="Y245" s="12"/>
      <c r="Z245" s="12"/>
      <c r="AA245" s="12"/>
      <c r="AB245" s="12"/>
      <c r="AC245" s="12"/>
    </row>
    <row r="246" ht="15.75" customHeight="1">
      <c r="A246" s="12"/>
      <c r="B246" s="12"/>
      <c r="C246" s="12"/>
      <c r="D246" s="12"/>
      <c r="E246" s="12"/>
      <c r="F246" s="12"/>
      <c r="G246" s="12"/>
      <c r="H246" s="12"/>
      <c r="I246" s="12"/>
      <c r="J246" s="12"/>
      <c r="K246" s="12"/>
      <c r="L246" s="12"/>
      <c r="M246" s="12"/>
      <c r="N246" s="12"/>
      <c r="O246" s="12"/>
      <c r="P246" s="12"/>
      <c r="Q246" s="12"/>
      <c r="R246" s="12"/>
      <c r="S246" s="12"/>
      <c r="T246" s="12"/>
      <c r="U246" s="12"/>
      <c r="V246" s="12"/>
      <c r="W246" s="12"/>
      <c r="X246" s="12"/>
      <c r="Y246" s="12"/>
      <c r="Z246" s="12"/>
      <c r="AA246" s="12"/>
      <c r="AB246" s="12"/>
      <c r="AC246" s="12"/>
    </row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40">
    <mergeCell ref="D2:G2"/>
    <mergeCell ref="K2:N2"/>
    <mergeCell ref="R2:U2"/>
    <mergeCell ref="Y2:AB2"/>
    <mergeCell ref="J3:N3"/>
    <mergeCell ref="Q3:U3"/>
    <mergeCell ref="X3:AB3"/>
    <mergeCell ref="X16:AB16"/>
    <mergeCell ref="Y17:AB17"/>
    <mergeCell ref="X18:AB18"/>
    <mergeCell ref="X31:AB31"/>
    <mergeCell ref="Y32:AB32"/>
    <mergeCell ref="X33:AB33"/>
    <mergeCell ref="X46:AB46"/>
    <mergeCell ref="Y47:AB47"/>
    <mergeCell ref="C3:G3"/>
    <mergeCell ref="C16:G16"/>
    <mergeCell ref="J16:N16"/>
    <mergeCell ref="Q16:U16"/>
    <mergeCell ref="D17:G17"/>
    <mergeCell ref="R17:U17"/>
    <mergeCell ref="C18:G18"/>
    <mergeCell ref="Q18:U18"/>
    <mergeCell ref="K17:N17"/>
    <mergeCell ref="J18:N18"/>
    <mergeCell ref="C31:G31"/>
    <mergeCell ref="J31:N31"/>
    <mergeCell ref="Q31:U31"/>
    <mergeCell ref="K32:N32"/>
    <mergeCell ref="R32:U32"/>
    <mergeCell ref="J46:N46"/>
    <mergeCell ref="K47:N47"/>
    <mergeCell ref="D32:G32"/>
    <mergeCell ref="C33:G33"/>
    <mergeCell ref="J33:N33"/>
    <mergeCell ref="Q33:U33"/>
    <mergeCell ref="C46:G46"/>
    <mergeCell ref="Q46:U46"/>
    <mergeCell ref="D47:G47"/>
    <mergeCell ref="R47:U47"/>
  </mergeCells>
  <conditionalFormatting sqref="B6:B15 B36:B45">
    <cfRule type="colorScale" priority="1">
      <colorScale>
        <cfvo type="min"/>
        <cfvo type="max"/>
        <color rgb="FFFFFFFF"/>
        <color rgb="FF57BB8A"/>
      </colorScale>
    </cfRule>
  </conditionalFormatting>
  <conditionalFormatting sqref="I6:I15 I36:I45">
    <cfRule type="colorScale" priority="2">
      <colorScale>
        <cfvo type="min"/>
        <cfvo type="max"/>
        <color rgb="FFFFFFFF"/>
        <color rgb="FF57BB8A"/>
      </colorScale>
    </cfRule>
  </conditionalFormatting>
  <conditionalFormatting sqref="P6:P15 P36:P45">
    <cfRule type="colorScale" priority="3">
      <colorScale>
        <cfvo type="min"/>
        <cfvo type="max"/>
        <color rgb="FFFFFFFF"/>
        <color rgb="FF57BB8A"/>
      </colorScale>
    </cfRule>
  </conditionalFormatting>
  <conditionalFormatting sqref="W6:W15 W36:W45">
    <cfRule type="colorScale" priority="4">
      <colorScale>
        <cfvo type="min"/>
        <cfvo type="max"/>
        <color rgb="FFFFFFFF"/>
        <color rgb="FF57BB8A"/>
      </colorScale>
    </cfRule>
  </conditionalFormatting>
  <printOptions/>
  <pageMargins bottom="1.0" footer="0.0" header="0.0" left="0.75" right="0.75" top="1.0"/>
  <pageSetup orientation="landscape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1" width="23.75"/>
    <col customWidth="1" min="2" max="6" width="12.63"/>
  </cols>
  <sheetData>
    <row r="1" ht="15.75" customHeight="1">
      <c r="A1" s="55"/>
      <c r="B1" s="47"/>
      <c r="C1" s="47"/>
      <c r="D1" s="47"/>
      <c r="E1" s="47"/>
      <c r="F1" s="47"/>
      <c r="G1" s="47"/>
      <c r="H1" s="47"/>
      <c r="I1" s="47"/>
      <c r="J1" s="47"/>
    </row>
    <row r="2" ht="15.75" customHeight="1">
      <c r="A2" s="56" t="s">
        <v>28</v>
      </c>
      <c r="B2" s="57" t="s">
        <v>29</v>
      </c>
      <c r="C2" s="47"/>
      <c r="D2" s="47"/>
      <c r="E2" s="47"/>
      <c r="F2" s="47"/>
      <c r="G2" s="47"/>
      <c r="H2" s="47"/>
      <c r="I2" s="47"/>
      <c r="J2" s="47"/>
    </row>
    <row r="3" ht="15.75" customHeight="1">
      <c r="A3" s="58" t="s">
        <v>30</v>
      </c>
      <c r="B3" s="59">
        <f>macro!B6</f>
        <v>46246</v>
      </c>
      <c r="C3" s="47"/>
      <c r="D3" s="47"/>
      <c r="E3" s="47"/>
      <c r="F3" s="47"/>
      <c r="G3" s="47"/>
      <c r="H3" s="47"/>
      <c r="I3" s="47"/>
      <c r="J3" s="47"/>
    </row>
    <row r="4" ht="15.75" customHeight="1">
      <c r="A4" s="47"/>
      <c r="B4" s="47"/>
      <c r="C4" s="47"/>
      <c r="D4" s="47"/>
      <c r="E4" s="47"/>
      <c r="F4" s="47"/>
      <c r="G4" s="47"/>
      <c r="H4" s="47"/>
      <c r="I4" s="47"/>
      <c r="J4" s="47"/>
    </row>
    <row r="5" ht="15.75" customHeight="1">
      <c r="A5" s="60"/>
      <c r="B5" s="61" t="s">
        <v>12</v>
      </c>
      <c r="C5" s="62" t="s">
        <v>13</v>
      </c>
      <c r="D5" s="63">
        <v>1.0</v>
      </c>
      <c r="E5" s="63">
        <v>0.95</v>
      </c>
      <c r="F5" s="63">
        <v>0.9</v>
      </c>
      <c r="G5" s="63">
        <v>0.85</v>
      </c>
      <c r="H5" s="63">
        <v>0.8</v>
      </c>
      <c r="I5" s="63">
        <v>0.75</v>
      </c>
      <c r="J5" s="64">
        <v>0.7</v>
      </c>
    </row>
    <row r="6" ht="15.75" customHeight="1">
      <c r="A6" s="65" t="s">
        <v>31</v>
      </c>
      <c r="B6" s="66"/>
      <c r="C6" s="67"/>
      <c r="D6" s="68">
        <f t="shared" ref="D6:D12" si="1">C6/(1.0278-(0.0278*B6))</f>
        <v>0</v>
      </c>
      <c r="E6" s="68">
        <f t="shared" ref="E6:E12" si="2">(D6*0.95)</f>
        <v>0</v>
      </c>
      <c r="F6" s="68">
        <f t="shared" ref="F6:F12" si="3">(D6*0.9)</f>
        <v>0</v>
      </c>
      <c r="G6" s="68">
        <f t="shared" ref="G6:G12" si="4">(D6*0.85)</f>
        <v>0</v>
      </c>
      <c r="H6" s="68">
        <f t="shared" ref="H6:H12" si="5">(D6*0.8)</f>
        <v>0</v>
      </c>
      <c r="I6" s="68">
        <f t="shared" ref="I6:I12" si="6">(D6*0.75)</f>
        <v>0</v>
      </c>
      <c r="J6" s="69">
        <f t="shared" ref="J6:J12" si="7">(D6*0.7)</f>
        <v>0</v>
      </c>
    </row>
    <row r="7" ht="15.75" customHeight="1">
      <c r="A7" s="65" t="s">
        <v>32</v>
      </c>
      <c r="B7" s="70"/>
      <c r="C7" s="38"/>
      <c r="D7" s="68">
        <f t="shared" si="1"/>
        <v>0</v>
      </c>
      <c r="E7" s="68">
        <f t="shared" si="2"/>
        <v>0</v>
      </c>
      <c r="F7" s="68">
        <f t="shared" si="3"/>
        <v>0</v>
      </c>
      <c r="G7" s="68">
        <f t="shared" si="4"/>
        <v>0</v>
      </c>
      <c r="H7" s="68">
        <f t="shared" si="5"/>
        <v>0</v>
      </c>
      <c r="I7" s="68">
        <f t="shared" si="6"/>
        <v>0</v>
      </c>
      <c r="J7" s="69">
        <f t="shared" si="7"/>
        <v>0</v>
      </c>
    </row>
    <row r="8" ht="15.75" customHeight="1">
      <c r="A8" s="65" t="s">
        <v>33</v>
      </c>
      <c r="B8" s="70"/>
      <c r="C8" s="38"/>
      <c r="D8" s="68">
        <f t="shared" si="1"/>
        <v>0</v>
      </c>
      <c r="E8" s="68">
        <f t="shared" si="2"/>
        <v>0</v>
      </c>
      <c r="F8" s="68">
        <f t="shared" si="3"/>
        <v>0</v>
      </c>
      <c r="G8" s="68">
        <f t="shared" si="4"/>
        <v>0</v>
      </c>
      <c r="H8" s="68">
        <f t="shared" si="5"/>
        <v>0</v>
      </c>
      <c r="I8" s="68">
        <f t="shared" si="6"/>
        <v>0</v>
      </c>
      <c r="J8" s="69">
        <f t="shared" si="7"/>
        <v>0</v>
      </c>
    </row>
    <row r="9" ht="15.75" customHeight="1">
      <c r="A9" s="65" t="s">
        <v>34</v>
      </c>
      <c r="B9" s="71"/>
      <c r="C9" s="51"/>
      <c r="D9" s="68">
        <f t="shared" si="1"/>
        <v>0</v>
      </c>
      <c r="E9" s="68">
        <f t="shared" si="2"/>
        <v>0</v>
      </c>
      <c r="F9" s="68">
        <f t="shared" si="3"/>
        <v>0</v>
      </c>
      <c r="G9" s="68">
        <f t="shared" si="4"/>
        <v>0</v>
      </c>
      <c r="H9" s="68">
        <f t="shared" si="5"/>
        <v>0</v>
      </c>
      <c r="I9" s="68">
        <f t="shared" si="6"/>
        <v>0</v>
      </c>
      <c r="J9" s="69">
        <f t="shared" si="7"/>
        <v>0</v>
      </c>
    </row>
    <row r="10" ht="15.75" customHeight="1">
      <c r="A10" s="65" t="s">
        <v>35</v>
      </c>
      <c r="B10" s="71"/>
      <c r="C10" s="51"/>
      <c r="D10" s="68">
        <f t="shared" si="1"/>
        <v>0</v>
      </c>
      <c r="E10" s="68">
        <f t="shared" si="2"/>
        <v>0</v>
      </c>
      <c r="F10" s="68">
        <f t="shared" si="3"/>
        <v>0</v>
      </c>
      <c r="G10" s="68">
        <f t="shared" si="4"/>
        <v>0</v>
      </c>
      <c r="H10" s="68">
        <f t="shared" si="5"/>
        <v>0</v>
      </c>
      <c r="I10" s="68">
        <f t="shared" si="6"/>
        <v>0</v>
      </c>
      <c r="J10" s="69">
        <f t="shared" si="7"/>
        <v>0</v>
      </c>
    </row>
    <row r="11" ht="15.75" customHeight="1">
      <c r="A11" s="65" t="s">
        <v>36</v>
      </c>
      <c r="B11" s="71"/>
      <c r="C11" s="51"/>
      <c r="D11" s="68">
        <f t="shared" si="1"/>
        <v>0</v>
      </c>
      <c r="E11" s="68">
        <f t="shared" si="2"/>
        <v>0</v>
      </c>
      <c r="F11" s="68">
        <f t="shared" si="3"/>
        <v>0</v>
      </c>
      <c r="G11" s="68">
        <f t="shared" si="4"/>
        <v>0</v>
      </c>
      <c r="H11" s="68">
        <f t="shared" si="5"/>
        <v>0</v>
      </c>
      <c r="I11" s="68">
        <f t="shared" si="6"/>
        <v>0</v>
      </c>
      <c r="J11" s="69">
        <f t="shared" si="7"/>
        <v>0</v>
      </c>
    </row>
    <row r="12" ht="15.75" customHeight="1">
      <c r="A12" s="72" t="s">
        <v>37</v>
      </c>
      <c r="B12" s="73"/>
      <c r="C12" s="74"/>
      <c r="D12" s="75">
        <f t="shared" si="1"/>
        <v>0</v>
      </c>
      <c r="E12" s="75">
        <f t="shared" si="2"/>
        <v>0</v>
      </c>
      <c r="F12" s="75">
        <f t="shared" si="3"/>
        <v>0</v>
      </c>
      <c r="G12" s="75">
        <f t="shared" si="4"/>
        <v>0</v>
      </c>
      <c r="H12" s="75">
        <f t="shared" si="5"/>
        <v>0</v>
      </c>
      <c r="I12" s="75">
        <f t="shared" si="6"/>
        <v>0</v>
      </c>
      <c r="J12" s="76">
        <f t="shared" si="7"/>
        <v>0</v>
      </c>
    </row>
    <row r="13" ht="15.75" customHeight="1">
      <c r="A13" s="55"/>
      <c r="B13" s="47"/>
      <c r="C13" s="47"/>
      <c r="D13" s="47"/>
      <c r="E13" s="47"/>
      <c r="F13" s="47"/>
      <c r="G13" s="47"/>
      <c r="H13" s="47"/>
      <c r="I13" s="47"/>
      <c r="J13" s="47"/>
    </row>
    <row r="14" ht="15.75" customHeight="1">
      <c r="A14" s="56" t="s">
        <v>28</v>
      </c>
      <c r="B14" s="57" t="s">
        <v>38</v>
      </c>
      <c r="C14" s="47"/>
      <c r="D14" s="47"/>
      <c r="E14" s="47"/>
      <c r="F14" s="47"/>
      <c r="G14" s="47"/>
      <c r="H14" s="47"/>
      <c r="I14" s="47"/>
      <c r="J14" s="47"/>
    </row>
    <row r="15" ht="15.75" customHeight="1">
      <c r="A15" s="58" t="s">
        <v>30</v>
      </c>
      <c r="B15" s="59">
        <f>B3+28</f>
        <v>46274</v>
      </c>
      <c r="C15" s="47"/>
      <c r="D15" s="47"/>
      <c r="E15" s="47"/>
      <c r="F15" s="47"/>
      <c r="G15" s="47"/>
      <c r="H15" s="47"/>
      <c r="I15" s="47"/>
      <c r="J15" s="47"/>
    </row>
    <row r="16" ht="15.75" customHeight="1">
      <c r="A16" s="47"/>
      <c r="B16" s="47"/>
      <c r="C16" s="47"/>
      <c r="D16" s="47"/>
      <c r="E16" s="47"/>
      <c r="F16" s="47"/>
      <c r="G16" s="47"/>
      <c r="H16" s="47"/>
      <c r="I16" s="47"/>
      <c r="J16" s="47"/>
    </row>
    <row r="17" ht="15.75" customHeight="1">
      <c r="A17" s="60"/>
      <c r="B17" s="61" t="s">
        <v>12</v>
      </c>
      <c r="C17" s="62" t="s">
        <v>13</v>
      </c>
      <c r="D17" s="63">
        <v>1.0</v>
      </c>
      <c r="E17" s="63">
        <v>0.95</v>
      </c>
      <c r="F17" s="63">
        <v>0.9</v>
      </c>
      <c r="G17" s="63">
        <v>0.85</v>
      </c>
      <c r="H17" s="63">
        <v>0.8</v>
      </c>
      <c r="I17" s="63">
        <v>0.75</v>
      </c>
      <c r="J17" s="63">
        <v>0.7</v>
      </c>
    </row>
    <row r="18" ht="15.75" customHeight="1">
      <c r="A18" s="65" t="s">
        <v>31</v>
      </c>
      <c r="B18" s="66"/>
      <c r="C18" s="67"/>
      <c r="D18" s="77">
        <f t="shared" ref="D18:D24" si="8">C18/(1.0278-(0.0278*B18))</f>
        <v>0</v>
      </c>
      <c r="E18" s="77">
        <f t="shared" ref="E18:E24" si="9">(D18*0.95)</f>
        <v>0</v>
      </c>
      <c r="F18" s="77">
        <f t="shared" ref="F18:F24" si="10">(D18*0.9)</f>
        <v>0</v>
      </c>
      <c r="G18" s="77">
        <f t="shared" ref="G18:G24" si="11">(D18*0.85)</f>
        <v>0</v>
      </c>
      <c r="H18" s="77">
        <f t="shared" ref="H18:H24" si="12">(D18*0.8)</f>
        <v>0</v>
      </c>
      <c r="I18" s="77">
        <f t="shared" ref="I18:I24" si="13">(D18*0.75)</f>
        <v>0</v>
      </c>
      <c r="J18" s="79">
        <f t="shared" ref="J18:J24" si="14">(D18*0.7)</f>
        <v>0</v>
      </c>
    </row>
    <row r="19" ht="15.75" customHeight="1">
      <c r="A19" s="65" t="s">
        <v>32</v>
      </c>
      <c r="B19" s="70"/>
      <c r="C19" s="38"/>
      <c r="D19" s="68">
        <f t="shared" si="8"/>
        <v>0</v>
      </c>
      <c r="E19" s="68">
        <f t="shared" si="9"/>
        <v>0</v>
      </c>
      <c r="F19" s="68">
        <f t="shared" si="10"/>
        <v>0</v>
      </c>
      <c r="G19" s="68">
        <f t="shared" si="11"/>
        <v>0</v>
      </c>
      <c r="H19" s="68">
        <f t="shared" si="12"/>
        <v>0</v>
      </c>
      <c r="I19" s="68">
        <f t="shared" si="13"/>
        <v>0</v>
      </c>
      <c r="J19" s="69">
        <f t="shared" si="14"/>
        <v>0</v>
      </c>
    </row>
    <row r="20" ht="15.75" customHeight="1">
      <c r="A20" s="65" t="s">
        <v>33</v>
      </c>
      <c r="B20" s="70"/>
      <c r="C20" s="38"/>
      <c r="D20" s="68">
        <f t="shared" si="8"/>
        <v>0</v>
      </c>
      <c r="E20" s="68">
        <f t="shared" si="9"/>
        <v>0</v>
      </c>
      <c r="F20" s="68">
        <f t="shared" si="10"/>
        <v>0</v>
      </c>
      <c r="G20" s="68">
        <f t="shared" si="11"/>
        <v>0</v>
      </c>
      <c r="H20" s="68">
        <f t="shared" si="12"/>
        <v>0</v>
      </c>
      <c r="I20" s="68">
        <f t="shared" si="13"/>
        <v>0</v>
      </c>
      <c r="J20" s="69">
        <f t="shared" si="14"/>
        <v>0</v>
      </c>
    </row>
    <row r="21" ht="15.75" customHeight="1">
      <c r="A21" s="65" t="s">
        <v>34</v>
      </c>
      <c r="B21" s="71"/>
      <c r="C21" s="51"/>
      <c r="D21" s="68">
        <f t="shared" si="8"/>
        <v>0</v>
      </c>
      <c r="E21" s="68">
        <f t="shared" si="9"/>
        <v>0</v>
      </c>
      <c r="F21" s="68">
        <f t="shared" si="10"/>
        <v>0</v>
      </c>
      <c r="G21" s="68">
        <f t="shared" si="11"/>
        <v>0</v>
      </c>
      <c r="H21" s="68">
        <f t="shared" si="12"/>
        <v>0</v>
      </c>
      <c r="I21" s="68">
        <f t="shared" si="13"/>
        <v>0</v>
      </c>
      <c r="J21" s="69">
        <f t="shared" si="14"/>
        <v>0</v>
      </c>
    </row>
    <row r="22" ht="15.75" customHeight="1">
      <c r="A22" s="65" t="s">
        <v>35</v>
      </c>
      <c r="B22" s="71"/>
      <c r="C22" s="51"/>
      <c r="D22" s="68">
        <f t="shared" si="8"/>
        <v>0</v>
      </c>
      <c r="E22" s="68">
        <f t="shared" si="9"/>
        <v>0</v>
      </c>
      <c r="F22" s="68">
        <f t="shared" si="10"/>
        <v>0</v>
      </c>
      <c r="G22" s="68">
        <f t="shared" si="11"/>
        <v>0</v>
      </c>
      <c r="H22" s="68">
        <f t="shared" si="12"/>
        <v>0</v>
      </c>
      <c r="I22" s="68">
        <f t="shared" si="13"/>
        <v>0</v>
      </c>
      <c r="J22" s="69">
        <f t="shared" si="14"/>
        <v>0</v>
      </c>
    </row>
    <row r="23" ht="15.75" customHeight="1">
      <c r="A23" s="80" t="s">
        <v>36</v>
      </c>
      <c r="B23" s="71"/>
      <c r="C23" s="51"/>
      <c r="D23" s="68">
        <f t="shared" si="8"/>
        <v>0</v>
      </c>
      <c r="E23" s="68">
        <f t="shared" si="9"/>
        <v>0</v>
      </c>
      <c r="F23" s="68">
        <f t="shared" si="10"/>
        <v>0</v>
      </c>
      <c r="G23" s="68">
        <f t="shared" si="11"/>
        <v>0</v>
      </c>
      <c r="H23" s="68">
        <f t="shared" si="12"/>
        <v>0</v>
      </c>
      <c r="I23" s="68">
        <f t="shared" si="13"/>
        <v>0</v>
      </c>
      <c r="J23" s="69">
        <f t="shared" si="14"/>
        <v>0</v>
      </c>
    </row>
    <row r="24" ht="15.75" customHeight="1">
      <c r="A24" s="81" t="s">
        <v>37</v>
      </c>
      <c r="B24" s="73"/>
      <c r="C24" s="74"/>
      <c r="D24" s="75">
        <f t="shared" si="8"/>
        <v>0</v>
      </c>
      <c r="E24" s="75">
        <f t="shared" si="9"/>
        <v>0</v>
      </c>
      <c r="F24" s="75">
        <f t="shared" si="10"/>
        <v>0</v>
      </c>
      <c r="G24" s="75">
        <f t="shared" si="11"/>
        <v>0</v>
      </c>
      <c r="H24" s="75">
        <f t="shared" si="12"/>
        <v>0</v>
      </c>
      <c r="I24" s="75">
        <f t="shared" si="13"/>
        <v>0</v>
      </c>
      <c r="J24" s="76">
        <f t="shared" si="14"/>
        <v>0</v>
      </c>
    </row>
    <row r="25" ht="15.75" customHeight="1">
      <c r="A25" s="55"/>
      <c r="B25" s="47"/>
      <c r="C25" s="47"/>
      <c r="D25" s="47"/>
      <c r="E25" s="47"/>
      <c r="F25" s="47"/>
      <c r="G25" s="47"/>
      <c r="H25" s="47"/>
      <c r="I25" s="47"/>
      <c r="J25" s="47"/>
    </row>
    <row r="26" ht="15.75" customHeight="1">
      <c r="A26" s="56" t="s">
        <v>28</v>
      </c>
      <c r="B26" s="57" t="s">
        <v>39</v>
      </c>
      <c r="C26" s="47"/>
      <c r="D26" s="47"/>
      <c r="E26" s="47"/>
      <c r="F26" s="47"/>
      <c r="G26" s="47"/>
      <c r="H26" s="47"/>
      <c r="I26" s="47"/>
      <c r="J26" s="47"/>
    </row>
    <row r="27" ht="15.75" customHeight="1">
      <c r="A27" s="58" t="s">
        <v>30</v>
      </c>
      <c r="B27" s="59">
        <f>B15+28</f>
        <v>46302</v>
      </c>
      <c r="C27" s="47"/>
      <c r="D27" s="47"/>
      <c r="E27" s="47"/>
      <c r="F27" s="47"/>
      <c r="G27" s="47"/>
      <c r="H27" s="47"/>
      <c r="I27" s="47"/>
      <c r="J27" s="47"/>
    </row>
    <row r="28" ht="15.75" customHeight="1">
      <c r="A28" s="47"/>
      <c r="B28" s="47"/>
      <c r="C28" s="47"/>
      <c r="D28" s="47"/>
      <c r="E28" s="47"/>
      <c r="F28" s="47"/>
      <c r="G28" s="47"/>
      <c r="H28" s="47"/>
      <c r="I28" s="47"/>
      <c r="J28" s="47"/>
    </row>
    <row r="29" ht="15.75" customHeight="1">
      <c r="A29" s="60"/>
      <c r="B29" s="61" t="s">
        <v>12</v>
      </c>
      <c r="C29" s="62" t="s">
        <v>13</v>
      </c>
      <c r="D29" s="63">
        <v>1.0</v>
      </c>
      <c r="E29" s="63">
        <v>0.95</v>
      </c>
      <c r="F29" s="63">
        <v>0.9</v>
      </c>
      <c r="G29" s="63">
        <v>0.85</v>
      </c>
      <c r="H29" s="63">
        <v>0.8</v>
      </c>
      <c r="I29" s="63">
        <v>0.75</v>
      </c>
      <c r="J29" s="63">
        <v>0.7</v>
      </c>
    </row>
    <row r="30" ht="15.75" customHeight="1">
      <c r="A30" s="65" t="s">
        <v>31</v>
      </c>
      <c r="B30" s="66"/>
      <c r="C30" s="67"/>
      <c r="D30" s="77">
        <f t="shared" ref="D30:D36" si="15">C30/(1.0278-(0.0278*B30))</f>
        <v>0</v>
      </c>
      <c r="E30" s="77">
        <f t="shared" ref="E30:E36" si="16">(D30*0.95)</f>
        <v>0</v>
      </c>
      <c r="F30" s="77">
        <f t="shared" ref="F30:F36" si="17">(D30*0.9)</f>
        <v>0</v>
      </c>
      <c r="G30" s="77">
        <f t="shared" ref="G30:G36" si="18">(D30*0.85)</f>
        <v>0</v>
      </c>
      <c r="H30" s="77">
        <f t="shared" ref="H30:H36" si="19">(D30*0.8)</f>
        <v>0</v>
      </c>
      <c r="I30" s="77">
        <f t="shared" ref="I30:I36" si="20">(D30*0.75)</f>
        <v>0</v>
      </c>
      <c r="J30" s="79">
        <f t="shared" ref="J30:J36" si="21">(D30*0.7)</f>
        <v>0</v>
      </c>
    </row>
    <row r="31" ht="15.75" customHeight="1">
      <c r="A31" s="65" t="s">
        <v>32</v>
      </c>
      <c r="B31" s="70"/>
      <c r="C31" s="38"/>
      <c r="D31" s="68">
        <f t="shared" si="15"/>
        <v>0</v>
      </c>
      <c r="E31" s="68">
        <f t="shared" si="16"/>
        <v>0</v>
      </c>
      <c r="F31" s="68">
        <f t="shared" si="17"/>
        <v>0</v>
      </c>
      <c r="G31" s="68">
        <f t="shared" si="18"/>
        <v>0</v>
      </c>
      <c r="H31" s="68">
        <f t="shared" si="19"/>
        <v>0</v>
      </c>
      <c r="I31" s="68">
        <f t="shared" si="20"/>
        <v>0</v>
      </c>
      <c r="J31" s="69">
        <f t="shared" si="21"/>
        <v>0</v>
      </c>
    </row>
    <row r="32" ht="15.75" customHeight="1">
      <c r="A32" s="65" t="s">
        <v>33</v>
      </c>
      <c r="B32" s="70"/>
      <c r="C32" s="38"/>
      <c r="D32" s="68">
        <f t="shared" si="15"/>
        <v>0</v>
      </c>
      <c r="E32" s="68">
        <f t="shared" si="16"/>
        <v>0</v>
      </c>
      <c r="F32" s="68">
        <f t="shared" si="17"/>
        <v>0</v>
      </c>
      <c r="G32" s="68">
        <f t="shared" si="18"/>
        <v>0</v>
      </c>
      <c r="H32" s="68">
        <f t="shared" si="19"/>
        <v>0</v>
      </c>
      <c r="I32" s="68">
        <f t="shared" si="20"/>
        <v>0</v>
      </c>
      <c r="J32" s="69">
        <f t="shared" si="21"/>
        <v>0</v>
      </c>
    </row>
    <row r="33" ht="15.75" customHeight="1">
      <c r="A33" s="65" t="s">
        <v>34</v>
      </c>
      <c r="B33" s="71"/>
      <c r="C33" s="51"/>
      <c r="D33" s="68">
        <f t="shared" si="15"/>
        <v>0</v>
      </c>
      <c r="E33" s="68">
        <f t="shared" si="16"/>
        <v>0</v>
      </c>
      <c r="F33" s="68">
        <f t="shared" si="17"/>
        <v>0</v>
      </c>
      <c r="G33" s="68">
        <f t="shared" si="18"/>
        <v>0</v>
      </c>
      <c r="H33" s="68">
        <f t="shared" si="19"/>
        <v>0</v>
      </c>
      <c r="I33" s="68">
        <f t="shared" si="20"/>
        <v>0</v>
      </c>
      <c r="J33" s="69">
        <f t="shared" si="21"/>
        <v>0</v>
      </c>
    </row>
    <row r="34" ht="15.75" customHeight="1">
      <c r="A34" s="65" t="s">
        <v>35</v>
      </c>
      <c r="B34" s="71"/>
      <c r="C34" s="51"/>
      <c r="D34" s="68">
        <f t="shared" si="15"/>
        <v>0</v>
      </c>
      <c r="E34" s="68">
        <f t="shared" si="16"/>
        <v>0</v>
      </c>
      <c r="F34" s="68">
        <f t="shared" si="17"/>
        <v>0</v>
      </c>
      <c r="G34" s="68">
        <f t="shared" si="18"/>
        <v>0</v>
      </c>
      <c r="H34" s="68">
        <f t="shared" si="19"/>
        <v>0</v>
      </c>
      <c r="I34" s="68">
        <f t="shared" si="20"/>
        <v>0</v>
      </c>
      <c r="J34" s="69">
        <f t="shared" si="21"/>
        <v>0</v>
      </c>
    </row>
    <row r="35" ht="15.75" customHeight="1">
      <c r="A35" s="80" t="s">
        <v>36</v>
      </c>
      <c r="B35" s="71"/>
      <c r="C35" s="51"/>
      <c r="D35" s="68">
        <f t="shared" si="15"/>
        <v>0</v>
      </c>
      <c r="E35" s="68">
        <f t="shared" si="16"/>
        <v>0</v>
      </c>
      <c r="F35" s="68">
        <f t="shared" si="17"/>
        <v>0</v>
      </c>
      <c r="G35" s="68">
        <f t="shared" si="18"/>
        <v>0</v>
      </c>
      <c r="H35" s="68">
        <f t="shared" si="19"/>
        <v>0</v>
      </c>
      <c r="I35" s="68">
        <f t="shared" si="20"/>
        <v>0</v>
      </c>
      <c r="J35" s="69">
        <f t="shared" si="21"/>
        <v>0</v>
      </c>
    </row>
    <row r="36" ht="15.75" customHeight="1">
      <c r="A36" s="81" t="s">
        <v>37</v>
      </c>
      <c r="B36" s="73"/>
      <c r="C36" s="74"/>
      <c r="D36" s="75">
        <f t="shared" si="15"/>
        <v>0</v>
      </c>
      <c r="E36" s="75">
        <f t="shared" si="16"/>
        <v>0</v>
      </c>
      <c r="F36" s="75">
        <f t="shared" si="17"/>
        <v>0</v>
      </c>
      <c r="G36" s="75">
        <f t="shared" si="18"/>
        <v>0</v>
      </c>
      <c r="H36" s="75">
        <f t="shared" si="19"/>
        <v>0</v>
      </c>
      <c r="I36" s="75">
        <f t="shared" si="20"/>
        <v>0</v>
      </c>
      <c r="J36" s="76">
        <f t="shared" si="21"/>
        <v>0</v>
      </c>
    </row>
    <row r="37" ht="15.75" customHeight="1">
      <c r="A37" s="12"/>
    </row>
    <row r="38" ht="15.75" customHeight="1">
      <c r="A38" s="12"/>
    </row>
    <row r="39" ht="15.75" customHeight="1">
      <c r="A39" s="12"/>
    </row>
    <row r="40" ht="15.75" customHeight="1">
      <c r="A40" s="12"/>
    </row>
    <row r="41" ht="15.75" customHeight="1">
      <c r="A41" s="12"/>
    </row>
    <row r="42" ht="15.75" customHeight="1">
      <c r="A42" s="12"/>
    </row>
    <row r="43" ht="15.75" customHeight="1">
      <c r="A43" s="12"/>
    </row>
    <row r="44" ht="15.75" customHeight="1">
      <c r="A44" s="12"/>
    </row>
    <row r="45" ht="15.75" customHeight="1">
      <c r="A45" s="12"/>
    </row>
    <row r="46" ht="15.75" customHeight="1">
      <c r="A46" s="12"/>
    </row>
    <row r="47" ht="15.75" customHeight="1">
      <c r="A47" s="12"/>
    </row>
    <row r="48" ht="15.75" customHeight="1">
      <c r="A48" s="12"/>
    </row>
    <row r="49" ht="15.75" customHeight="1">
      <c r="A49" s="12"/>
    </row>
    <row r="50" ht="15.75" customHeight="1">
      <c r="A50" s="12"/>
    </row>
    <row r="51" ht="15.75" customHeight="1">
      <c r="A51" s="12"/>
    </row>
    <row r="52" ht="15.75" customHeight="1">
      <c r="A52" s="12"/>
    </row>
    <row r="53" ht="15.75" customHeight="1">
      <c r="A53" s="12"/>
    </row>
    <row r="54" ht="15.75" customHeight="1">
      <c r="A54" s="12"/>
    </row>
    <row r="55" ht="15.75" customHeight="1">
      <c r="A55" s="12"/>
    </row>
    <row r="56" ht="15.75" customHeight="1">
      <c r="A56" s="12"/>
    </row>
    <row r="57" ht="15.75" customHeight="1">
      <c r="A57" s="12"/>
    </row>
    <row r="58" ht="15.75" customHeight="1">
      <c r="A58" s="12"/>
    </row>
    <row r="59" ht="15.75" customHeight="1">
      <c r="A59" s="12"/>
    </row>
    <row r="60" ht="15.75" customHeight="1">
      <c r="A60" s="12"/>
    </row>
    <row r="61" ht="15.75" customHeight="1">
      <c r="A61" s="12"/>
    </row>
    <row r="62" ht="15.75" customHeight="1">
      <c r="A62" s="12"/>
    </row>
    <row r="63" ht="15.75" customHeight="1">
      <c r="A63" s="12"/>
    </row>
    <row r="64" ht="15.75" customHeight="1">
      <c r="A64" s="12"/>
    </row>
    <row r="65" ht="15.75" customHeight="1">
      <c r="A65" s="12"/>
    </row>
    <row r="66" ht="15.75" customHeight="1">
      <c r="A66" s="12"/>
    </row>
    <row r="67" ht="15.75" customHeight="1">
      <c r="A67" s="12"/>
    </row>
    <row r="68" ht="15.75" customHeight="1">
      <c r="A68" s="12"/>
    </row>
    <row r="69" ht="15.75" customHeight="1">
      <c r="A69" s="12"/>
    </row>
    <row r="70" ht="15.75" customHeight="1">
      <c r="A70" s="12"/>
    </row>
    <row r="71" ht="15.75" customHeight="1">
      <c r="A71" s="12"/>
    </row>
    <row r="72" ht="15.75" customHeight="1">
      <c r="A72" s="12"/>
    </row>
    <row r="73" ht="15.75" customHeight="1">
      <c r="A73" s="12"/>
    </row>
    <row r="74" ht="15.75" customHeight="1">
      <c r="A74" s="12"/>
    </row>
    <row r="75" ht="15.75" customHeight="1">
      <c r="A75" s="12"/>
    </row>
    <row r="76" ht="15.75" customHeight="1">
      <c r="A76" s="12"/>
    </row>
    <row r="77" ht="15.75" customHeight="1">
      <c r="A77" s="12"/>
    </row>
    <row r="78" ht="15.75" customHeight="1">
      <c r="A78" s="12"/>
    </row>
    <row r="79" ht="15.75" customHeight="1">
      <c r="A79" s="12"/>
    </row>
    <row r="80" ht="15.75" customHeight="1">
      <c r="A80" s="12"/>
    </row>
    <row r="81" ht="15.75" customHeight="1">
      <c r="A81" s="12"/>
    </row>
    <row r="82" ht="15.75" customHeight="1">
      <c r="A82" s="12"/>
    </row>
    <row r="83" ht="15.75" customHeight="1">
      <c r="A83" s="12"/>
    </row>
    <row r="84" ht="15.75" customHeight="1">
      <c r="A84" s="12"/>
    </row>
    <row r="85" ht="15.75" customHeight="1">
      <c r="A85" s="12"/>
    </row>
    <row r="86" ht="15.75" customHeight="1">
      <c r="A86" s="12"/>
    </row>
    <row r="87" ht="15.75" customHeight="1">
      <c r="A87" s="12"/>
    </row>
    <row r="88" ht="15.75" customHeight="1">
      <c r="A88" s="12"/>
    </row>
    <row r="89" ht="15.75" customHeight="1">
      <c r="A89" s="12"/>
    </row>
    <row r="90" ht="15.75" customHeight="1">
      <c r="A90" s="12"/>
    </row>
    <row r="91" ht="15.75" customHeight="1">
      <c r="A91" s="12"/>
    </row>
    <row r="92" ht="15.75" customHeight="1">
      <c r="A92" s="12"/>
    </row>
    <row r="93" ht="15.75" customHeight="1">
      <c r="A93" s="12"/>
    </row>
    <row r="94" ht="15.75" customHeight="1">
      <c r="A94" s="12"/>
    </row>
    <row r="95" ht="15.75" customHeight="1">
      <c r="A95" s="12"/>
    </row>
    <row r="96" ht="15.75" customHeight="1">
      <c r="A96" s="12"/>
    </row>
    <row r="97" ht="15.75" customHeight="1">
      <c r="A97" s="12"/>
    </row>
    <row r="98" ht="15.75" customHeight="1">
      <c r="A98" s="12"/>
    </row>
    <row r="99" ht="15.75" customHeight="1">
      <c r="A99" s="12"/>
    </row>
    <row r="100" ht="15.75" customHeight="1">
      <c r="A100" s="12"/>
    </row>
    <row r="101" ht="15.75" customHeight="1">
      <c r="A101" s="12"/>
    </row>
    <row r="102" ht="15.75" customHeight="1">
      <c r="A102" s="12"/>
    </row>
    <row r="103" ht="15.75" customHeight="1">
      <c r="A103" s="12"/>
    </row>
    <row r="104" ht="15.75" customHeight="1">
      <c r="A104" s="12"/>
    </row>
    <row r="105" ht="15.75" customHeight="1">
      <c r="A105" s="12"/>
    </row>
    <row r="106" ht="15.75" customHeight="1">
      <c r="A106" s="12"/>
    </row>
    <row r="107" ht="15.75" customHeight="1">
      <c r="A107" s="12"/>
    </row>
    <row r="108" ht="15.75" customHeight="1">
      <c r="A108" s="12"/>
    </row>
    <row r="109" ht="15.75" customHeight="1">
      <c r="A109" s="12"/>
    </row>
    <row r="110" ht="15.75" customHeight="1">
      <c r="A110" s="12"/>
    </row>
    <row r="111" ht="15.75" customHeight="1">
      <c r="A111" s="12"/>
    </row>
    <row r="112" ht="15.75" customHeight="1">
      <c r="A112" s="12"/>
    </row>
    <row r="113" ht="15.75" customHeight="1">
      <c r="A113" s="12"/>
    </row>
    <row r="114" ht="15.75" customHeight="1">
      <c r="A114" s="12"/>
    </row>
    <row r="115" ht="15.75" customHeight="1">
      <c r="A115" s="12"/>
    </row>
    <row r="116" ht="15.75" customHeight="1">
      <c r="A116" s="12"/>
    </row>
    <row r="117" ht="15.75" customHeight="1">
      <c r="A117" s="12"/>
    </row>
    <row r="118" ht="15.75" customHeight="1">
      <c r="A118" s="12"/>
    </row>
    <row r="119" ht="15.75" customHeight="1">
      <c r="A119" s="12"/>
    </row>
    <row r="120" ht="15.75" customHeight="1">
      <c r="A120" s="12"/>
    </row>
    <row r="121" ht="15.75" customHeight="1">
      <c r="A121" s="12"/>
    </row>
    <row r="122" ht="15.75" customHeight="1">
      <c r="A122" s="12"/>
    </row>
    <row r="123" ht="15.75" customHeight="1">
      <c r="A123" s="12"/>
    </row>
    <row r="124" ht="15.75" customHeight="1">
      <c r="A124" s="12"/>
    </row>
    <row r="125" ht="15.75" customHeight="1">
      <c r="A125" s="12"/>
    </row>
    <row r="126" ht="15.75" customHeight="1">
      <c r="A126" s="12"/>
    </row>
    <row r="127" ht="15.75" customHeight="1">
      <c r="A127" s="12"/>
    </row>
    <row r="128" ht="15.75" customHeight="1">
      <c r="A128" s="12"/>
    </row>
    <row r="129" ht="15.75" customHeight="1">
      <c r="A129" s="12"/>
    </row>
    <row r="130" ht="15.75" customHeight="1">
      <c r="A130" s="12"/>
    </row>
    <row r="131" ht="15.75" customHeight="1">
      <c r="A131" s="12"/>
    </row>
    <row r="132" ht="15.75" customHeight="1">
      <c r="A132" s="12"/>
    </row>
    <row r="133" ht="15.75" customHeight="1">
      <c r="A133" s="12"/>
    </row>
    <row r="134" ht="15.75" customHeight="1">
      <c r="A134" s="12"/>
    </row>
    <row r="135" ht="15.75" customHeight="1">
      <c r="A135" s="12"/>
    </row>
    <row r="136" ht="15.75" customHeight="1">
      <c r="A136" s="12"/>
    </row>
    <row r="137" ht="15.75" customHeight="1">
      <c r="A137" s="12"/>
    </row>
    <row r="138" ht="15.75" customHeight="1">
      <c r="A138" s="12"/>
    </row>
    <row r="139" ht="15.75" customHeight="1">
      <c r="A139" s="12"/>
    </row>
    <row r="140" ht="15.75" customHeight="1">
      <c r="A140" s="12"/>
    </row>
    <row r="141" ht="15.75" customHeight="1">
      <c r="A141" s="12"/>
    </row>
    <row r="142" ht="15.75" customHeight="1">
      <c r="A142" s="12"/>
    </row>
    <row r="143" ht="15.75" customHeight="1">
      <c r="A143" s="12"/>
    </row>
    <row r="144" ht="15.75" customHeight="1">
      <c r="A144" s="12"/>
    </row>
    <row r="145" ht="15.75" customHeight="1">
      <c r="A145" s="12"/>
    </row>
    <row r="146" ht="15.75" customHeight="1">
      <c r="A146" s="12"/>
    </row>
    <row r="147" ht="15.75" customHeight="1">
      <c r="A147" s="12"/>
    </row>
    <row r="148" ht="15.75" customHeight="1">
      <c r="A148" s="12"/>
    </row>
    <row r="149" ht="15.75" customHeight="1">
      <c r="A149" s="12"/>
    </row>
    <row r="150" ht="15.75" customHeight="1">
      <c r="A150" s="12"/>
    </row>
    <row r="151" ht="15.75" customHeight="1">
      <c r="A151" s="12"/>
    </row>
    <row r="152" ht="15.75" customHeight="1">
      <c r="A152" s="12"/>
    </row>
    <row r="153" ht="15.75" customHeight="1">
      <c r="A153" s="12"/>
    </row>
    <row r="154" ht="15.75" customHeight="1">
      <c r="A154" s="12"/>
    </row>
    <row r="155" ht="15.75" customHeight="1">
      <c r="A155" s="12"/>
    </row>
    <row r="156" ht="15.75" customHeight="1">
      <c r="A156" s="12"/>
    </row>
    <row r="157" ht="15.75" customHeight="1">
      <c r="A157" s="12"/>
    </row>
    <row r="158" ht="15.75" customHeight="1">
      <c r="A158" s="12"/>
    </row>
    <row r="159" ht="15.75" customHeight="1">
      <c r="A159" s="12"/>
    </row>
    <row r="160" ht="15.75" customHeight="1">
      <c r="A160" s="12"/>
    </row>
    <row r="161" ht="15.75" customHeight="1">
      <c r="A161" s="12"/>
    </row>
    <row r="162" ht="15.75" customHeight="1">
      <c r="A162" s="12"/>
    </row>
    <row r="163" ht="15.75" customHeight="1">
      <c r="A163" s="12"/>
    </row>
    <row r="164" ht="15.75" customHeight="1">
      <c r="A164" s="12"/>
    </row>
    <row r="165" ht="15.75" customHeight="1">
      <c r="A165" s="12"/>
    </row>
    <row r="166" ht="15.75" customHeight="1">
      <c r="A166" s="12"/>
    </row>
    <row r="167" ht="15.75" customHeight="1">
      <c r="A167" s="12"/>
    </row>
    <row r="168" ht="15.75" customHeight="1">
      <c r="A168" s="12"/>
    </row>
    <row r="169" ht="15.75" customHeight="1">
      <c r="A169" s="12"/>
    </row>
    <row r="170" ht="15.75" customHeight="1">
      <c r="A170" s="12"/>
    </row>
    <row r="171" ht="15.75" customHeight="1">
      <c r="A171" s="12"/>
    </row>
    <row r="172" ht="15.75" customHeight="1">
      <c r="A172" s="12"/>
    </row>
    <row r="173" ht="15.75" customHeight="1">
      <c r="A173" s="12"/>
    </row>
    <row r="174" ht="15.75" customHeight="1">
      <c r="A174" s="12"/>
    </row>
    <row r="175" ht="15.75" customHeight="1">
      <c r="A175" s="12"/>
    </row>
    <row r="176" ht="15.75" customHeight="1">
      <c r="A176" s="12"/>
    </row>
    <row r="177" ht="15.75" customHeight="1">
      <c r="A177" s="12"/>
    </row>
    <row r="178" ht="15.75" customHeight="1">
      <c r="A178" s="12"/>
    </row>
    <row r="179" ht="15.75" customHeight="1">
      <c r="A179" s="12"/>
    </row>
    <row r="180" ht="15.75" customHeight="1">
      <c r="A180" s="12"/>
    </row>
    <row r="181" ht="15.75" customHeight="1">
      <c r="A181" s="12"/>
    </row>
    <row r="182" ht="15.75" customHeight="1">
      <c r="A182" s="12"/>
    </row>
    <row r="183" ht="15.75" customHeight="1">
      <c r="A183" s="12"/>
    </row>
    <row r="184" ht="15.75" customHeight="1">
      <c r="A184" s="12"/>
    </row>
    <row r="185" ht="15.75" customHeight="1">
      <c r="A185" s="12"/>
    </row>
    <row r="186" ht="15.75" customHeight="1">
      <c r="A186" s="12"/>
    </row>
    <row r="187" ht="15.75" customHeight="1">
      <c r="A187" s="12"/>
    </row>
    <row r="188" ht="15.75" customHeight="1">
      <c r="A188" s="12"/>
    </row>
    <row r="189" ht="15.75" customHeight="1">
      <c r="A189" s="12"/>
    </row>
    <row r="190" ht="15.75" customHeight="1">
      <c r="A190" s="12"/>
    </row>
    <row r="191" ht="15.75" customHeight="1">
      <c r="A191" s="12"/>
    </row>
    <row r="192" ht="15.75" customHeight="1">
      <c r="A192" s="12"/>
    </row>
    <row r="193" ht="15.75" customHeight="1">
      <c r="A193" s="12"/>
    </row>
    <row r="194" ht="15.75" customHeight="1">
      <c r="A194" s="12"/>
    </row>
    <row r="195" ht="15.75" customHeight="1">
      <c r="A195" s="12"/>
    </row>
    <row r="196" ht="15.75" customHeight="1">
      <c r="A196" s="12"/>
    </row>
    <row r="197" ht="15.75" customHeight="1">
      <c r="A197" s="12"/>
    </row>
    <row r="198" ht="15.75" customHeight="1">
      <c r="A198" s="12"/>
    </row>
    <row r="199" ht="15.75" customHeight="1">
      <c r="A199" s="12"/>
    </row>
    <row r="200" ht="15.75" customHeight="1">
      <c r="A200" s="12"/>
    </row>
    <row r="201" ht="15.75" customHeight="1">
      <c r="A201" s="12"/>
    </row>
    <row r="202" ht="15.75" customHeight="1">
      <c r="A202" s="12"/>
    </row>
    <row r="203" ht="15.75" customHeight="1">
      <c r="A203" s="12"/>
    </row>
    <row r="204" ht="15.75" customHeight="1">
      <c r="A204" s="12"/>
    </row>
    <row r="205" ht="15.75" customHeight="1">
      <c r="A205" s="12"/>
    </row>
    <row r="206" ht="15.75" customHeight="1">
      <c r="A206" s="12"/>
    </row>
    <row r="207" ht="15.75" customHeight="1">
      <c r="A207" s="12"/>
    </row>
    <row r="208" ht="15.75" customHeight="1">
      <c r="A208" s="12"/>
    </row>
    <row r="209" ht="15.75" customHeight="1">
      <c r="A209" s="12"/>
    </row>
    <row r="210" ht="15.75" customHeight="1">
      <c r="A210" s="12"/>
    </row>
    <row r="211" ht="15.75" customHeight="1">
      <c r="A211" s="12"/>
    </row>
    <row r="212" ht="15.75" customHeight="1">
      <c r="A212" s="12"/>
    </row>
    <row r="213" ht="15.75" customHeight="1">
      <c r="A213" s="12"/>
    </row>
    <row r="214" ht="15.75" customHeight="1">
      <c r="A214" s="12"/>
    </row>
    <row r="215" ht="15.75" customHeight="1">
      <c r="A215" s="12"/>
    </row>
    <row r="216" ht="15.75" customHeight="1">
      <c r="A216" s="12"/>
    </row>
    <row r="217" ht="15.75" customHeight="1">
      <c r="A217" s="12"/>
    </row>
    <row r="218" ht="15.75" customHeight="1">
      <c r="A218" s="12"/>
    </row>
    <row r="219" ht="15.75" customHeight="1">
      <c r="A219" s="12"/>
    </row>
    <row r="220" ht="15.75" customHeight="1">
      <c r="A220" s="12"/>
    </row>
    <row r="221" ht="15.75" customHeight="1">
      <c r="A221" s="12"/>
    </row>
    <row r="222" ht="15.75" customHeight="1">
      <c r="A222" s="12"/>
    </row>
    <row r="223" ht="15.75" customHeight="1">
      <c r="A223" s="12"/>
    </row>
    <row r="224" ht="15.75" customHeight="1">
      <c r="A224" s="12"/>
    </row>
    <row r="225" ht="15.75" customHeight="1">
      <c r="A225" s="12"/>
    </row>
    <row r="226" ht="15.75" customHeight="1">
      <c r="A226" s="12"/>
    </row>
    <row r="227" ht="15.75" customHeight="1">
      <c r="A227" s="12"/>
    </row>
    <row r="228" ht="15.75" customHeight="1">
      <c r="A228" s="12"/>
    </row>
    <row r="229" ht="15.75" customHeight="1">
      <c r="A229" s="12"/>
    </row>
    <row r="230" ht="15.75" customHeight="1">
      <c r="A230" s="12"/>
    </row>
    <row r="231" ht="15.75" customHeight="1">
      <c r="A231" s="12"/>
    </row>
    <row r="232" ht="15.75" customHeight="1">
      <c r="A232" s="12"/>
    </row>
    <row r="233" ht="15.75" customHeight="1">
      <c r="A233" s="12"/>
    </row>
    <row r="234" ht="15.75" customHeight="1">
      <c r="A234" s="12"/>
    </row>
    <row r="235" ht="15.75" customHeight="1">
      <c r="A235" s="12"/>
    </row>
    <row r="236" ht="15.75" customHeight="1">
      <c r="A236" s="12"/>
    </row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13" width="9.5"/>
  </cols>
  <sheetData>
    <row r="1" ht="15.75" customHeight="1">
      <c r="A1" s="82"/>
      <c r="B1" s="83" t="s">
        <v>0</v>
      </c>
      <c r="E1" s="84"/>
      <c r="F1" s="83" t="s">
        <v>1</v>
      </c>
      <c r="I1" s="84"/>
      <c r="J1" s="83" t="s">
        <v>27</v>
      </c>
      <c r="M1" s="84"/>
    </row>
    <row r="2" ht="37.5" customHeight="1">
      <c r="A2" s="85"/>
      <c r="B2" s="86" t="s">
        <v>40</v>
      </c>
      <c r="C2" s="86" t="s">
        <v>41</v>
      </c>
      <c r="D2" s="86" t="s">
        <v>42</v>
      </c>
      <c r="E2" s="87" t="s">
        <v>43</v>
      </c>
      <c r="F2" s="86" t="s">
        <v>44</v>
      </c>
      <c r="G2" s="86" t="s">
        <v>45</v>
      </c>
      <c r="H2" s="86" t="s">
        <v>46</v>
      </c>
      <c r="I2" s="87" t="s">
        <v>47</v>
      </c>
      <c r="J2" s="86" t="s">
        <v>48</v>
      </c>
      <c r="K2" s="86" t="s">
        <v>49</v>
      </c>
      <c r="L2" s="86" t="s">
        <v>50</v>
      </c>
      <c r="M2" s="87" t="s">
        <v>51</v>
      </c>
    </row>
    <row r="3" ht="37.5" customHeight="1">
      <c r="A3" s="88" t="s">
        <v>52</v>
      </c>
      <c r="B3" s="89">
        <f>SUMPRODUCT('bloco 01'!C6:C15, 'bloco 01'!D6:D15, 'bloco 01'!E6:E15) + SUMPRODUCT('bloco 01'!C21:C30, 'bloco 01'!D21:D30, 'bloco 01'!E21:E30) + SUMPRODUCT('bloco 01'!C36:C45, 'bloco 01'!D36:D45, 'bloco 01'!E36:E45)</f>
        <v>0</v>
      </c>
      <c r="C3" s="89">
        <f>SUMPRODUCT('bloco 01'!J6:J15, 'bloco 01'!K6:K15, 'bloco 01'!L6:L15) + SUMPRODUCT('bloco 01'!J21:J30, 'bloco 01'!K21:K30, 'bloco 01'!L21:L30) + SUMPRODUCT('bloco 01'!J36:J45, 'bloco 01'!K36:K45, 'bloco 01'!L36:L45)</f>
        <v>0</v>
      </c>
      <c r="D3" s="89">
        <f>SUMPRODUCT('bloco 01'!Q6:Q15, 'bloco 01'!R6:R15, 'bloco 01'!S6:S15) + SUMPRODUCT('bloco 01'!Q21:Q30, 'bloco 01'!R21:R30, 'bloco 01'!S21:S30) + SUMPRODUCT('bloco 01'!Q36:Q45, 'bloco 01'!R36:R45, 'bloco 01'!S36:S45)</f>
        <v>0</v>
      </c>
      <c r="E3" s="90">
        <f>SUMPRODUCT('bloco 01'!X6:X15, 'bloco 01'!Y6:Y15, 'bloco 01'!Z6:Z15) + SUMPRODUCT('bloco 01'!X21:X30, 'bloco 01'!Y21:Y30, 'bloco 01'!Z21:Z30) + SUMPRODUCT('bloco 01'!X36:X45, 'bloco 01'!Y36:Y45, 'bloco 01'!Z36:Z45)</f>
        <v>0</v>
      </c>
      <c r="F3" s="89">
        <f>SUMPRODUCT('bloco 02'!C6:C15, 'bloco 02'!D6:D15, 'bloco 02'!E6:E15) + SUMPRODUCT('bloco 02'!C21:C30, 'bloco 02'!D21:D30, 'bloco 02'!E21:E30) + SUMPRODUCT('bloco 02'!C36:C45, 'bloco 02'!D36:D45, 'bloco 02'!E36:E45)</f>
        <v>0</v>
      </c>
      <c r="G3" s="89">
        <f>SUMPRODUCT('bloco 02'!J6:J15, 'bloco 02'!K6:K15, 'bloco 02'!L6:L15) + SUMPRODUCT('bloco 02'!J21:J30, 'bloco 02'!K21:K30, 'bloco 02'!L21:L30) + SUMPRODUCT('bloco 02'!J36:J45, 'bloco 02'!K36:K45, 'bloco 02'!L36:L45)</f>
        <v>0</v>
      </c>
      <c r="H3" s="89">
        <f>SUMPRODUCT('bloco 02'!Q6:Q15, 'bloco 02'!R6:R15, 'bloco 02'!S6:S15) + SUMPRODUCT('bloco 02'!Q21:Q30, 'bloco 02'!R21:R30, 'bloco 02'!S21:S30) + SUMPRODUCT('bloco 02'!Q36:Q45, 'bloco 02'!R36:R45, 'bloco 02'!S36:S45)</f>
        <v>0</v>
      </c>
      <c r="I3" s="90">
        <f>SUMPRODUCT('bloco 02'!X6:X15, 'bloco 02'!Y6:Y15, 'bloco 02'!Z6:Z15) + SUMPRODUCT('bloco 02'!X21:X30, 'bloco 02'!Y21:Y30, 'bloco 02'!Z21:Z30) + SUMPRODUCT('bloco 02'!X36:X45, 'bloco 02'!Y36:Y45, 'bloco 02'!Z36:Z45)</f>
        <v>0</v>
      </c>
      <c r="J3" s="89">
        <f>SUMPRODUCT('bloco 03'!C6:C15, 'bloco 03'!D6:D15, 'bloco 03'!E6:E15) + SUMPRODUCT('bloco 03'!C21:C30, 'bloco 03'!D21:D30, 'bloco 03'!E21:E30) + SUMPRODUCT('bloco 03'!C36:C45, 'bloco 03'!D36:D45, 'bloco 03'!E36:E45)</f>
        <v>0</v>
      </c>
      <c r="K3" s="89">
        <f>SUMPRODUCT('bloco 03'!J6:J15, 'bloco 03'!K6:K15, 'bloco 03'!L6:L15) + SUMPRODUCT('bloco 03'!J21:J30, 'bloco 03'!K21:K30, 'bloco 03'!L21:L30) + SUMPRODUCT('bloco 03'!J36:J45, 'bloco 03'!K36:K45, 'bloco 03'!L36:L45)</f>
        <v>0</v>
      </c>
      <c r="L3" s="89">
        <f>SUMPRODUCT('bloco 03'!Q6:Q15, 'bloco 03'!R6:R15, 'bloco 03'!S6:S15) + SUMPRODUCT('bloco 03'!Q21:Q30, 'bloco 03'!R21:R30, 'bloco 03'!S21:S30) + SUMPRODUCT('bloco 03'!Q36:Q45, 'bloco 03'!R36:R45, 'bloco 03'!S36:S45)</f>
        <v>0</v>
      </c>
      <c r="M3" s="90">
        <f>SUMPRODUCT('bloco 03'!X6:X15, 'bloco 03'!Y6:Y15, 'bloco 03'!Z6:Z15) + SUMPRODUCT('bloco 03'!X21:X30, 'bloco 03'!Y21:Y30, 'bloco 03'!Z21:Z30) + SUMPRODUCT('bloco 03'!X36:X45, 'bloco 03'!Y36:Y45, 'bloco 03'!Z36:Z45)</f>
        <v>0</v>
      </c>
    </row>
    <row r="4" ht="37.5" customHeight="1">
      <c r="A4" s="88" t="s">
        <v>53</v>
      </c>
      <c r="B4" s="89">
        <f>SUMPRODUCT('bloco 01'!C6:C15, 'bloco 01'!D6:D15) + SUMPRODUCT('bloco 01'!C21:C30, 'bloco 01'!D21:D30) + SUMPRODUCT('bloco 01'!C36:C45, 'bloco 01'!D36:D45)</f>
        <v>0</v>
      </c>
      <c r="C4" s="89">
        <f>SUMPRODUCT('bloco 01'!J6:J15, 'bloco 01'!K6:K15) + SUMPRODUCT('bloco 01'!J21:J30, 'bloco 01'!K21:K30) + SUMPRODUCT('bloco 01'!J36:J45, 'bloco 01'!K36:K45)</f>
        <v>0</v>
      </c>
      <c r="D4" s="89">
        <f>SUMPRODUCT('bloco 01'!Q6:Q15, 'bloco 01'!R6:R15) + SUMPRODUCT('bloco 01'!Q21:Q30, 'bloco 01'!R21:R30) + SUMPRODUCT('bloco 01'!Q36:Q45, 'bloco 01'!R36:R45)</f>
        <v>0</v>
      </c>
      <c r="E4" s="90">
        <f>SUMPRODUCT('bloco 01'!X6:X15, 'bloco 01'!Y6:Y15) + SUMPRODUCT('bloco 01'!X21:X30, 'bloco 01'!Y21:Y30) + SUMPRODUCT('bloco 01'!X36:X45, 'bloco 01'!Y36:Y45)</f>
        <v>0</v>
      </c>
      <c r="F4" s="89">
        <f>SUMPRODUCT('bloco 02'!C6:C15, 'bloco 02'!D6:D15) + SUMPRODUCT('bloco 02'!C21:C30, 'bloco 02'!D21:D30) + SUMPRODUCT('bloco 02'!C36:C45, 'bloco 02'!D36:D45)</f>
        <v>0</v>
      </c>
      <c r="G4" s="89">
        <f>SUMPRODUCT('bloco 02'!J6:J15, 'bloco 02'!K6:K15) + SUMPRODUCT('bloco 02'!J21:J30, 'bloco 02'!K21:K30) + SUMPRODUCT('bloco 02'!J36:J45, 'bloco 02'!K36:K45)</f>
        <v>0</v>
      </c>
      <c r="H4" s="89">
        <f>SUMPRODUCT('bloco 02'!Q6:Q15, 'bloco 02'!R6:R15) + SUMPRODUCT('bloco 02'!Q21:Q30, 'bloco 02'!R21:R30) + SUMPRODUCT('bloco 02'!Q36:Q45, 'bloco 02'!R36:R45)</f>
        <v>0</v>
      </c>
      <c r="I4" s="90">
        <f>SUMPRODUCT('bloco 02'!X6:X15, 'bloco 02'!Y6:Y15) + SUMPRODUCT('bloco 02'!X21:X30, 'bloco 02'!Y21:Y30) + SUMPRODUCT('bloco 02'!X36:X45, 'bloco 02'!Y36:Y45)</f>
        <v>0</v>
      </c>
      <c r="J4" s="89">
        <f>SUMPRODUCT('bloco 03'!C6:C15, 'bloco 03'!D6:D15) + SUMPRODUCT('bloco 03'!C21:C30, 'bloco 03'!D21:D30) + SUMPRODUCT('bloco 03'!C36:C45, 'bloco 03'!D36:D45)</f>
        <v>0</v>
      </c>
      <c r="K4" s="89">
        <f>SUMPRODUCT('bloco 03'!J6:J15, 'bloco 03'!K6:K15) + SUMPRODUCT('bloco 03'!J21:J30, 'bloco 03'!K21:K30) + SUMPRODUCT('bloco 03'!J36:J45, 'bloco 03'!K36:K45)</f>
        <v>0</v>
      </c>
      <c r="L4" s="89">
        <f>SUMPRODUCT('bloco 03'!Q6:Q15, 'bloco 03'!R6:R15) + SUMPRODUCT('bloco 03'!Q21:Q30, 'bloco 03'!R21:R30) + SUMPRODUCT('bloco 03'!Q36:Q45, 'bloco 03'!R36:R45)</f>
        <v>0</v>
      </c>
      <c r="M4" s="90">
        <f>SUMPRODUCT('bloco 03'!X6:X15, 'bloco 03'!Y6:Y15) + SUMPRODUCT('bloco 03'!X21:X30, 'bloco 03'!Y21:Y30) + SUMPRODUCT('bloco 03'!X36:X45, 'bloco 03'!Y36:Y45)</f>
        <v>0</v>
      </c>
    </row>
    <row r="5" ht="37.5" customHeight="1">
      <c r="A5" s="88" t="s">
        <v>14</v>
      </c>
      <c r="B5" s="91" t="str">
        <f t="array" ref="B5">IFERROR(AVERAGEIF({'bloco 01'!F6:F15; 'bloco 01'!F21:F30; 'bloco 01'!F36:F45}, "&gt;0"), "")</f>
        <v/>
      </c>
      <c r="C5" s="91" t="str">
        <f t="array" ref="C5">IFERROR(AVERAGEIF({'bloco 01'!M6:M15; 'bloco 01'!M21:M30; 'bloco 01'!M36:M45}, "&gt;0"), "")</f>
        <v/>
      </c>
      <c r="D5" s="91" t="str">
        <f t="array" ref="D5">IFERROR(AVERAGEIF({'bloco 01'!T6:T15; 'bloco 01'!T21:T30; 'bloco 01'!T36:T45}, "&gt;0"), "")</f>
        <v/>
      </c>
      <c r="E5" s="92" t="str">
        <f t="array" ref="E5">IFERROR(AVERAGEIF({'bloco 01'!AA6:AA15; 'bloco 01'!AA21:AA30; 'bloco 01'!AA36:AA45}, "&gt;0"), "")</f>
        <v/>
      </c>
      <c r="F5" s="91" t="str">
        <f t="array" ref="F5">IFERROR(AVERAGEIF({'bloco 02'!F6:F15; 'bloco 02'!F21:F30; 'bloco 02'!F36:F45}, "&gt;0"), "")</f>
        <v/>
      </c>
      <c r="G5" s="91" t="str">
        <f t="array" ref="G5">IFERROR(AVERAGEIF({'bloco 02'!M6:M15; 'bloco 02'!M21:M30; 'bloco 02'!M36:M45}, "&gt;0"), "")</f>
        <v/>
      </c>
      <c r="H5" s="91" t="str">
        <f t="array" ref="H5">IFERROR(AVERAGEIF({'bloco 02'!T6:T15; 'bloco 02'!T21:T30; 'bloco 02'!T36:T45}, "&gt;0"), "")</f>
        <v/>
      </c>
      <c r="I5" s="92" t="str">
        <f t="array" ref="I5">IFERROR(AVERAGEIF({'bloco 02'!AA6:AA15; 'bloco 02'!AA21:AA30; 'bloco 02'!AA36:AA45}, "&gt;0"), "")</f>
        <v/>
      </c>
      <c r="J5" s="91" t="str">
        <f t="array" ref="J5">IFERROR(AVERAGEIF({'bloco 03'!F6:F15; 'bloco 03'!F21:F30; 'bloco 03'!F36:F45}, "&gt;0"), "")</f>
        <v/>
      </c>
      <c r="K5" s="91" t="str">
        <f t="array" ref="K5">IFERROR(AVERAGEIF({'bloco 03'!M6:M15; 'bloco 03'!M21:M30; 'bloco 03'!M36:M45}, "&gt;0"), "")</f>
        <v/>
      </c>
      <c r="L5" s="91" t="str">
        <f t="array" ref="L5">IFERROR(AVERAGEIF({'bloco 03'!T6:T15; 'bloco 03'!T21:T30; 'bloco 03'!T36:T45}, "&gt;0"), "")</f>
        <v/>
      </c>
      <c r="M5" s="92" t="str">
        <f t="array" ref="M5">IFERROR(AVERAGEIF({'bloco 03'!AA6:AA15; 'bloco 03'!AA21:AA30; 'bloco 03'!AA36:AA45}, "&gt;0"), "")</f>
        <v/>
      </c>
    </row>
    <row r="6" ht="37.5" customHeight="1">
      <c r="A6" s="93" t="s">
        <v>30</v>
      </c>
      <c r="B6" s="94">
        <v>46246.0</v>
      </c>
      <c r="C6" s="94">
        <f t="shared" ref="C6:M6" si="1">B6+7</f>
        <v>46253</v>
      </c>
      <c r="D6" s="94">
        <f t="shared" si="1"/>
        <v>46260</v>
      </c>
      <c r="E6" s="95">
        <f t="shared" si="1"/>
        <v>46267</v>
      </c>
      <c r="F6" s="94">
        <f t="shared" si="1"/>
        <v>46274</v>
      </c>
      <c r="G6" s="94">
        <f t="shared" si="1"/>
        <v>46281</v>
      </c>
      <c r="H6" s="94">
        <f t="shared" si="1"/>
        <v>46288</v>
      </c>
      <c r="I6" s="95">
        <f t="shared" si="1"/>
        <v>46295</v>
      </c>
      <c r="J6" s="94">
        <f t="shared" si="1"/>
        <v>46302</v>
      </c>
      <c r="K6" s="94">
        <f t="shared" si="1"/>
        <v>46309</v>
      </c>
      <c r="L6" s="94">
        <f t="shared" si="1"/>
        <v>46316</v>
      </c>
      <c r="M6" s="95">
        <f t="shared" si="1"/>
        <v>46323</v>
      </c>
    </row>
    <row r="7" ht="37.5" customHeight="1">
      <c r="A7" s="93" t="s">
        <v>15</v>
      </c>
      <c r="B7" s="96"/>
      <c r="C7" s="96"/>
      <c r="D7" s="96"/>
      <c r="E7" s="97"/>
      <c r="F7" s="96"/>
      <c r="G7" s="96"/>
      <c r="H7" s="96"/>
      <c r="I7" s="97"/>
      <c r="J7" s="96"/>
      <c r="K7" s="96"/>
      <c r="L7" s="96"/>
      <c r="M7" s="97"/>
    </row>
    <row r="8" ht="15.75" customHeight="1">
      <c r="A8" s="12"/>
      <c r="B8" s="12"/>
      <c r="C8" s="12"/>
      <c r="D8" s="12"/>
      <c r="E8" s="12"/>
      <c r="F8" s="12"/>
      <c r="G8" s="12"/>
      <c r="H8" s="12"/>
      <c r="I8" s="12"/>
      <c r="J8" s="12"/>
      <c r="K8" s="12"/>
      <c r="L8" s="12"/>
      <c r="M8" s="12"/>
    </row>
    <row r="9" ht="15.75" customHeight="1">
      <c r="A9" s="12"/>
      <c r="B9" s="12"/>
      <c r="C9" s="12"/>
      <c r="D9" s="12"/>
      <c r="E9" s="12"/>
      <c r="F9" s="12"/>
      <c r="G9" s="12"/>
      <c r="H9" s="12"/>
      <c r="I9" s="12"/>
      <c r="J9" s="12"/>
      <c r="K9" s="12"/>
      <c r="L9" s="12"/>
      <c r="M9" s="12"/>
    </row>
    <row r="10" ht="15.75" customHeight="1">
      <c r="A10" s="12"/>
      <c r="B10" s="12"/>
      <c r="C10" s="12"/>
      <c r="D10" s="12"/>
      <c r="E10" s="12"/>
      <c r="F10" s="12"/>
      <c r="G10" s="12"/>
      <c r="H10" s="12"/>
      <c r="I10" s="12"/>
      <c r="J10" s="12"/>
      <c r="K10" s="12"/>
      <c r="L10" s="12"/>
      <c r="M10" s="12"/>
    </row>
    <row r="11" ht="15.75" customHeight="1">
      <c r="A11" s="12"/>
      <c r="B11" s="12"/>
      <c r="C11" s="12"/>
      <c r="D11" s="12"/>
      <c r="E11" s="12"/>
      <c r="F11" s="12"/>
      <c r="G11" s="12"/>
      <c r="H11" s="12"/>
      <c r="I11" s="12"/>
      <c r="J11" s="12"/>
      <c r="K11" s="12"/>
      <c r="L11" s="12"/>
      <c r="M11" s="12"/>
    </row>
    <row r="12" ht="15.75" customHeight="1">
      <c r="A12" s="12"/>
      <c r="B12" s="12"/>
      <c r="C12" s="12"/>
      <c r="D12" s="12"/>
      <c r="E12" s="12"/>
      <c r="F12" s="12"/>
      <c r="G12" s="12"/>
      <c r="H12" s="12"/>
      <c r="I12" s="12"/>
      <c r="J12" s="12"/>
      <c r="K12" s="12"/>
      <c r="L12" s="12"/>
      <c r="M12" s="12"/>
    </row>
    <row r="13" ht="15.75" customHeight="1">
      <c r="A13" s="12"/>
      <c r="B13" s="12"/>
      <c r="C13" s="12"/>
      <c r="D13" s="12"/>
      <c r="E13" s="12"/>
      <c r="F13" s="12"/>
      <c r="G13" s="12"/>
      <c r="H13" s="12"/>
      <c r="I13" s="12"/>
      <c r="J13" s="12"/>
      <c r="K13" s="12"/>
      <c r="L13" s="12"/>
      <c r="M13" s="12"/>
    </row>
    <row r="14" ht="15.75" customHeight="1">
      <c r="A14" s="12"/>
      <c r="B14" s="12"/>
      <c r="C14" s="12"/>
      <c r="D14" s="12"/>
      <c r="E14" s="12"/>
      <c r="F14" s="12"/>
      <c r="G14" s="12"/>
      <c r="H14" s="12"/>
      <c r="I14" s="12"/>
      <c r="J14" s="12"/>
      <c r="K14" s="12"/>
      <c r="L14" s="12"/>
      <c r="M14" s="12"/>
    </row>
    <row r="15" ht="15.75" customHeight="1">
      <c r="A15" s="12"/>
      <c r="B15" s="12"/>
      <c r="C15" s="12"/>
      <c r="D15" s="12"/>
      <c r="E15" s="12"/>
      <c r="F15" s="12"/>
      <c r="G15" s="12"/>
      <c r="H15" s="12"/>
      <c r="I15" s="12"/>
      <c r="J15" s="12"/>
      <c r="K15" s="12"/>
      <c r="L15" s="12"/>
      <c r="M15" s="12"/>
    </row>
    <row r="16" ht="15.75" customHeight="1">
      <c r="A16" s="12"/>
      <c r="B16" s="12"/>
      <c r="C16" s="12"/>
      <c r="D16" s="12"/>
      <c r="E16" s="12"/>
      <c r="F16" s="12"/>
      <c r="G16" s="12"/>
      <c r="H16" s="12"/>
      <c r="I16" s="12"/>
      <c r="J16" s="12"/>
      <c r="K16" s="12"/>
      <c r="L16" s="12"/>
      <c r="M16" s="12"/>
    </row>
    <row r="17" ht="15.75" customHeight="1">
      <c r="A17" s="12"/>
      <c r="B17" s="12"/>
      <c r="C17" s="12"/>
      <c r="D17" s="12"/>
      <c r="E17" s="12"/>
      <c r="F17" s="12"/>
      <c r="G17" s="12"/>
      <c r="H17" s="12"/>
      <c r="I17" s="12"/>
      <c r="J17" s="12"/>
      <c r="K17" s="12"/>
      <c r="L17" s="12"/>
      <c r="M17" s="12"/>
    </row>
    <row r="18" ht="15.75" customHeight="1">
      <c r="A18" s="12"/>
      <c r="B18" s="12"/>
      <c r="C18" s="12"/>
      <c r="D18" s="12"/>
      <c r="E18" s="12"/>
      <c r="F18" s="12"/>
      <c r="G18" s="12"/>
      <c r="H18" s="12"/>
      <c r="I18" s="12"/>
      <c r="J18" s="12"/>
      <c r="K18" s="12"/>
      <c r="L18" s="12"/>
      <c r="M18" s="12"/>
    </row>
    <row r="19" ht="15.75" customHeight="1">
      <c r="A19" s="12"/>
      <c r="B19" s="12"/>
      <c r="C19" s="12"/>
      <c r="D19" s="12"/>
      <c r="E19" s="12"/>
      <c r="F19" s="12"/>
      <c r="G19" s="12"/>
      <c r="H19" s="12"/>
      <c r="I19" s="12"/>
      <c r="J19" s="12"/>
      <c r="K19" s="12"/>
      <c r="L19" s="12"/>
      <c r="M19" s="12"/>
    </row>
    <row r="20" ht="15.75" customHeight="1">
      <c r="A20" s="12"/>
      <c r="B20" s="12"/>
      <c r="C20" s="12"/>
      <c r="D20" s="12"/>
      <c r="E20" s="12"/>
      <c r="F20" s="12"/>
      <c r="G20" s="12"/>
      <c r="H20" s="12"/>
      <c r="I20" s="12"/>
      <c r="J20" s="12"/>
      <c r="K20" s="12"/>
      <c r="L20" s="12"/>
      <c r="M20" s="12"/>
    </row>
    <row r="21" ht="15.75" customHeight="1">
      <c r="A21" s="12"/>
      <c r="B21" s="12"/>
      <c r="C21" s="12"/>
      <c r="D21" s="12"/>
      <c r="E21" s="12"/>
      <c r="F21" s="12"/>
      <c r="G21" s="12"/>
      <c r="H21" s="12"/>
      <c r="I21" s="12"/>
      <c r="J21" s="12"/>
      <c r="K21" s="12"/>
      <c r="L21" s="12"/>
      <c r="M21" s="12"/>
    </row>
    <row r="22" ht="15.75" customHeight="1">
      <c r="A22" s="12"/>
      <c r="B22" s="12"/>
      <c r="C22" s="12"/>
      <c r="D22" s="12"/>
      <c r="E22" s="12"/>
      <c r="F22" s="12"/>
      <c r="G22" s="12"/>
      <c r="H22" s="12"/>
      <c r="I22" s="12"/>
      <c r="J22" s="12"/>
      <c r="K22" s="12"/>
      <c r="L22" s="12"/>
      <c r="M22" s="12"/>
    </row>
    <row r="23" ht="15.75" customHeight="1">
      <c r="A23" s="12"/>
      <c r="B23" s="12"/>
      <c r="C23" s="12"/>
      <c r="D23" s="12"/>
      <c r="E23" s="12"/>
      <c r="F23" s="12"/>
      <c r="G23" s="12"/>
      <c r="H23" s="12"/>
      <c r="I23" s="12"/>
      <c r="J23" s="12"/>
      <c r="K23" s="12"/>
      <c r="L23" s="12"/>
      <c r="M23" s="12"/>
    </row>
    <row r="24" ht="15.75" customHeight="1">
      <c r="A24" s="12"/>
      <c r="B24" s="12"/>
      <c r="C24" s="12"/>
      <c r="D24" s="12"/>
      <c r="E24" s="12"/>
      <c r="F24" s="12"/>
      <c r="G24" s="12"/>
      <c r="H24" s="12"/>
      <c r="I24" s="12"/>
      <c r="J24" s="12"/>
      <c r="K24" s="12"/>
      <c r="L24" s="12"/>
      <c r="M24" s="12"/>
    </row>
    <row r="25" ht="15.75" customHeight="1">
      <c r="A25" s="12"/>
      <c r="B25" s="12"/>
      <c r="C25" s="12"/>
      <c r="D25" s="12"/>
      <c r="E25" s="12"/>
      <c r="F25" s="12"/>
      <c r="G25" s="12"/>
      <c r="H25" s="12"/>
      <c r="I25" s="12"/>
      <c r="J25" s="12"/>
      <c r="K25" s="12"/>
      <c r="L25" s="12"/>
      <c r="M25" s="12"/>
    </row>
    <row r="26" ht="15.75" customHeight="1">
      <c r="A26" s="12"/>
      <c r="B26" s="12"/>
      <c r="C26" s="12"/>
      <c r="D26" s="12"/>
      <c r="E26" s="12"/>
      <c r="F26" s="12"/>
      <c r="G26" s="12"/>
      <c r="H26" s="12"/>
      <c r="I26" s="12"/>
      <c r="J26" s="12"/>
      <c r="K26" s="12"/>
      <c r="L26" s="12"/>
      <c r="M26" s="12"/>
    </row>
    <row r="27" ht="15.75" customHeight="1">
      <c r="A27" s="12"/>
      <c r="B27" s="12"/>
      <c r="C27" s="12"/>
      <c r="D27" s="12"/>
      <c r="E27" s="12"/>
      <c r="F27" s="12"/>
      <c r="G27" s="12"/>
      <c r="H27" s="12"/>
      <c r="I27" s="12"/>
      <c r="J27" s="12"/>
      <c r="K27" s="12"/>
      <c r="L27" s="12"/>
      <c r="M27" s="12"/>
    </row>
    <row r="28" ht="15.75" customHeight="1">
      <c r="A28" s="12"/>
      <c r="B28" s="12"/>
      <c r="C28" s="12"/>
      <c r="D28" s="12"/>
      <c r="E28" s="12"/>
      <c r="F28" s="12"/>
      <c r="G28" s="12"/>
      <c r="H28" s="12"/>
      <c r="I28" s="12"/>
      <c r="J28" s="12"/>
      <c r="K28" s="12"/>
      <c r="L28" s="12"/>
      <c r="M28" s="12"/>
    </row>
    <row r="29" ht="15.75" customHeight="1">
      <c r="A29" s="12"/>
      <c r="B29" s="12"/>
      <c r="C29" s="12"/>
      <c r="D29" s="12"/>
      <c r="E29" s="12"/>
      <c r="F29" s="12"/>
      <c r="G29" s="12"/>
      <c r="H29" s="12"/>
      <c r="I29" s="12"/>
      <c r="J29" s="12"/>
      <c r="K29" s="12"/>
      <c r="L29" s="12"/>
      <c r="M29" s="12"/>
    </row>
    <row r="30" ht="15.75" customHeight="1">
      <c r="A30" s="12"/>
      <c r="B30" s="12"/>
      <c r="C30" s="12"/>
      <c r="D30" s="12"/>
      <c r="E30" s="12"/>
      <c r="F30" s="12"/>
      <c r="G30" s="12"/>
      <c r="H30" s="12"/>
      <c r="I30" s="12"/>
      <c r="J30" s="12"/>
      <c r="K30" s="12"/>
      <c r="L30" s="12"/>
      <c r="M30" s="12"/>
    </row>
    <row r="31" ht="15.75" customHeight="1">
      <c r="A31" s="12"/>
      <c r="B31" s="12"/>
      <c r="C31" s="12"/>
      <c r="D31" s="12"/>
      <c r="E31" s="12"/>
      <c r="F31" s="12"/>
      <c r="G31" s="12"/>
      <c r="H31" s="12"/>
      <c r="I31" s="12"/>
      <c r="J31" s="12"/>
      <c r="K31" s="12"/>
      <c r="L31" s="12"/>
      <c r="M31" s="12"/>
    </row>
    <row r="32" ht="15.75" customHeight="1">
      <c r="A32" s="12"/>
      <c r="B32" s="12"/>
      <c r="C32" s="12"/>
      <c r="D32" s="12"/>
      <c r="E32" s="12"/>
      <c r="F32" s="12"/>
      <c r="G32" s="12"/>
      <c r="H32" s="12"/>
      <c r="I32" s="12"/>
      <c r="J32" s="12"/>
      <c r="K32" s="12"/>
      <c r="L32" s="12"/>
      <c r="M32" s="12"/>
    </row>
    <row r="33" ht="15.75" customHeight="1">
      <c r="A33" s="12"/>
      <c r="B33" s="12"/>
      <c r="C33" s="12"/>
      <c r="D33" s="12"/>
      <c r="E33" s="12"/>
      <c r="F33" s="12"/>
      <c r="G33" s="12"/>
      <c r="H33" s="12"/>
      <c r="I33" s="12"/>
      <c r="J33" s="12"/>
      <c r="K33" s="12"/>
      <c r="L33" s="12"/>
      <c r="M33" s="12"/>
    </row>
    <row r="34" ht="15.75" customHeight="1">
      <c r="A34" s="12"/>
      <c r="B34" s="12"/>
      <c r="C34" s="12"/>
      <c r="D34" s="12"/>
      <c r="E34" s="12"/>
      <c r="F34" s="12"/>
      <c r="G34" s="12"/>
      <c r="H34" s="12"/>
      <c r="I34" s="12"/>
      <c r="J34" s="12"/>
      <c r="K34" s="12"/>
      <c r="L34" s="12"/>
      <c r="M34" s="12"/>
    </row>
    <row r="35" ht="15.75" customHeight="1">
      <c r="A35" s="12"/>
      <c r="B35" s="12"/>
      <c r="C35" s="12"/>
      <c r="D35" s="12"/>
      <c r="E35" s="12"/>
      <c r="F35" s="12"/>
      <c r="G35" s="12"/>
      <c r="H35" s="12"/>
      <c r="I35" s="12"/>
      <c r="J35" s="12"/>
      <c r="K35" s="12"/>
      <c r="L35" s="12"/>
      <c r="M35" s="12"/>
    </row>
    <row r="36" ht="15.75" customHeight="1">
      <c r="A36" s="12"/>
      <c r="B36" s="12"/>
      <c r="C36" s="12"/>
      <c r="D36" s="12"/>
      <c r="E36" s="12"/>
      <c r="F36" s="12"/>
      <c r="G36" s="12"/>
      <c r="H36" s="12"/>
      <c r="I36" s="12"/>
      <c r="J36" s="12"/>
      <c r="K36" s="12"/>
      <c r="L36" s="12"/>
      <c r="M36" s="12"/>
    </row>
    <row r="37" ht="15.75" customHeight="1">
      <c r="A37" s="12"/>
      <c r="B37" s="12"/>
      <c r="C37" s="12"/>
      <c r="D37" s="12"/>
      <c r="E37" s="12"/>
      <c r="F37" s="12"/>
      <c r="G37" s="12"/>
      <c r="H37" s="12"/>
      <c r="I37" s="12"/>
      <c r="J37" s="12"/>
      <c r="K37" s="12"/>
      <c r="L37" s="12"/>
      <c r="M37" s="12"/>
    </row>
    <row r="38" ht="15.75" customHeight="1">
      <c r="A38" s="12"/>
      <c r="B38" s="12"/>
      <c r="C38" s="12"/>
      <c r="D38" s="12"/>
      <c r="E38" s="12"/>
      <c r="F38" s="12"/>
      <c r="G38" s="12"/>
      <c r="H38" s="12"/>
      <c r="I38" s="12"/>
      <c r="J38" s="12"/>
      <c r="K38" s="12"/>
      <c r="L38" s="12"/>
      <c r="M38" s="12"/>
    </row>
    <row r="39" ht="15.75" customHeight="1">
      <c r="A39" s="12"/>
      <c r="B39" s="12"/>
      <c r="C39" s="12"/>
      <c r="D39" s="12"/>
      <c r="E39" s="12"/>
      <c r="F39" s="12"/>
      <c r="G39" s="12"/>
      <c r="H39" s="12"/>
      <c r="I39" s="12"/>
      <c r="J39" s="12"/>
      <c r="K39" s="12"/>
      <c r="L39" s="12"/>
      <c r="M39" s="12"/>
    </row>
    <row r="40" ht="15.75" customHeight="1">
      <c r="A40" s="12"/>
      <c r="B40" s="12"/>
      <c r="C40" s="12"/>
      <c r="D40" s="12"/>
      <c r="E40" s="12"/>
      <c r="F40" s="12"/>
      <c r="G40" s="12"/>
      <c r="H40" s="12"/>
      <c r="I40" s="12"/>
      <c r="J40" s="12"/>
      <c r="K40" s="12"/>
      <c r="L40" s="12"/>
      <c r="M40" s="12"/>
    </row>
    <row r="41" ht="15.75" customHeight="1">
      <c r="A41" s="12"/>
      <c r="B41" s="12"/>
      <c r="C41" s="12"/>
      <c r="D41" s="12"/>
      <c r="E41" s="12"/>
      <c r="F41" s="12"/>
      <c r="G41" s="12"/>
      <c r="H41" s="12"/>
      <c r="I41" s="12"/>
      <c r="J41" s="12"/>
      <c r="K41" s="12"/>
      <c r="L41" s="12"/>
      <c r="M41" s="12"/>
    </row>
    <row r="42" ht="15.75" customHeight="1">
      <c r="A42" s="12"/>
      <c r="B42" s="12"/>
      <c r="C42" s="12"/>
      <c r="D42" s="12"/>
      <c r="E42" s="12"/>
      <c r="F42" s="12"/>
      <c r="G42" s="12"/>
      <c r="H42" s="12"/>
      <c r="I42" s="12"/>
      <c r="J42" s="12"/>
      <c r="K42" s="12"/>
      <c r="L42" s="12"/>
      <c r="M42" s="12"/>
    </row>
    <row r="43" ht="15.75" customHeight="1">
      <c r="A43" s="12"/>
      <c r="B43" s="12"/>
      <c r="C43" s="12"/>
      <c r="D43" s="12"/>
      <c r="E43" s="12"/>
      <c r="F43" s="12"/>
      <c r="G43" s="12"/>
      <c r="H43" s="12"/>
      <c r="I43" s="12"/>
      <c r="J43" s="12"/>
      <c r="K43" s="12"/>
      <c r="L43" s="12"/>
      <c r="M43" s="12"/>
    </row>
    <row r="44" ht="15.75" customHeight="1">
      <c r="A44" s="12"/>
      <c r="B44" s="12"/>
      <c r="C44" s="12"/>
      <c r="D44" s="12"/>
      <c r="E44" s="12"/>
      <c r="F44" s="12"/>
      <c r="G44" s="12"/>
      <c r="H44" s="12"/>
      <c r="I44" s="12"/>
      <c r="J44" s="12"/>
      <c r="K44" s="12"/>
      <c r="L44" s="12"/>
      <c r="M44" s="12"/>
    </row>
    <row r="45" ht="15.75" customHeight="1">
      <c r="A45" s="12"/>
      <c r="B45" s="12"/>
      <c r="C45" s="12"/>
      <c r="D45" s="12"/>
      <c r="E45" s="12"/>
      <c r="F45" s="12"/>
      <c r="G45" s="12"/>
      <c r="H45" s="12"/>
      <c r="I45" s="12"/>
      <c r="J45" s="12"/>
      <c r="K45" s="12"/>
      <c r="L45" s="12"/>
      <c r="M45" s="12"/>
    </row>
    <row r="46" ht="15.75" customHeight="1">
      <c r="A46" s="12"/>
      <c r="B46" s="12"/>
      <c r="C46" s="12"/>
      <c r="D46" s="12"/>
      <c r="E46" s="12"/>
      <c r="F46" s="12"/>
      <c r="G46" s="12"/>
      <c r="H46" s="12"/>
      <c r="I46" s="12"/>
      <c r="J46" s="12"/>
      <c r="K46" s="12"/>
      <c r="L46" s="12"/>
      <c r="M46" s="12"/>
    </row>
    <row r="47" ht="15.75" customHeight="1">
      <c r="A47" s="12"/>
      <c r="B47" s="12"/>
      <c r="C47" s="12"/>
      <c r="D47" s="12"/>
      <c r="E47" s="12"/>
      <c r="F47" s="12"/>
      <c r="G47" s="12"/>
      <c r="H47" s="12"/>
      <c r="I47" s="12"/>
      <c r="J47" s="12"/>
      <c r="K47" s="12"/>
      <c r="L47" s="12"/>
      <c r="M47" s="12"/>
    </row>
    <row r="48" ht="15.75" customHeight="1">
      <c r="A48" s="12"/>
      <c r="B48" s="12"/>
      <c r="C48" s="12"/>
      <c r="D48" s="12"/>
      <c r="E48" s="12"/>
      <c r="F48" s="12"/>
      <c r="G48" s="12"/>
      <c r="H48" s="12"/>
      <c r="I48" s="12"/>
      <c r="J48" s="12"/>
      <c r="K48" s="12"/>
      <c r="L48" s="12"/>
      <c r="M48" s="12"/>
    </row>
    <row r="49" ht="15.75" customHeight="1">
      <c r="A49" s="12"/>
      <c r="B49" s="12"/>
      <c r="C49" s="12"/>
      <c r="D49" s="12"/>
      <c r="E49" s="12"/>
      <c r="F49" s="12"/>
      <c r="G49" s="12"/>
      <c r="H49" s="12"/>
      <c r="I49" s="12"/>
      <c r="J49" s="12"/>
      <c r="K49" s="12"/>
      <c r="L49" s="12"/>
      <c r="M49" s="12"/>
    </row>
    <row r="50" ht="15.75" customHeight="1">
      <c r="A50" s="12"/>
      <c r="B50" s="12"/>
      <c r="C50" s="12"/>
      <c r="D50" s="12"/>
      <c r="E50" s="12"/>
      <c r="F50" s="12"/>
      <c r="G50" s="12"/>
      <c r="H50" s="12"/>
      <c r="I50" s="12"/>
      <c r="J50" s="12"/>
      <c r="K50" s="12"/>
      <c r="L50" s="12"/>
      <c r="M50" s="12"/>
    </row>
    <row r="51" ht="15.75" customHeight="1">
      <c r="A51" s="12"/>
      <c r="B51" s="12"/>
      <c r="C51" s="12"/>
      <c r="D51" s="12"/>
      <c r="E51" s="12"/>
      <c r="F51" s="12"/>
      <c r="G51" s="12"/>
      <c r="H51" s="12"/>
      <c r="I51" s="12"/>
      <c r="J51" s="12"/>
      <c r="K51" s="12"/>
      <c r="L51" s="12"/>
      <c r="M51" s="12"/>
    </row>
    <row r="52" ht="15.75" customHeight="1">
      <c r="A52" s="12"/>
      <c r="B52" s="12"/>
      <c r="C52" s="12"/>
      <c r="D52" s="12"/>
      <c r="E52" s="12"/>
      <c r="F52" s="12"/>
      <c r="G52" s="12"/>
      <c r="H52" s="12"/>
      <c r="I52" s="12"/>
      <c r="J52" s="12"/>
      <c r="K52" s="12"/>
      <c r="L52" s="12"/>
      <c r="M52" s="12"/>
    </row>
    <row r="53" ht="15.75" customHeight="1">
      <c r="A53" s="12"/>
      <c r="B53" s="12"/>
      <c r="C53" s="12"/>
      <c r="D53" s="12"/>
      <c r="E53" s="12"/>
      <c r="F53" s="12"/>
      <c r="G53" s="12"/>
      <c r="H53" s="12"/>
      <c r="I53" s="12"/>
      <c r="J53" s="12"/>
      <c r="K53" s="12"/>
      <c r="L53" s="12"/>
      <c r="M53" s="12"/>
    </row>
    <row r="54" ht="15.75" customHeight="1">
      <c r="A54" s="12"/>
      <c r="B54" s="12"/>
      <c r="C54" s="12"/>
      <c r="D54" s="12"/>
      <c r="E54" s="12"/>
      <c r="F54" s="12"/>
      <c r="G54" s="12"/>
      <c r="H54" s="12"/>
      <c r="I54" s="12"/>
      <c r="J54" s="12"/>
      <c r="K54" s="12"/>
      <c r="L54" s="12"/>
      <c r="M54" s="12"/>
    </row>
    <row r="55" ht="15.75" customHeight="1">
      <c r="A55" s="12"/>
      <c r="B55" s="12"/>
      <c r="C55" s="12"/>
      <c r="D55" s="12"/>
      <c r="E55" s="12"/>
      <c r="F55" s="12"/>
      <c r="G55" s="12"/>
      <c r="H55" s="12"/>
      <c r="I55" s="12"/>
      <c r="J55" s="12"/>
      <c r="K55" s="12"/>
      <c r="L55" s="12"/>
      <c r="M55" s="12"/>
    </row>
    <row r="56" ht="15.75" customHeight="1">
      <c r="A56" s="12"/>
      <c r="B56" s="12"/>
      <c r="C56" s="12"/>
      <c r="D56" s="12"/>
      <c r="E56" s="12"/>
      <c r="F56" s="12"/>
      <c r="G56" s="12"/>
      <c r="H56" s="12"/>
      <c r="I56" s="12"/>
      <c r="J56" s="12"/>
      <c r="K56" s="12"/>
      <c r="L56" s="12"/>
      <c r="M56" s="12"/>
    </row>
    <row r="57" ht="15.75" customHeight="1">
      <c r="A57" s="12"/>
      <c r="B57" s="12"/>
      <c r="C57" s="12"/>
      <c r="D57" s="12"/>
      <c r="E57" s="12"/>
      <c r="F57" s="12"/>
      <c r="G57" s="12"/>
      <c r="H57" s="12"/>
      <c r="I57" s="12"/>
      <c r="J57" s="12"/>
      <c r="K57" s="12"/>
      <c r="L57" s="12"/>
      <c r="M57" s="12"/>
    </row>
    <row r="58" ht="15.75" customHeight="1">
      <c r="A58" s="12"/>
      <c r="B58" s="12"/>
      <c r="C58" s="12"/>
      <c r="D58" s="12"/>
      <c r="E58" s="12"/>
      <c r="F58" s="12"/>
      <c r="G58" s="12"/>
      <c r="H58" s="12"/>
      <c r="I58" s="12"/>
      <c r="J58" s="12"/>
      <c r="K58" s="12"/>
      <c r="L58" s="12"/>
      <c r="M58" s="12"/>
    </row>
    <row r="59" ht="15.75" customHeight="1">
      <c r="A59" s="12"/>
      <c r="B59" s="12"/>
      <c r="C59" s="12"/>
      <c r="D59" s="12"/>
      <c r="E59" s="12"/>
      <c r="F59" s="12"/>
      <c r="G59" s="12"/>
      <c r="H59" s="12"/>
      <c r="I59" s="12"/>
      <c r="J59" s="12"/>
      <c r="K59" s="12"/>
      <c r="L59" s="12"/>
      <c r="M59" s="12"/>
    </row>
    <row r="60" ht="15.75" customHeight="1">
      <c r="A60" s="12"/>
      <c r="B60" s="12"/>
      <c r="C60" s="12"/>
      <c r="D60" s="12"/>
      <c r="E60" s="12"/>
      <c r="F60" s="12"/>
      <c r="G60" s="12"/>
      <c r="H60" s="12"/>
      <c r="I60" s="12"/>
      <c r="J60" s="12"/>
      <c r="K60" s="12"/>
      <c r="L60" s="12"/>
      <c r="M60" s="12"/>
    </row>
    <row r="61" ht="15.75" customHeight="1">
      <c r="A61" s="12"/>
      <c r="B61" s="12"/>
      <c r="C61" s="12"/>
      <c r="D61" s="12"/>
      <c r="E61" s="12"/>
      <c r="F61" s="12"/>
      <c r="G61" s="12"/>
      <c r="H61" s="12"/>
      <c r="I61" s="12"/>
      <c r="J61" s="12"/>
      <c r="K61" s="12"/>
      <c r="L61" s="12"/>
      <c r="M61" s="12"/>
    </row>
    <row r="62" ht="15.75" customHeight="1">
      <c r="A62" s="12"/>
      <c r="B62" s="12"/>
      <c r="C62" s="12"/>
      <c r="D62" s="12"/>
      <c r="E62" s="12"/>
      <c r="F62" s="12"/>
      <c r="G62" s="12"/>
      <c r="H62" s="12"/>
      <c r="I62" s="12"/>
      <c r="J62" s="12"/>
      <c r="K62" s="12"/>
      <c r="L62" s="12"/>
      <c r="M62" s="12"/>
    </row>
    <row r="63" ht="15.75" customHeight="1">
      <c r="A63" s="12"/>
      <c r="B63" s="12"/>
      <c r="C63" s="12"/>
      <c r="D63" s="12"/>
      <c r="E63" s="12"/>
      <c r="F63" s="12"/>
      <c r="G63" s="12"/>
      <c r="H63" s="12"/>
      <c r="I63" s="12"/>
      <c r="J63" s="12"/>
      <c r="K63" s="12"/>
      <c r="L63" s="12"/>
      <c r="M63" s="12"/>
    </row>
    <row r="64" ht="15.75" customHeight="1">
      <c r="A64" s="12"/>
      <c r="B64" s="12"/>
      <c r="C64" s="12"/>
      <c r="D64" s="12"/>
      <c r="E64" s="12"/>
      <c r="F64" s="12"/>
      <c r="G64" s="12"/>
      <c r="H64" s="12"/>
      <c r="I64" s="12"/>
      <c r="J64" s="12"/>
      <c r="K64" s="12"/>
      <c r="L64" s="12"/>
      <c r="M64" s="12"/>
    </row>
    <row r="65" ht="15.75" customHeight="1">
      <c r="A65" s="12"/>
      <c r="B65" s="12"/>
      <c r="C65" s="12"/>
      <c r="D65" s="12"/>
      <c r="E65" s="12"/>
      <c r="F65" s="12"/>
      <c r="G65" s="12"/>
      <c r="H65" s="12"/>
      <c r="I65" s="12"/>
      <c r="J65" s="12"/>
      <c r="K65" s="12"/>
      <c r="L65" s="12"/>
      <c r="M65" s="12"/>
    </row>
    <row r="66" ht="15.75" customHeight="1">
      <c r="A66" s="12"/>
      <c r="B66" s="12"/>
      <c r="C66" s="12"/>
      <c r="D66" s="12"/>
      <c r="E66" s="12"/>
      <c r="F66" s="12"/>
      <c r="G66" s="12"/>
      <c r="H66" s="12"/>
      <c r="I66" s="12"/>
      <c r="J66" s="12"/>
      <c r="K66" s="12"/>
      <c r="L66" s="12"/>
      <c r="M66" s="12"/>
    </row>
    <row r="67" ht="15.75" customHeight="1">
      <c r="A67" s="12"/>
      <c r="B67" s="12"/>
      <c r="C67" s="12"/>
      <c r="D67" s="12"/>
      <c r="E67" s="12"/>
      <c r="F67" s="12"/>
      <c r="G67" s="12"/>
      <c r="H67" s="12"/>
      <c r="I67" s="12"/>
      <c r="J67" s="12"/>
      <c r="K67" s="12"/>
      <c r="L67" s="12"/>
      <c r="M67" s="12"/>
    </row>
    <row r="68" ht="15.75" customHeight="1">
      <c r="A68" s="12"/>
      <c r="B68" s="12"/>
      <c r="C68" s="12"/>
      <c r="D68" s="12"/>
      <c r="E68" s="12"/>
      <c r="F68" s="12"/>
      <c r="G68" s="12"/>
      <c r="H68" s="12"/>
      <c r="I68" s="12"/>
      <c r="J68" s="12"/>
      <c r="K68" s="12"/>
      <c r="L68" s="12"/>
      <c r="M68" s="12"/>
    </row>
    <row r="69" ht="15.75" customHeight="1">
      <c r="A69" s="12"/>
      <c r="B69" s="12"/>
      <c r="C69" s="12"/>
      <c r="D69" s="12"/>
      <c r="E69" s="12"/>
      <c r="F69" s="12"/>
      <c r="G69" s="12"/>
      <c r="H69" s="12"/>
      <c r="I69" s="12"/>
      <c r="J69" s="12"/>
      <c r="K69" s="12"/>
      <c r="L69" s="12"/>
      <c r="M69" s="12"/>
    </row>
    <row r="70" ht="15.75" customHeight="1">
      <c r="A70" s="12"/>
      <c r="B70" s="12"/>
      <c r="C70" s="12"/>
      <c r="D70" s="12"/>
      <c r="E70" s="12"/>
      <c r="F70" s="12"/>
      <c r="G70" s="12"/>
      <c r="H70" s="12"/>
      <c r="I70" s="12"/>
      <c r="J70" s="12"/>
      <c r="K70" s="12"/>
      <c r="L70" s="12"/>
      <c r="M70" s="12"/>
    </row>
    <row r="71" ht="15.75" customHeight="1">
      <c r="A71" s="12"/>
      <c r="B71" s="12"/>
      <c r="C71" s="12"/>
      <c r="D71" s="12"/>
      <c r="E71" s="12"/>
      <c r="F71" s="12"/>
      <c r="G71" s="12"/>
      <c r="H71" s="12"/>
      <c r="I71" s="12"/>
      <c r="J71" s="12"/>
      <c r="K71" s="12"/>
      <c r="L71" s="12"/>
      <c r="M71" s="12"/>
    </row>
    <row r="72" ht="15.75" customHeight="1">
      <c r="A72" s="12"/>
      <c r="B72" s="12"/>
      <c r="C72" s="12"/>
      <c r="D72" s="12"/>
      <c r="E72" s="12"/>
      <c r="F72" s="12"/>
      <c r="G72" s="12"/>
      <c r="H72" s="12"/>
      <c r="I72" s="12"/>
      <c r="J72" s="12"/>
      <c r="K72" s="12"/>
      <c r="L72" s="12"/>
      <c r="M72" s="12"/>
    </row>
    <row r="73" ht="15.75" customHeight="1">
      <c r="A73" s="12"/>
      <c r="B73" s="12"/>
      <c r="C73" s="12"/>
      <c r="D73" s="12"/>
      <c r="E73" s="12"/>
      <c r="F73" s="12"/>
      <c r="G73" s="12"/>
      <c r="H73" s="12"/>
      <c r="I73" s="12"/>
      <c r="J73" s="12"/>
      <c r="K73" s="12"/>
      <c r="L73" s="12"/>
      <c r="M73" s="12"/>
    </row>
    <row r="74" ht="15.75" customHeight="1">
      <c r="A74" s="12"/>
      <c r="B74" s="12"/>
      <c r="C74" s="12"/>
      <c r="D74" s="12"/>
      <c r="E74" s="12"/>
      <c r="F74" s="12"/>
      <c r="G74" s="12"/>
      <c r="H74" s="12"/>
      <c r="I74" s="12"/>
      <c r="J74" s="12"/>
      <c r="K74" s="12"/>
      <c r="L74" s="12"/>
      <c r="M74" s="12"/>
    </row>
    <row r="75" ht="15.75" customHeight="1">
      <c r="A75" s="12"/>
      <c r="B75" s="12"/>
      <c r="C75" s="12"/>
      <c r="D75" s="12"/>
      <c r="E75" s="12"/>
      <c r="F75" s="12"/>
      <c r="G75" s="12"/>
      <c r="H75" s="12"/>
      <c r="I75" s="12"/>
      <c r="J75" s="12"/>
      <c r="K75" s="12"/>
      <c r="L75" s="12"/>
      <c r="M75" s="12"/>
    </row>
    <row r="76" ht="15.75" customHeight="1">
      <c r="A76" s="12"/>
      <c r="B76" s="12"/>
      <c r="C76" s="12"/>
      <c r="D76" s="12"/>
      <c r="E76" s="12"/>
      <c r="F76" s="12"/>
      <c r="G76" s="12"/>
      <c r="H76" s="12"/>
      <c r="I76" s="12"/>
      <c r="J76" s="12"/>
      <c r="K76" s="12"/>
      <c r="L76" s="12"/>
      <c r="M76" s="12"/>
    </row>
    <row r="77" ht="15.75" customHeight="1">
      <c r="A77" s="12"/>
      <c r="B77" s="12"/>
      <c r="C77" s="12"/>
      <c r="D77" s="12"/>
      <c r="E77" s="12"/>
      <c r="F77" s="12"/>
      <c r="G77" s="12"/>
      <c r="H77" s="12"/>
      <c r="I77" s="12"/>
      <c r="J77" s="12"/>
      <c r="K77" s="12"/>
      <c r="L77" s="12"/>
      <c r="M77" s="12"/>
    </row>
    <row r="78" ht="15.75" customHeight="1">
      <c r="A78" s="12"/>
      <c r="B78" s="12"/>
      <c r="C78" s="12"/>
      <c r="D78" s="12"/>
      <c r="E78" s="12"/>
      <c r="F78" s="12"/>
      <c r="G78" s="12"/>
      <c r="H78" s="12"/>
      <c r="I78" s="12"/>
      <c r="J78" s="12"/>
      <c r="K78" s="12"/>
      <c r="L78" s="12"/>
      <c r="M78" s="12"/>
    </row>
    <row r="79" ht="15.75" customHeight="1">
      <c r="A79" s="12"/>
      <c r="B79" s="12"/>
      <c r="C79" s="12"/>
      <c r="D79" s="12"/>
      <c r="E79" s="12"/>
      <c r="F79" s="12"/>
      <c r="G79" s="12"/>
      <c r="H79" s="12"/>
      <c r="I79" s="12"/>
      <c r="J79" s="12"/>
      <c r="K79" s="12"/>
      <c r="L79" s="12"/>
      <c r="M79" s="12"/>
    </row>
    <row r="80" ht="15.75" customHeight="1">
      <c r="A80" s="12"/>
      <c r="B80" s="12"/>
      <c r="C80" s="12"/>
      <c r="D80" s="12"/>
      <c r="E80" s="12"/>
      <c r="F80" s="12"/>
      <c r="G80" s="12"/>
      <c r="H80" s="12"/>
      <c r="I80" s="12"/>
      <c r="J80" s="12"/>
      <c r="K80" s="12"/>
      <c r="L80" s="12"/>
      <c r="M80" s="12"/>
    </row>
    <row r="81" ht="15.75" customHeight="1">
      <c r="A81" s="12"/>
      <c r="B81" s="12"/>
      <c r="C81" s="12"/>
      <c r="D81" s="12"/>
      <c r="E81" s="12"/>
      <c r="F81" s="12"/>
      <c r="G81" s="12"/>
      <c r="H81" s="12"/>
      <c r="I81" s="12"/>
      <c r="J81" s="12"/>
      <c r="K81" s="12"/>
      <c r="L81" s="12"/>
      <c r="M81" s="12"/>
    </row>
    <row r="82" ht="15.75" customHeight="1">
      <c r="A82" s="12"/>
      <c r="B82" s="12"/>
      <c r="C82" s="12"/>
      <c r="D82" s="12"/>
      <c r="E82" s="12"/>
      <c r="F82" s="12"/>
      <c r="G82" s="12"/>
      <c r="H82" s="12"/>
      <c r="I82" s="12"/>
      <c r="J82" s="12"/>
      <c r="K82" s="12"/>
      <c r="L82" s="12"/>
      <c r="M82" s="12"/>
    </row>
    <row r="83" ht="15.75" customHeight="1">
      <c r="A83" s="12"/>
      <c r="B83" s="12"/>
      <c r="C83" s="12"/>
      <c r="D83" s="12"/>
      <c r="E83" s="12"/>
      <c r="F83" s="12"/>
      <c r="G83" s="12"/>
      <c r="H83" s="12"/>
      <c r="I83" s="12"/>
      <c r="J83" s="12"/>
      <c r="K83" s="12"/>
      <c r="L83" s="12"/>
      <c r="M83" s="12"/>
    </row>
    <row r="84" ht="15.75" customHeight="1">
      <c r="A84" s="12"/>
      <c r="B84" s="12"/>
      <c r="C84" s="12"/>
      <c r="D84" s="12"/>
      <c r="E84" s="12"/>
      <c r="F84" s="12"/>
      <c r="G84" s="12"/>
      <c r="H84" s="12"/>
      <c r="I84" s="12"/>
      <c r="J84" s="12"/>
      <c r="K84" s="12"/>
      <c r="L84" s="12"/>
      <c r="M84" s="12"/>
    </row>
    <row r="85" ht="15.75" customHeight="1">
      <c r="A85" s="12"/>
      <c r="B85" s="12"/>
      <c r="C85" s="12"/>
      <c r="D85" s="12"/>
      <c r="E85" s="12"/>
      <c r="F85" s="12"/>
      <c r="G85" s="12"/>
      <c r="H85" s="12"/>
      <c r="I85" s="12"/>
      <c r="J85" s="12"/>
      <c r="K85" s="12"/>
      <c r="L85" s="12"/>
      <c r="M85" s="12"/>
    </row>
    <row r="86" ht="15.75" customHeight="1">
      <c r="A86" s="12"/>
      <c r="B86" s="12"/>
      <c r="C86" s="12"/>
      <c r="D86" s="12"/>
      <c r="E86" s="12"/>
      <c r="F86" s="12"/>
      <c r="G86" s="12"/>
      <c r="H86" s="12"/>
      <c r="I86" s="12"/>
      <c r="J86" s="12"/>
      <c r="K86" s="12"/>
      <c r="L86" s="12"/>
      <c r="M86" s="12"/>
    </row>
    <row r="87" ht="15.75" customHeight="1">
      <c r="A87" s="12"/>
      <c r="B87" s="12"/>
      <c r="C87" s="12"/>
      <c r="D87" s="12"/>
      <c r="E87" s="12"/>
      <c r="F87" s="12"/>
      <c r="G87" s="12"/>
      <c r="H87" s="12"/>
      <c r="I87" s="12"/>
      <c r="J87" s="12"/>
      <c r="K87" s="12"/>
      <c r="L87" s="12"/>
      <c r="M87" s="12"/>
    </row>
    <row r="88" ht="15.75" customHeight="1">
      <c r="A88" s="12"/>
      <c r="B88" s="12"/>
      <c r="C88" s="12"/>
      <c r="D88" s="12"/>
      <c r="E88" s="12"/>
      <c r="F88" s="12"/>
      <c r="G88" s="12"/>
      <c r="H88" s="12"/>
      <c r="I88" s="12"/>
      <c r="J88" s="12"/>
      <c r="K88" s="12"/>
      <c r="L88" s="12"/>
      <c r="M88" s="12"/>
    </row>
    <row r="89" ht="15.75" customHeight="1">
      <c r="A89" s="12"/>
      <c r="B89" s="12"/>
      <c r="C89" s="12"/>
      <c r="D89" s="12"/>
      <c r="E89" s="12"/>
      <c r="F89" s="12"/>
      <c r="G89" s="12"/>
      <c r="H89" s="12"/>
      <c r="I89" s="12"/>
      <c r="J89" s="12"/>
      <c r="K89" s="12"/>
      <c r="L89" s="12"/>
      <c r="M89" s="12"/>
    </row>
    <row r="90" ht="15.75" customHeight="1">
      <c r="A90" s="12"/>
      <c r="B90" s="12"/>
      <c r="C90" s="12"/>
      <c r="D90" s="12"/>
      <c r="E90" s="12"/>
      <c r="F90" s="12"/>
      <c r="G90" s="12"/>
      <c r="H90" s="12"/>
      <c r="I90" s="12"/>
      <c r="J90" s="12"/>
      <c r="K90" s="12"/>
      <c r="L90" s="12"/>
      <c r="M90" s="12"/>
    </row>
    <row r="91" ht="15.75" customHeight="1">
      <c r="A91" s="12"/>
      <c r="B91" s="12"/>
      <c r="C91" s="12"/>
      <c r="D91" s="12"/>
      <c r="E91" s="12"/>
      <c r="F91" s="12"/>
      <c r="G91" s="12"/>
      <c r="H91" s="12"/>
      <c r="I91" s="12"/>
      <c r="J91" s="12"/>
      <c r="K91" s="12"/>
      <c r="L91" s="12"/>
      <c r="M91" s="12"/>
    </row>
    <row r="92" ht="15.75" customHeight="1">
      <c r="A92" s="12"/>
      <c r="B92" s="12"/>
      <c r="C92" s="12"/>
      <c r="D92" s="12"/>
      <c r="E92" s="12"/>
      <c r="F92" s="12"/>
      <c r="G92" s="12"/>
      <c r="H92" s="12"/>
      <c r="I92" s="12"/>
      <c r="J92" s="12"/>
      <c r="K92" s="12"/>
      <c r="L92" s="12"/>
      <c r="M92" s="12"/>
    </row>
    <row r="93" ht="15.75" customHeight="1">
      <c r="A93" s="12"/>
      <c r="B93" s="12"/>
      <c r="C93" s="12"/>
      <c r="D93" s="12"/>
      <c r="E93" s="12"/>
      <c r="F93" s="12"/>
      <c r="G93" s="12"/>
      <c r="H93" s="12"/>
      <c r="I93" s="12"/>
      <c r="J93" s="12"/>
      <c r="K93" s="12"/>
      <c r="L93" s="12"/>
      <c r="M93" s="12"/>
    </row>
    <row r="94" ht="15.75" customHeight="1">
      <c r="A94" s="12"/>
      <c r="B94" s="12"/>
      <c r="C94" s="12"/>
      <c r="D94" s="12"/>
      <c r="E94" s="12"/>
      <c r="F94" s="12"/>
      <c r="G94" s="12"/>
      <c r="H94" s="12"/>
      <c r="I94" s="12"/>
      <c r="J94" s="12"/>
      <c r="K94" s="12"/>
      <c r="L94" s="12"/>
      <c r="M94" s="12"/>
    </row>
    <row r="95" ht="15.75" customHeight="1">
      <c r="A95" s="12"/>
      <c r="B95" s="12"/>
      <c r="C95" s="12"/>
      <c r="D95" s="12"/>
      <c r="E95" s="12"/>
      <c r="F95" s="12"/>
      <c r="G95" s="12"/>
      <c r="H95" s="12"/>
      <c r="I95" s="12"/>
      <c r="J95" s="12"/>
      <c r="K95" s="12"/>
      <c r="L95" s="12"/>
      <c r="M95" s="12"/>
    </row>
    <row r="96" ht="15.75" customHeight="1">
      <c r="A96" s="12"/>
      <c r="B96" s="12"/>
      <c r="C96" s="12"/>
      <c r="D96" s="12"/>
      <c r="E96" s="12"/>
      <c r="F96" s="12"/>
      <c r="G96" s="12"/>
      <c r="H96" s="12"/>
      <c r="I96" s="12"/>
      <c r="J96" s="12"/>
      <c r="K96" s="12"/>
      <c r="L96" s="12"/>
      <c r="M96" s="12"/>
    </row>
    <row r="97" ht="15.75" customHeight="1">
      <c r="A97" s="12"/>
      <c r="B97" s="12"/>
      <c r="C97" s="12"/>
      <c r="D97" s="12"/>
      <c r="E97" s="12"/>
      <c r="F97" s="12"/>
      <c r="G97" s="12"/>
      <c r="H97" s="12"/>
      <c r="I97" s="12"/>
      <c r="J97" s="12"/>
      <c r="K97" s="12"/>
      <c r="L97" s="12"/>
      <c r="M97" s="12"/>
    </row>
    <row r="98" ht="15.75" customHeight="1">
      <c r="A98" s="12"/>
      <c r="B98" s="12"/>
      <c r="C98" s="12"/>
      <c r="D98" s="12"/>
      <c r="E98" s="12"/>
      <c r="F98" s="12"/>
      <c r="G98" s="12"/>
      <c r="H98" s="12"/>
      <c r="I98" s="12"/>
      <c r="J98" s="12"/>
      <c r="K98" s="12"/>
      <c r="L98" s="12"/>
      <c r="M98" s="12"/>
    </row>
    <row r="99" ht="15.75" customHeight="1">
      <c r="A99" s="12"/>
      <c r="B99" s="12"/>
      <c r="C99" s="12"/>
      <c r="D99" s="12"/>
      <c r="E99" s="12"/>
      <c r="F99" s="12"/>
      <c r="G99" s="12"/>
      <c r="H99" s="12"/>
      <c r="I99" s="12"/>
      <c r="J99" s="12"/>
      <c r="K99" s="12"/>
      <c r="L99" s="12"/>
      <c r="M99" s="12"/>
    </row>
    <row r="100" ht="15.75" customHeight="1">
      <c r="A100" s="12"/>
      <c r="B100" s="12"/>
      <c r="C100" s="12"/>
      <c r="D100" s="12"/>
      <c r="E100" s="12"/>
      <c r="F100" s="12"/>
      <c r="G100" s="12"/>
      <c r="H100" s="12"/>
      <c r="I100" s="12"/>
      <c r="J100" s="12"/>
      <c r="K100" s="12"/>
      <c r="L100" s="12"/>
      <c r="M100" s="12"/>
    </row>
    <row r="101" ht="15.75" customHeight="1">
      <c r="A101" s="12"/>
      <c r="B101" s="12"/>
      <c r="C101" s="12"/>
      <c r="D101" s="12"/>
      <c r="E101" s="12"/>
      <c r="F101" s="12"/>
      <c r="G101" s="12"/>
      <c r="H101" s="12"/>
      <c r="I101" s="12"/>
      <c r="J101" s="12"/>
      <c r="K101" s="12"/>
      <c r="L101" s="12"/>
      <c r="M101" s="12"/>
    </row>
    <row r="102" ht="15.75" customHeight="1">
      <c r="A102" s="12"/>
      <c r="B102" s="12"/>
      <c r="C102" s="12"/>
      <c r="D102" s="12"/>
      <c r="E102" s="12"/>
      <c r="F102" s="12"/>
      <c r="G102" s="12"/>
      <c r="H102" s="12"/>
      <c r="I102" s="12"/>
      <c r="J102" s="12"/>
      <c r="K102" s="12"/>
      <c r="L102" s="12"/>
      <c r="M102" s="12"/>
    </row>
    <row r="103" ht="15.75" customHeight="1">
      <c r="A103" s="12"/>
      <c r="B103" s="12"/>
      <c r="C103" s="12"/>
      <c r="D103" s="12"/>
      <c r="E103" s="12"/>
      <c r="F103" s="12"/>
      <c r="G103" s="12"/>
      <c r="H103" s="12"/>
      <c r="I103" s="12"/>
      <c r="J103" s="12"/>
      <c r="K103" s="12"/>
      <c r="L103" s="12"/>
      <c r="M103" s="12"/>
    </row>
    <row r="104" ht="15.75" customHeight="1">
      <c r="A104" s="12"/>
      <c r="B104" s="12"/>
      <c r="C104" s="12"/>
      <c r="D104" s="12"/>
      <c r="E104" s="12"/>
      <c r="F104" s="12"/>
      <c r="G104" s="12"/>
      <c r="H104" s="12"/>
      <c r="I104" s="12"/>
      <c r="J104" s="12"/>
      <c r="K104" s="12"/>
      <c r="L104" s="12"/>
      <c r="M104" s="12"/>
    </row>
    <row r="105" ht="15.75" customHeight="1">
      <c r="A105" s="12"/>
      <c r="B105" s="12"/>
      <c r="C105" s="12"/>
      <c r="D105" s="12"/>
      <c r="E105" s="12"/>
      <c r="F105" s="12"/>
      <c r="G105" s="12"/>
      <c r="H105" s="12"/>
      <c r="I105" s="12"/>
      <c r="J105" s="12"/>
      <c r="K105" s="12"/>
      <c r="L105" s="12"/>
      <c r="M105" s="12"/>
    </row>
    <row r="106" ht="15.75" customHeight="1">
      <c r="A106" s="12"/>
      <c r="B106" s="12"/>
      <c r="C106" s="12"/>
      <c r="D106" s="12"/>
      <c r="E106" s="12"/>
      <c r="F106" s="12"/>
      <c r="G106" s="12"/>
      <c r="H106" s="12"/>
      <c r="I106" s="12"/>
      <c r="J106" s="12"/>
      <c r="K106" s="12"/>
      <c r="L106" s="12"/>
      <c r="M106" s="12"/>
    </row>
    <row r="107" ht="15.75" customHeight="1">
      <c r="A107" s="12"/>
      <c r="B107" s="12"/>
      <c r="C107" s="12"/>
      <c r="D107" s="12"/>
      <c r="E107" s="12"/>
      <c r="F107" s="12"/>
      <c r="G107" s="12"/>
      <c r="H107" s="12"/>
      <c r="I107" s="12"/>
      <c r="J107" s="12"/>
      <c r="K107" s="12"/>
      <c r="L107" s="12"/>
      <c r="M107" s="12"/>
    </row>
    <row r="108" ht="15.75" customHeight="1">
      <c r="A108" s="12"/>
      <c r="B108" s="12"/>
      <c r="C108" s="12"/>
      <c r="D108" s="12"/>
      <c r="E108" s="12"/>
      <c r="F108" s="12"/>
      <c r="G108" s="12"/>
      <c r="H108" s="12"/>
      <c r="I108" s="12"/>
      <c r="J108" s="12"/>
      <c r="K108" s="12"/>
      <c r="L108" s="12"/>
      <c r="M108" s="12"/>
    </row>
    <row r="109" ht="15.75" customHeight="1">
      <c r="A109" s="12"/>
      <c r="B109" s="12"/>
      <c r="C109" s="12"/>
      <c r="D109" s="12"/>
      <c r="E109" s="12"/>
      <c r="F109" s="12"/>
      <c r="G109" s="12"/>
      <c r="H109" s="12"/>
      <c r="I109" s="12"/>
      <c r="J109" s="12"/>
      <c r="K109" s="12"/>
      <c r="L109" s="12"/>
      <c r="M109" s="12"/>
    </row>
    <row r="110" ht="15.75" customHeight="1">
      <c r="A110" s="12"/>
      <c r="B110" s="12"/>
      <c r="C110" s="12"/>
      <c r="D110" s="12"/>
      <c r="E110" s="12"/>
      <c r="F110" s="12"/>
      <c r="G110" s="12"/>
      <c r="H110" s="12"/>
      <c r="I110" s="12"/>
      <c r="J110" s="12"/>
      <c r="K110" s="12"/>
      <c r="L110" s="12"/>
      <c r="M110" s="12"/>
    </row>
    <row r="111" ht="15.75" customHeight="1">
      <c r="A111" s="12"/>
      <c r="B111" s="12"/>
      <c r="C111" s="12"/>
      <c r="D111" s="12"/>
      <c r="E111" s="12"/>
      <c r="F111" s="12"/>
      <c r="G111" s="12"/>
      <c r="H111" s="12"/>
      <c r="I111" s="12"/>
      <c r="J111" s="12"/>
      <c r="K111" s="12"/>
      <c r="L111" s="12"/>
      <c r="M111" s="12"/>
    </row>
    <row r="112" ht="15.75" customHeight="1">
      <c r="A112" s="12"/>
      <c r="B112" s="12"/>
      <c r="C112" s="12"/>
      <c r="D112" s="12"/>
      <c r="E112" s="12"/>
      <c r="F112" s="12"/>
      <c r="G112" s="12"/>
      <c r="H112" s="12"/>
      <c r="I112" s="12"/>
      <c r="J112" s="12"/>
      <c r="K112" s="12"/>
      <c r="L112" s="12"/>
      <c r="M112" s="12"/>
    </row>
    <row r="113" ht="15.75" customHeight="1">
      <c r="A113" s="12"/>
      <c r="B113" s="12"/>
      <c r="C113" s="12"/>
      <c r="D113" s="12"/>
      <c r="E113" s="12"/>
      <c r="F113" s="12"/>
      <c r="G113" s="12"/>
      <c r="H113" s="12"/>
      <c r="I113" s="12"/>
      <c r="J113" s="12"/>
      <c r="K113" s="12"/>
      <c r="L113" s="12"/>
      <c r="M113" s="12"/>
    </row>
    <row r="114" ht="15.75" customHeight="1">
      <c r="A114" s="12"/>
      <c r="B114" s="12"/>
      <c r="C114" s="12"/>
      <c r="D114" s="12"/>
      <c r="E114" s="12"/>
      <c r="F114" s="12"/>
      <c r="G114" s="12"/>
      <c r="H114" s="12"/>
      <c r="I114" s="12"/>
      <c r="J114" s="12"/>
      <c r="K114" s="12"/>
      <c r="L114" s="12"/>
      <c r="M114" s="12"/>
    </row>
    <row r="115" ht="15.75" customHeight="1">
      <c r="A115" s="12"/>
      <c r="B115" s="12"/>
      <c r="C115" s="12"/>
      <c r="D115" s="12"/>
      <c r="E115" s="12"/>
      <c r="F115" s="12"/>
      <c r="G115" s="12"/>
      <c r="H115" s="12"/>
      <c r="I115" s="12"/>
      <c r="J115" s="12"/>
      <c r="K115" s="12"/>
      <c r="L115" s="12"/>
      <c r="M115" s="12"/>
    </row>
    <row r="116" ht="15.75" customHeight="1">
      <c r="A116" s="12"/>
      <c r="B116" s="12"/>
      <c r="C116" s="12"/>
      <c r="D116" s="12"/>
      <c r="E116" s="12"/>
      <c r="F116" s="12"/>
      <c r="G116" s="12"/>
      <c r="H116" s="12"/>
      <c r="I116" s="12"/>
      <c r="J116" s="12"/>
      <c r="K116" s="12"/>
      <c r="L116" s="12"/>
      <c r="M116" s="12"/>
    </row>
    <row r="117" ht="15.75" customHeight="1">
      <c r="A117" s="12"/>
      <c r="B117" s="12"/>
      <c r="C117" s="12"/>
      <c r="D117" s="12"/>
      <c r="E117" s="12"/>
      <c r="F117" s="12"/>
      <c r="G117" s="12"/>
      <c r="H117" s="12"/>
      <c r="I117" s="12"/>
      <c r="J117" s="12"/>
      <c r="K117" s="12"/>
      <c r="L117" s="12"/>
      <c r="M117" s="12"/>
    </row>
    <row r="118" ht="15.75" customHeight="1">
      <c r="A118" s="12"/>
      <c r="B118" s="12"/>
      <c r="C118" s="12"/>
      <c r="D118" s="12"/>
      <c r="E118" s="12"/>
      <c r="F118" s="12"/>
      <c r="G118" s="12"/>
      <c r="H118" s="12"/>
      <c r="I118" s="12"/>
      <c r="J118" s="12"/>
      <c r="K118" s="12"/>
      <c r="L118" s="12"/>
      <c r="M118" s="12"/>
    </row>
    <row r="119" ht="15.75" customHeight="1">
      <c r="A119" s="12"/>
      <c r="B119" s="12"/>
      <c r="C119" s="12"/>
      <c r="D119" s="12"/>
      <c r="E119" s="12"/>
      <c r="F119" s="12"/>
      <c r="G119" s="12"/>
      <c r="H119" s="12"/>
      <c r="I119" s="12"/>
      <c r="J119" s="12"/>
      <c r="K119" s="12"/>
      <c r="L119" s="12"/>
      <c r="M119" s="12"/>
    </row>
    <row r="120" ht="15.75" customHeight="1">
      <c r="A120" s="12"/>
      <c r="B120" s="12"/>
      <c r="C120" s="12"/>
      <c r="D120" s="12"/>
      <c r="E120" s="12"/>
      <c r="F120" s="12"/>
      <c r="G120" s="12"/>
      <c r="H120" s="12"/>
      <c r="I120" s="12"/>
      <c r="J120" s="12"/>
      <c r="K120" s="12"/>
      <c r="L120" s="12"/>
      <c r="M120" s="12"/>
    </row>
    <row r="121" ht="15.75" customHeight="1">
      <c r="A121" s="12"/>
      <c r="B121" s="12"/>
      <c r="C121" s="12"/>
      <c r="D121" s="12"/>
      <c r="E121" s="12"/>
      <c r="F121" s="12"/>
      <c r="G121" s="12"/>
      <c r="H121" s="12"/>
      <c r="I121" s="12"/>
      <c r="J121" s="12"/>
      <c r="K121" s="12"/>
      <c r="L121" s="12"/>
      <c r="M121" s="12"/>
    </row>
    <row r="122" ht="15.75" customHeight="1">
      <c r="A122" s="12"/>
      <c r="B122" s="12"/>
      <c r="C122" s="12"/>
      <c r="D122" s="12"/>
      <c r="E122" s="12"/>
      <c r="F122" s="12"/>
      <c r="G122" s="12"/>
      <c r="H122" s="12"/>
      <c r="I122" s="12"/>
      <c r="J122" s="12"/>
      <c r="K122" s="12"/>
      <c r="L122" s="12"/>
      <c r="M122" s="12"/>
    </row>
    <row r="123" ht="15.75" customHeight="1">
      <c r="A123" s="12"/>
      <c r="B123" s="12"/>
      <c r="C123" s="12"/>
      <c r="D123" s="12"/>
      <c r="E123" s="12"/>
      <c r="F123" s="12"/>
      <c r="G123" s="12"/>
      <c r="H123" s="12"/>
      <c r="I123" s="12"/>
      <c r="J123" s="12"/>
      <c r="K123" s="12"/>
      <c r="L123" s="12"/>
      <c r="M123" s="12"/>
    </row>
    <row r="124" ht="15.75" customHeight="1">
      <c r="A124" s="12"/>
      <c r="B124" s="12"/>
      <c r="C124" s="12"/>
      <c r="D124" s="12"/>
      <c r="E124" s="12"/>
      <c r="F124" s="12"/>
      <c r="G124" s="12"/>
      <c r="H124" s="12"/>
      <c r="I124" s="12"/>
      <c r="J124" s="12"/>
      <c r="K124" s="12"/>
      <c r="L124" s="12"/>
      <c r="M124" s="12"/>
    </row>
    <row r="125" ht="15.75" customHeight="1">
      <c r="A125" s="12"/>
      <c r="B125" s="12"/>
      <c r="C125" s="12"/>
      <c r="D125" s="12"/>
      <c r="E125" s="12"/>
      <c r="F125" s="12"/>
      <c r="G125" s="12"/>
      <c r="H125" s="12"/>
      <c r="I125" s="12"/>
      <c r="J125" s="12"/>
      <c r="K125" s="12"/>
      <c r="L125" s="12"/>
      <c r="M125" s="12"/>
    </row>
    <row r="126" ht="15.75" customHeight="1">
      <c r="A126" s="12"/>
      <c r="B126" s="12"/>
      <c r="C126" s="12"/>
      <c r="D126" s="12"/>
      <c r="E126" s="12"/>
      <c r="F126" s="12"/>
      <c r="G126" s="12"/>
      <c r="H126" s="12"/>
      <c r="I126" s="12"/>
      <c r="J126" s="12"/>
      <c r="K126" s="12"/>
      <c r="L126" s="12"/>
      <c r="M126" s="12"/>
    </row>
    <row r="127" ht="15.75" customHeight="1">
      <c r="A127" s="12"/>
      <c r="B127" s="12"/>
      <c r="C127" s="12"/>
      <c r="D127" s="12"/>
      <c r="E127" s="12"/>
      <c r="F127" s="12"/>
      <c r="G127" s="12"/>
      <c r="H127" s="12"/>
      <c r="I127" s="12"/>
      <c r="J127" s="12"/>
      <c r="K127" s="12"/>
      <c r="L127" s="12"/>
      <c r="M127" s="12"/>
    </row>
    <row r="128" ht="15.75" customHeight="1">
      <c r="A128" s="12"/>
      <c r="B128" s="12"/>
      <c r="C128" s="12"/>
      <c r="D128" s="12"/>
      <c r="E128" s="12"/>
      <c r="F128" s="12"/>
      <c r="G128" s="12"/>
      <c r="H128" s="12"/>
      <c r="I128" s="12"/>
      <c r="J128" s="12"/>
      <c r="K128" s="12"/>
      <c r="L128" s="12"/>
      <c r="M128" s="12"/>
    </row>
    <row r="129" ht="15.75" customHeight="1">
      <c r="A129" s="12"/>
      <c r="B129" s="12"/>
      <c r="C129" s="12"/>
      <c r="D129" s="12"/>
      <c r="E129" s="12"/>
      <c r="F129" s="12"/>
      <c r="G129" s="12"/>
      <c r="H129" s="12"/>
      <c r="I129" s="12"/>
      <c r="J129" s="12"/>
      <c r="K129" s="12"/>
      <c r="L129" s="12"/>
      <c r="M129" s="12"/>
    </row>
    <row r="130" ht="15.75" customHeight="1">
      <c r="A130" s="12"/>
      <c r="B130" s="12"/>
      <c r="C130" s="12"/>
      <c r="D130" s="12"/>
      <c r="E130" s="12"/>
      <c r="F130" s="12"/>
      <c r="G130" s="12"/>
      <c r="H130" s="12"/>
      <c r="I130" s="12"/>
      <c r="J130" s="12"/>
      <c r="K130" s="12"/>
      <c r="L130" s="12"/>
      <c r="M130" s="12"/>
    </row>
    <row r="131" ht="15.75" customHeight="1">
      <c r="A131" s="12"/>
      <c r="B131" s="12"/>
      <c r="C131" s="12"/>
      <c r="D131" s="12"/>
      <c r="E131" s="12"/>
      <c r="F131" s="12"/>
      <c r="G131" s="12"/>
      <c r="H131" s="12"/>
      <c r="I131" s="12"/>
      <c r="J131" s="12"/>
      <c r="K131" s="12"/>
      <c r="L131" s="12"/>
      <c r="M131" s="12"/>
    </row>
    <row r="132" ht="15.75" customHeight="1">
      <c r="A132" s="12"/>
      <c r="B132" s="12"/>
      <c r="C132" s="12"/>
      <c r="D132" s="12"/>
      <c r="E132" s="12"/>
      <c r="F132" s="12"/>
      <c r="G132" s="12"/>
      <c r="H132" s="12"/>
      <c r="I132" s="12"/>
      <c r="J132" s="12"/>
      <c r="K132" s="12"/>
      <c r="L132" s="12"/>
      <c r="M132" s="12"/>
    </row>
    <row r="133" ht="15.75" customHeight="1">
      <c r="A133" s="12"/>
      <c r="B133" s="12"/>
      <c r="C133" s="12"/>
      <c r="D133" s="12"/>
      <c r="E133" s="12"/>
      <c r="F133" s="12"/>
      <c r="G133" s="12"/>
      <c r="H133" s="12"/>
      <c r="I133" s="12"/>
      <c r="J133" s="12"/>
      <c r="K133" s="12"/>
      <c r="L133" s="12"/>
      <c r="M133" s="12"/>
    </row>
    <row r="134" ht="15.75" customHeight="1">
      <c r="A134" s="12"/>
      <c r="B134" s="12"/>
      <c r="C134" s="12"/>
      <c r="D134" s="12"/>
      <c r="E134" s="12"/>
      <c r="F134" s="12"/>
      <c r="G134" s="12"/>
      <c r="H134" s="12"/>
      <c r="I134" s="12"/>
      <c r="J134" s="12"/>
      <c r="K134" s="12"/>
      <c r="L134" s="12"/>
      <c r="M134" s="12"/>
    </row>
    <row r="135" ht="15.75" customHeight="1">
      <c r="A135" s="12"/>
      <c r="B135" s="12"/>
      <c r="C135" s="12"/>
      <c r="D135" s="12"/>
      <c r="E135" s="12"/>
      <c r="F135" s="12"/>
      <c r="G135" s="12"/>
      <c r="H135" s="12"/>
      <c r="I135" s="12"/>
      <c r="J135" s="12"/>
      <c r="K135" s="12"/>
      <c r="L135" s="12"/>
      <c r="M135" s="12"/>
    </row>
    <row r="136" ht="15.75" customHeight="1">
      <c r="A136" s="12"/>
      <c r="B136" s="12"/>
      <c r="C136" s="12"/>
      <c r="D136" s="12"/>
      <c r="E136" s="12"/>
      <c r="F136" s="12"/>
      <c r="G136" s="12"/>
      <c r="H136" s="12"/>
      <c r="I136" s="12"/>
      <c r="J136" s="12"/>
      <c r="K136" s="12"/>
      <c r="L136" s="12"/>
      <c r="M136" s="12"/>
    </row>
    <row r="137" ht="15.75" customHeight="1">
      <c r="A137" s="12"/>
      <c r="B137" s="12"/>
      <c r="C137" s="12"/>
      <c r="D137" s="12"/>
      <c r="E137" s="12"/>
      <c r="F137" s="12"/>
      <c r="G137" s="12"/>
      <c r="H137" s="12"/>
      <c r="I137" s="12"/>
      <c r="J137" s="12"/>
      <c r="K137" s="12"/>
      <c r="L137" s="12"/>
      <c r="M137" s="12"/>
    </row>
    <row r="138" ht="15.75" customHeight="1">
      <c r="A138" s="12"/>
      <c r="B138" s="12"/>
      <c r="C138" s="12"/>
      <c r="D138" s="12"/>
      <c r="E138" s="12"/>
      <c r="F138" s="12"/>
      <c r="G138" s="12"/>
      <c r="H138" s="12"/>
      <c r="I138" s="12"/>
      <c r="J138" s="12"/>
      <c r="K138" s="12"/>
      <c r="L138" s="12"/>
      <c r="M138" s="12"/>
    </row>
    <row r="139" ht="15.75" customHeight="1">
      <c r="A139" s="12"/>
      <c r="B139" s="12"/>
      <c r="C139" s="12"/>
      <c r="D139" s="12"/>
      <c r="E139" s="12"/>
      <c r="F139" s="12"/>
      <c r="G139" s="12"/>
      <c r="H139" s="12"/>
      <c r="I139" s="12"/>
      <c r="J139" s="12"/>
      <c r="K139" s="12"/>
      <c r="L139" s="12"/>
      <c r="M139" s="12"/>
    </row>
    <row r="140" ht="15.75" customHeight="1">
      <c r="A140" s="12"/>
      <c r="B140" s="12"/>
      <c r="C140" s="12"/>
      <c r="D140" s="12"/>
      <c r="E140" s="12"/>
      <c r="F140" s="12"/>
      <c r="G140" s="12"/>
      <c r="H140" s="12"/>
      <c r="I140" s="12"/>
      <c r="J140" s="12"/>
      <c r="K140" s="12"/>
      <c r="L140" s="12"/>
      <c r="M140" s="12"/>
    </row>
    <row r="141" ht="15.75" customHeight="1">
      <c r="A141" s="12"/>
      <c r="B141" s="12"/>
      <c r="C141" s="12"/>
      <c r="D141" s="12"/>
      <c r="E141" s="12"/>
      <c r="F141" s="12"/>
      <c r="G141" s="12"/>
      <c r="H141" s="12"/>
      <c r="I141" s="12"/>
      <c r="J141" s="12"/>
      <c r="K141" s="12"/>
      <c r="L141" s="12"/>
      <c r="M141" s="12"/>
    </row>
    <row r="142" ht="15.75" customHeight="1">
      <c r="A142" s="12"/>
      <c r="B142" s="12"/>
      <c r="C142" s="12"/>
      <c r="D142" s="12"/>
      <c r="E142" s="12"/>
      <c r="F142" s="12"/>
      <c r="G142" s="12"/>
      <c r="H142" s="12"/>
      <c r="I142" s="12"/>
      <c r="J142" s="12"/>
      <c r="K142" s="12"/>
      <c r="L142" s="12"/>
      <c r="M142" s="12"/>
    </row>
    <row r="143" ht="15.75" customHeight="1">
      <c r="A143" s="12"/>
      <c r="B143" s="12"/>
      <c r="C143" s="12"/>
      <c r="D143" s="12"/>
      <c r="E143" s="12"/>
      <c r="F143" s="12"/>
      <c r="G143" s="12"/>
      <c r="H143" s="12"/>
      <c r="I143" s="12"/>
      <c r="J143" s="12"/>
      <c r="K143" s="12"/>
      <c r="L143" s="12"/>
      <c r="M143" s="12"/>
    </row>
    <row r="144" ht="15.75" customHeight="1">
      <c r="A144" s="12"/>
      <c r="B144" s="12"/>
      <c r="C144" s="12"/>
      <c r="D144" s="12"/>
      <c r="E144" s="12"/>
      <c r="F144" s="12"/>
      <c r="G144" s="12"/>
      <c r="H144" s="12"/>
      <c r="I144" s="12"/>
      <c r="J144" s="12"/>
      <c r="K144" s="12"/>
      <c r="L144" s="12"/>
      <c r="M144" s="12"/>
    </row>
    <row r="145" ht="15.75" customHeight="1">
      <c r="A145" s="12"/>
      <c r="B145" s="12"/>
      <c r="C145" s="12"/>
      <c r="D145" s="12"/>
      <c r="E145" s="12"/>
      <c r="F145" s="12"/>
      <c r="G145" s="12"/>
      <c r="H145" s="12"/>
      <c r="I145" s="12"/>
      <c r="J145" s="12"/>
      <c r="K145" s="12"/>
      <c r="L145" s="12"/>
      <c r="M145" s="12"/>
    </row>
    <row r="146" ht="15.75" customHeight="1">
      <c r="A146" s="12"/>
      <c r="B146" s="12"/>
      <c r="C146" s="12"/>
      <c r="D146" s="12"/>
      <c r="E146" s="12"/>
      <c r="F146" s="12"/>
      <c r="G146" s="12"/>
      <c r="H146" s="12"/>
      <c r="I146" s="12"/>
      <c r="J146" s="12"/>
      <c r="K146" s="12"/>
      <c r="L146" s="12"/>
      <c r="M146" s="12"/>
    </row>
    <row r="147" ht="15.75" customHeight="1">
      <c r="A147" s="12"/>
      <c r="B147" s="12"/>
      <c r="C147" s="12"/>
      <c r="D147" s="12"/>
      <c r="E147" s="12"/>
      <c r="F147" s="12"/>
      <c r="G147" s="12"/>
      <c r="H147" s="12"/>
      <c r="I147" s="12"/>
      <c r="J147" s="12"/>
      <c r="K147" s="12"/>
      <c r="L147" s="12"/>
      <c r="M147" s="12"/>
    </row>
    <row r="148" ht="15.75" customHeight="1">
      <c r="A148" s="12"/>
      <c r="B148" s="12"/>
      <c r="C148" s="12"/>
      <c r="D148" s="12"/>
      <c r="E148" s="12"/>
      <c r="F148" s="12"/>
      <c r="G148" s="12"/>
      <c r="H148" s="12"/>
      <c r="I148" s="12"/>
      <c r="J148" s="12"/>
      <c r="K148" s="12"/>
      <c r="L148" s="12"/>
      <c r="M148" s="12"/>
    </row>
    <row r="149" ht="15.75" customHeight="1">
      <c r="A149" s="12"/>
      <c r="B149" s="12"/>
      <c r="C149" s="12"/>
      <c r="D149" s="12"/>
      <c r="E149" s="12"/>
      <c r="F149" s="12"/>
      <c r="G149" s="12"/>
      <c r="H149" s="12"/>
      <c r="I149" s="12"/>
      <c r="J149" s="12"/>
      <c r="K149" s="12"/>
      <c r="L149" s="12"/>
      <c r="M149" s="12"/>
    </row>
    <row r="150" ht="15.75" customHeight="1">
      <c r="A150" s="12"/>
      <c r="B150" s="12"/>
      <c r="C150" s="12"/>
      <c r="D150" s="12"/>
      <c r="E150" s="12"/>
      <c r="F150" s="12"/>
      <c r="G150" s="12"/>
      <c r="H150" s="12"/>
      <c r="I150" s="12"/>
      <c r="J150" s="12"/>
      <c r="K150" s="12"/>
      <c r="L150" s="12"/>
      <c r="M150" s="12"/>
    </row>
    <row r="151" ht="15.75" customHeight="1">
      <c r="A151" s="12"/>
      <c r="B151" s="12"/>
      <c r="C151" s="12"/>
      <c r="D151" s="12"/>
      <c r="E151" s="12"/>
      <c r="F151" s="12"/>
      <c r="G151" s="12"/>
      <c r="H151" s="12"/>
      <c r="I151" s="12"/>
      <c r="J151" s="12"/>
      <c r="K151" s="12"/>
      <c r="L151" s="12"/>
      <c r="M151" s="12"/>
    </row>
    <row r="152" ht="15.75" customHeight="1">
      <c r="A152" s="12"/>
      <c r="B152" s="12"/>
      <c r="C152" s="12"/>
      <c r="D152" s="12"/>
      <c r="E152" s="12"/>
      <c r="F152" s="12"/>
      <c r="G152" s="12"/>
      <c r="H152" s="12"/>
      <c r="I152" s="12"/>
      <c r="J152" s="12"/>
      <c r="K152" s="12"/>
      <c r="L152" s="12"/>
      <c r="M152" s="12"/>
    </row>
    <row r="153" ht="15.75" customHeight="1">
      <c r="A153" s="12"/>
      <c r="B153" s="12"/>
      <c r="C153" s="12"/>
      <c r="D153" s="12"/>
      <c r="E153" s="12"/>
      <c r="F153" s="12"/>
      <c r="G153" s="12"/>
      <c r="H153" s="12"/>
      <c r="I153" s="12"/>
      <c r="J153" s="12"/>
      <c r="K153" s="12"/>
      <c r="L153" s="12"/>
      <c r="M153" s="12"/>
    </row>
    <row r="154" ht="15.75" customHeight="1">
      <c r="A154" s="12"/>
      <c r="B154" s="12"/>
      <c r="C154" s="12"/>
      <c r="D154" s="12"/>
      <c r="E154" s="12"/>
      <c r="F154" s="12"/>
      <c r="G154" s="12"/>
      <c r="H154" s="12"/>
      <c r="I154" s="12"/>
      <c r="J154" s="12"/>
      <c r="K154" s="12"/>
      <c r="L154" s="12"/>
      <c r="M154" s="12"/>
    </row>
    <row r="155" ht="15.75" customHeight="1">
      <c r="A155" s="12"/>
      <c r="B155" s="12"/>
      <c r="C155" s="12"/>
      <c r="D155" s="12"/>
      <c r="E155" s="12"/>
      <c r="F155" s="12"/>
      <c r="G155" s="12"/>
      <c r="H155" s="12"/>
      <c r="I155" s="12"/>
      <c r="J155" s="12"/>
      <c r="K155" s="12"/>
      <c r="L155" s="12"/>
      <c r="M155" s="12"/>
    </row>
    <row r="156" ht="15.75" customHeight="1">
      <c r="A156" s="12"/>
      <c r="B156" s="12"/>
      <c r="C156" s="12"/>
      <c r="D156" s="12"/>
      <c r="E156" s="12"/>
      <c r="F156" s="12"/>
      <c r="G156" s="12"/>
      <c r="H156" s="12"/>
      <c r="I156" s="12"/>
      <c r="J156" s="12"/>
      <c r="K156" s="12"/>
      <c r="L156" s="12"/>
      <c r="M156" s="12"/>
    </row>
    <row r="157" ht="15.75" customHeight="1">
      <c r="A157" s="12"/>
      <c r="B157" s="12"/>
      <c r="C157" s="12"/>
      <c r="D157" s="12"/>
      <c r="E157" s="12"/>
      <c r="F157" s="12"/>
      <c r="G157" s="12"/>
      <c r="H157" s="12"/>
      <c r="I157" s="12"/>
      <c r="J157" s="12"/>
      <c r="K157" s="12"/>
      <c r="L157" s="12"/>
      <c r="M157" s="12"/>
    </row>
    <row r="158" ht="15.75" customHeight="1">
      <c r="A158" s="12"/>
      <c r="B158" s="12"/>
      <c r="C158" s="12"/>
      <c r="D158" s="12"/>
      <c r="E158" s="12"/>
      <c r="F158" s="12"/>
      <c r="G158" s="12"/>
      <c r="H158" s="12"/>
      <c r="I158" s="12"/>
      <c r="J158" s="12"/>
      <c r="K158" s="12"/>
      <c r="L158" s="12"/>
      <c r="M158" s="12"/>
    </row>
    <row r="159" ht="15.75" customHeight="1">
      <c r="A159" s="12"/>
      <c r="B159" s="12"/>
      <c r="C159" s="12"/>
      <c r="D159" s="12"/>
      <c r="E159" s="12"/>
      <c r="F159" s="12"/>
      <c r="G159" s="12"/>
      <c r="H159" s="12"/>
      <c r="I159" s="12"/>
      <c r="J159" s="12"/>
      <c r="K159" s="12"/>
      <c r="L159" s="12"/>
      <c r="M159" s="12"/>
    </row>
    <row r="160" ht="15.75" customHeight="1">
      <c r="A160" s="12"/>
      <c r="B160" s="12"/>
      <c r="C160" s="12"/>
      <c r="D160" s="12"/>
      <c r="E160" s="12"/>
      <c r="F160" s="12"/>
      <c r="G160" s="12"/>
      <c r="H160" s="12"/>
      <c r="I160" s="12"/>
      <c r="J160" s="12"/>
      <c r="K160" s="12"/>
      <c r="L160" s="12"/>
      <c r="M160" s="12"/>
    </row>
    <row r="161" ht="15.75" customHeight="1">
      <c r="A161" s="12"/>
      <c r="B161" s="12"/>
      <c r="C161" s="12"/>
      <c r="D161" s="12"/>
      <c r="E161" s="12"/>
      <c r="F161" s="12"/>
      <c r="G161" s="12"/>
      <c r="H161" s="12"/>
      <c r="I161" s="12"/>
      <c r="J161" s="12"/>
      <c r="K161" s="12"/>
      <c r="L161" s="12"/>
      <c r="M161" s="12"/>
    </row>
    <row r="162" ht="15.75" customHeight="1">
      <c r="A162" s="12"/>
      <c r="B162" s="12"/>
      <c r="C162" s="12"/>
      <c r="D162" s="12"/>
      <c r="E162" s="12"/>
      <c r="F162" s="12"/>
      <c r="G162" s="12"/>
      <c r="H162" s="12"/>
      <c r="I162" s="12"/>
      <c r="J162" s="12"/>
      <c r="K162" s="12"/>
      <c r="L162" s="12"/>
      <c r="M162" s="12"/>
    </row>
    <row r="163" ht="15.75" customHeight="1">
      <c r="A163" s="12"/>
      <c r="B163" s="12"/>
      <c r="C163" s="12"/>
      <c r="D163" s="12"/>
      <c r="E163" s="12"/>
      <c r="F163" s="12"/>
      <c r="G163" s="12"/>
      <c r="H163" s="12"/>
      <c r="I163" s="12"/>
      <c r="J163" s="12"/>
      <c r="K163" s="12"/>
      <c r="L163" s="12"/>
      <c r="M163" s="12"/>
    </row>
    <row r="164" ht="15.75" customHeight="1">
      <c r="A164" s="12"/>
      <c r="B164" s="12"/>
      <c r="C164" s="12"/>
      <c r="D164" s="12"/>
      <c r="E164" s="12"/>
      <c r="F164" s="12"/>
      <c r="G164" s="12"/>
      <c r="H164" s="12"/>
      <c r="I164" s="12"/>
      <c r="J164" s="12"/>
      <c r="K164" s="12"/>
      <c r="L164" s="12"/>
      <c r="M164" s="12"/>
    </row>
    <row r="165" ht="15.75" customHeight="1">
      <c r="A165" s="12"/>
      <c r="B165" s="12"/>
      <c r="C165" s="12"/>
      <c r="D165" s="12"/>
      <c r="E165" s="12"/>
      <c r="F165" s="12"/>
      <c r="G165" s="12"/>
      <c r="H165" s="12"/>
      <c r="I165" s="12"/>
      <c r="J165" s="12"/>
      <c r="K165" s="12"/>
      <c r="L165" s="12"/>
      <c r="M165" s="12"/>
    </row>
    <row r="166" ht="15.75" customHeight="1">
      <c r="A166" s="12"/>
      <c r="B166" s="12"/>
      <c r="C166" s="12"/>
      <c r="D166" s="12"/>
      <c r="E166" s="12"/>
      <c r="F166" s="12"/>
      <c r="G166" s="12"/>
      <c r="H166" s="12"/>
      <c r="I166" s="12"/>
      <c r="J166" s="12"/>
      <c r="K166" s="12"/>
      <c r="L166" s="12"/>
      <c r="M166" s="12"/>
    </row>
    <row r="167" ht="15.75" customHeight="1">
      <c r="A167" s="12"/>
      <c r="B167" s="12"/>
      <c r="C167" s="12"/>
      <c r="D167" s="12"/>
      <c r="E167" s="12"/>
      <c r="F167" s="12"/>
      <c r="G167" s="12"/>
      <c r="H167" s="12"/>
      <c r="I167" s="12"/>
      <c r="J167" s="12"/>
      <c r="K167" s="12"/>
      <c r="L167" s="12"/>
      <c r="M167" s="12"/>
    </row>
    <row r="168" ht="15.75" customHeight="1">
      <c r="A168" s="12"/>
      <c r="B168" s="12"/>
      <c r="C168" s="12"/>
      <c r="D168" s="12"/>
      <c r="E168" s="12"/>
      <c r="F168" s="12"/>
      <c r="G168" s="12"/>
      <c r="H168" s="12"/>
      <c r="I168" s="12"/>
      <c r="J168" s="12"/>
      <c r="K168" s="12"/>
      <c r="L168" s="12"/>
      <c r="M168" s="12"/>
    </row>
    <row r="169" ht="15.75" customHeight="1">
      <c r="A169" s="12"/>
      <c r="B169" s="12"/>
      <c r="C169" s="12"/>
      <c r="D169" s="12"/>
      <c r="E169" s="12"/>
      <c r="F169" s="12"/>
      <c r="G169" s="12"/>
      <c r="H169" s="12"/>
      <c r="I169" s="12"/>
      <c r="J169" s="12"/>
      <c r="K169" s="12"/>
      <c r="L169" s="12"/>
      <c r="M169" s="12"/>
    </row>
    <row r="170" ht="15.75" customHeight="1">
      <c r="A170" s="12"/>
      <c r="B170" s="12"/>
      <c r="C170" s="12"/>
      <c r="D170" s="12"/>
      <c r="E170" s="12"/>
      <c r="F170" s="12"/>
      <c r="G170" s="12"/>
      <c r="H170" s="12"/>
      <c r="I170" s="12"/>
      <c r="J170" s="12"/>
      <c r="K170" s="12"/>
      <c r="L170" s="12"/>
      <c r="M170" s="12"/>
    </row>
    <row r="171" ht="15.75" customHeight="1">
      <c r="A171" s="12"/>
      <c r="B171" s="12"/>
      <c r="C171" s="12"/>
      <c r="D171" s="12"/>
      <c r="E171" s="12"/>
      <c r="F171" s="12"/>
      <c r="G171" s="12"/>
      <c r="H171" s="12"/>
      <c r="I171" s="12"/>
      <c r="J171" s="12"/>
      <c r="K171" s="12"/>
      <c r="L171" s="12"/>
      <c r="M171" s="12"/>
    </row>
    <row r="172" ht="15.75" customHeight="1">
      <c r="A172" s="12"/>
      <c r="B172" s="12"/>
      <c r="C172" s="12"/>
      <c r="D172" s="12"/>
      <c r="E172" s="12"/>
      <c r="F172" s="12"/>
      <c r="G172" s="12"/>
      <c r="H172" s="12"/>
      <c r="I172" s="12"/>
      <c r="J172" s="12"/>
      <c r="K172" s="12"/>
      <c r="L172" s="12"/>
      <c r="M172" s="12"/>
    </row>
    <row r="173" ht="15.75" customHeight="1">
      <c r="A173" s="12"/>
      <c r="B173" s="12"/>
      <c r="C173" s="12"/>
      <c r="D173" s="12"/>
      <c r="E173" s="12"/>
      <c r="F173" s="12"/>
      <c r="G173" s="12"/>
      <c r="H173" s="12"/>
      <c r="I173" s="12"/>
      <c r="J173" s="12"/>
      <c r="K173" s="12"/>
      <c r="L173" s="12"/>
      <c r="M173" s="12"/>
    </row>
    <row r="174" ht="15.75" customHeight="1">
      <c r="A174" s="12"/>
      <c r="B174" s="12"/>
      <c r="C174" s="12"/>
      <c r="D174" s="12"/>
      <c r="E174" s="12"/>
      <c r="F174" s="12"/>
      <c r="G174" s="12"/>
      <c r="H174" s="12"/>
      <c r="I174" s="12"/>
      <c r="J174" s="12"/>
      <c r="K174" s="12"/>
      <c r="L174" s="12"/>
      <c r="M174" s="12"/>
    </row>
    <row r="175" ht="15.75" customHeight="1">
      <c r="A175" s="12"/>
      <c r="B175" s="12"/>
      <c r="C175" s="12"/>
      <c r="D175" s="12"/>
      <c r="E175" s="12"/>
      <c r="F175" s="12"/>
      <c r="G175" s="12"/>
      <c r="H175" s="12"/>
      <c r="I175" s="12"/>
      <c r="J175" s="12"/>
      <c r="K175" s="12"/>
      <c r="L175" s="12"/>
      <c r="M175" s="12"/>
    </row>
    <row r="176" ht="15.75" customHeight="1">
      <c r="A176" s="12"/>
      <c r="B176" s="12"/>
      <c r="C176" s="12"/>
      <c r="D176" s="12"/>
      <c r="E176" s="12"/>
      <c r="F176" s="12"/>
      <c r="G176" s="12"/>
      <c r="H176" s="12"/>
      <c r="I176" s="12"/>
      <c r="J176" s="12"/>
      <c r="K176" s="12"/>
      <c r="L176" s="12"/>
      <c r="M176" s="12"/>
    </row>
    <row r="177" ht="15.75" customHeight="1">
      <c r="A177" s="12"/>
      <c r="B177" s="12"/>
      <c r="C177" s="12"/>
      <c r="D177" s="12"/>
      <c r="E177" s="12"/>
      <c r="F177" s="12"/>
      <c r="G177" s="12"/>
      <c r="H177" s="12"/>
      <c r="I177" s="12"/>
      <c r="J177" s="12"/>
      <c r="K177" s="12"/>
      <c r="L177" s="12"/>
      <c r="M177" s="12"/>
    </row>
    <row r="178" ht="15.75" customHeight="1">
      <c r="A178" s="12"/>
      <c r="B178" s="12"/>
      <c r="C178" s="12"/>
      <c r="D178" s="12"/>
      <c r="E178" s="12"/>
      <c r="F178" s="12"/>
      <c r="G178" s="12"/>
      <c r="H178" s="12"/>
      <c r="I178" s="12"/>
      <c r="J178" s="12"/>
      <c r="K178" s="12"/>
      <c r="L178" s="12"/>
      <c r="M178" s="12"/>
    </row>
    <row r="179" ht="15.75" customHeight="1">
      <c r="A179" s="12"/>
      <c r="B179" s="12"/>
      <c r="C179" s="12"/>
      <c r="D179" s="12"/>
      <c r="E179" s="12"/>
      <c r="F179" s="12"/>
      <c r="G179" s="12"/>
      <c r="H179" s="12"/>
      <c r="I179" s="12"/>
      <c r="J179" s="12"/>
      <c r="K179" s="12"/>
      <c r="L179" s="12"/>
      <c r="M179" s="12"/>
    </row>
    <row r="180" ht="15.75" customHeight="1">
      <c r="A180" s="12"/>
      <c r="B180" s="12"/>
      <c r="C180" s="12"/>
      <c r="D180" s="12"/>
      <c r="E180" s="12"/>
      <c r="F180" s="12"/>
      <c r="G180" s="12"/>
      <c r="H180" s="12"/>
      <c r="I180" s="12"/>
      <c r="J180" s="12"/>
      <c r="K180" s="12"/>
      <c r="L180" s="12"/>
      <c r="M180" s="12"/>
    </row>
    <row r="181" ht="15.75" customHeight="1">
      <c r="A181" s="12"/>
      <c r="B181" s="12"/>
      <c r="C181" s="12"/>
      <c r="D181" s="12"/>
      <c r="E181" s="12"/>
      <c r="F181" s="12"/>
      <c r="G181" s="12"/>
      <c r="H181" s="12"/>
      <c r="I181" s="12"/>
      <c r="J181" s="12"/>
      <c r="K181" s="12"/>
      <c r="L181" s="12"/>
      <c r="M181" s="12"/>
    </row>
    <row r="182" ht="15.75" customHeight="1">
      <c r="A182" s="12"/>
      <c r="B182" s="12"/>
      <c r="C182" s="12"/>
      <c r="D182" s="12"/>
      <c r="E182" s="12"/>
      <c r="F182" s="12"/>
      <c r="G182" s="12"/>
      <c r="H182" s="12"/>
      <c r="I182" s="12"/>
      <c r="J182" s="12"/>
      <c r="K182" s="12"/>
      <c r="L182" s="12"/>
      <c r="M182" s="12"/>
    </row>
    <row r="183" ht="15.75" customHeight="1">
      <c r="A183" s="12"/>
      <c r="B183" s="12"/>
      <c r="C183" s="12"/>
      <c r="D183" s="12"/>
      <c r="E183" s="12"/>
      <c r="F183" s="12"/>
      <c r="G183" s="12"/>
      <c r="H183" s="12"/>
      <c r="I183" s="12"/>
      <c r="J183" s="12"/>
      <c r="K183" s="12"/>
      <c r="L183" s="12"/>
      <c r="M183" s="12"/>
    </row>
    <row r="184" ht="15.75" customHeight="1">
      <c r="A184" s="12"/>
      <c r="B184" s="12"/>
      <c r="C184" s="12"/>
      <c r="D184" s="12"/>
      <c r="E184" s="12"/>
      <c r="F184" s="12"/>
      <c r="G184" s="12"/>
      <c r="H184" s="12"/>
      <c r="I184" s="12"/>
      <c r="J184" s="12"/>
      <c r="K184" s="12"/>
      <c r="L184" s="12"/>
      <c r="M184" s="12"/>
    </row>
    <row r="185" ht="15.75" customHeight="1">
      <c r="A185" s="12"/>
      <c r="B185" s="12"/>
      <c r="C185" s="12"/>
      <c r="D185" s="12"/>
      <c r="E185" s="12"/>
      <c r="F185" s="12"/>
      <c r="G185" s="12"/>
      <c r="H185" s="12"/>
      <c r="I185" s="12"/>
      <c r="J185" s="12"/>
      <c r="K185" s="12"/>
      <c r="L185" s="12"/>
      <c r="M185" s="12"/>
    </row>
    <row r="186" ht="15.75" customHeight="1">
      <c r="A186" s="12"/>
      <c r="B186" s="12"/>
      <c r="C186" s="12"/>
      <c r="D186" s="12"/>
      <c r="E186" s="12"/>
      <c r="F186" s="12"/>
      <c r="G186" s="12"/>
      <c r="H186" s="12"/>
      <c r="I186" s="12"/>
      <c r="J186" s="12"/>
      <c r="K186" s="12"/>
      <c r="L186" s="12"/>
      <c r="M186" s="12"/>
    </row>
    <row r="187" ht="15.75" customHeight="1">
      <c r="A187" s="12"/>
      <c r="B187" s="12"/>
      <c r="C187" s="12"/>
      <c r="D187" s="12"/>
      <c r="E187" s="12"/>
      <c r="F187" s="12"/>
      <c r="G187" s="12"/>
      <c r="H187" s="12"/>
      <c r="I187" s="12"/>
      <c r="J187" s="12"/>
      <c r="K187" s="12"/>
      <c r="L187" s="12"/>
      <c r="M187" s="12"/>
    </row>
    <row r="188" ht="15.75" customHeight="1">
      <c r="A188" s="12"/>
      <c r="B188" s="12"/>
      <c r="C188" s="12"/>
      <c r="D188" s="12"/>
      <c r="E188" s="12"/>
      <c r="F188" s="12"/>
      <c r="G188" s="12"/>
      <c r="H188" s="12"/>
      <c r="I188" s="12"/>
      <c r="J188" s="12"/>
      <c r="K188" s="12"/>
      <c r="L188" s="12"/>
      <c r="M188" s="12"/>
    </row>
    <row r="189" ht="15.75" customHeight="1">
      <c r="A189" s="12"/>
      <c r="B189" s="12"/>
      <c r="C189" s="12"/>
      <c r="D189" s="12"/>
      <c r="E189" s="12"/>
      <c r="F189" s="12"/>
      <c r="G189" s="12"/>
      <c r="H189" s="12"/>
      <c r="I189" s="12"/>
      <c r="J189" s="12"/>
      <c r="K189" s="12"/>
      <c r="L189" s="12"/>
      <c r="M189" s="12"/>
    </row>
    <row r="190" ht="15.75" customHeight="1">
      <c r="A190" s="12"/>
      <c r="B190" s="12"/>
      <c r="C190" s="12"/>
      <c r="D190" s="12"/>
      <c r="E190" s="12"/>
      <c r="F190" s="12"/>
      <c r="G190" s="12"/>
      <c r="H190" s="12"/>
      <c r="I190" s="12"/>
      <c r="J190" s="12"/>
      <c r="K190" s="12"/>
      <c r="L190" s="12"/>
      <c r="M190" s="12"/>
    </row>
    <row r="191" ht="15.75" customHeight="1">
      <c r="A191" s="12"/>
      <c r="B191" s="12"/>
      <c r="C191" s="12"/>
      <c r="D191" s="12"/>
      <c r="E191" s="12"/>
      <c r="F191" s="12"/>
      <c r="G191" s="12"/>
      <c r="H191" s="12"/>
      <c r="I191" s="12"/>
      <c r="J191" s="12"/>
      <c r="K191" s="12"/>
      <c r="L191" s="12"/>
      <c r="M191" s="12"/>
    </row>
    <row r="192" ht="15.75" customHeight="1">
      <c r="A192" s="12"/>
      <c r="B192" s="12"/>
      <c r="C192" s="12"/>
      <c r="D192" s="12"/>
      <c r="E192" s="12"/>
      <c r="F192" s="12"/>
      <c r="G192" s="12"/>
      <c r="H192" s="12"/>
      <c r="I192" s="12"/>
      <c r="J192" s="12"/>
      <c r="K192" s="12"/>
      <c r="L192" s="12"/>
      <c r="M192" s="12"/>
    </row>
    <row r="193" ht="15.75" customHeight="1">
      <c r="A193" s="12"/>
      <c r="B193" s="12"/>
      <c r="C193" s="12"/>
      <c r="D193" s="12"/>
      <c r="E193" s="12"/>
      <c r="F193" s="12"/>
      <c r="G193" s="12"/>
      <c r="H193" s="12"/>
      <c r="I193" s="12"/>
      <c r="J193" s="12"/>
      <c r="K193" s="12"/>
      <c r="L193" s="12"/>
      <c r="M193" s="12"/>
    </row>
    <row r="194" ht="15.75" customHeight="1">
      <c r="A194" s="12"/>
      <c r="B194" s="12"/>
      <c r="C194" s="12"/>
      <c r="D194" s="12"/>
      <c r="E194" s="12"/>
      <c r="F194" s="12"/>
      <c r="G194" s="12"/>
      <c r="H194" s="12"/>
      <c r="I194" s="12"/>
      <c r="J194" s="12"/>
      <c r="K194" s="12"/>
      <c r="L194" s="12"/>
      <c r="M194" s="12"/>
    </row>
    <row r="195" ht="15.75" customHeight="1">
      <c r="A195" s="12"/>
      <c r="B195" s="12"/>
      <c r="C195" s="12"/>
      <c r="D195" s="12"/>
      <c r="E195" s="12"/>
      <c r="F195" s="12"/>
      <c r="G195" s="12"/>
      <c r="H195" s="12"/>
      <c r="I195" s="12"/>
      <c r="J195" s="12"/>
      <c r="K195" s="12"/>
      <c r="L195" s="12"/>
      <c r="M195" s="12"/>
    </row>
    <row r="196" ht="15.75" customHeight="1">
      <c r="A196" s="12"/>
      <c r="B196" s="12"/>
      <c r="C196" s="12"/>
      <c r="D196" s="12"/>
      <c r="E196" s="12"/>
      <c r="F196" s="12"/>
      <c r="G196" s="12"/>
      <c r="H196" s="12"/>
      <c r="I196" s="12"/>
      <c r="J196" s="12"/>
      <c r="K196" s="12"/>
      <c r="L196" s="12"/>
      <c r="M196" s="12"/>
    </row>
    <row r="197" ht="15.75" customHeight="1">
      <c r="A197" s="12"/>
      <c r="B197" s="12"/>
      <c r="C197" s="12"/>
      <c r="D197" s="12"/>
      <c r="E197" s="12"/>
      <c r="F197" s="12"/>
      <c r="G197" s="12"/>
      <c r="H197" s="12"/>
      <c r="I197" s="12"/>
      <c r="J197" s="12"/>
      <c r="K197" s="12"/>
      <c r="L197" s="12"/>
      <c r="M197" s="12"/>
    </row>
    <row r="198" ht="15.75" customHeight="1">
      <c r="A198" s="12"/>
      <c r="B198" s="12"/>
      <c r="C198" s="12"/>
      <c r="D198" s="12"/>
      <c r="E198" s="12"/>
      <c r="F198" s="12"/>
      <c r="G198" s="12"/>
      <c r="H198" s="12"/>
      <c r="I198" s="12"/>
      <c r="J198" s="12"/>
      <c r="K198" s="12"/>
      <c r="L198" s="12"/>
      <c r="M198" s="12"/>
    </row>
    <row r="199" ht="15.75" customHeight="1">
      <c r="A199" s="12"/>
      <c r="B199" s="12"/>
      <c r="C199" s="12"/>
      <c r="D199" s="12"/>
      <c r="E199" s="12"/>
      <c r="F199" s="12"/>
      <c r="G199" s="12"/>
      <c r="H199" s="12"/>
      <c r="I199" s="12"/>
      <c r="J199" s="12"/>
      <c r="K199" s="12"/>
      <c r="L199" s="12"/>
      <c r="M199" s="12"/>
    </row>
    <row r="200" ht="15.75" customHeight="1">
      <c r="A200" s="12"/>
      <c r="B200" s="12"/>
      <c r="C200" s="12"/>
      <c r="D200" s="12"/>
      <c r="E200" s="12"/>
      <c r="F200" s="12"/>
      <c r="G200" s="12"/>
      <c r="H200" s="12"/>
      <c r="I200" s="12"/>
      <c r="J200" s="12"/>
      <c r="K200" s="12"/>
      <c r="L200" s="12"/>
      <c r="M200" s="12"/>
    </row>
    <row r="201" ht="15.75" customHeight="1">
      <c r="A201" s="12"/>
      <c r="B201" s="12"/>
      <c r="C201" s="12"/>
      <c r="D201" s="12"/>
      <c r="E201" s="12"/>
      <c r="F201" s="12"/>
      <c r="G201" s="12"/>
      <c r="H201" s="12"/>
      <c r="I201" s="12"/>
      <c r="J201" s="12"/>
      <c r="K201" s="12"/>
      <c r="L201" s="12"/>
      <c r="M201" s="12"/>
    </row>
    <row r="202" ht="15.75" customHeight="1">
      <c r="A202" s="12"/>
      <c r="B202" s="12"/>
      <c r="C202" s="12"/>
      <c r="D202" s="12"/>
      <c r="E202" s="12"/>
      <c r="F202" s="12"/>
      <c r="G202" s="12"/>
      <c r="H202" s="12"/>
      <c r="I202" s="12"/>
      <c r="J202" s="12"/>
      <c r="K202" s="12"/>
      <c r="L202" s="12"/>
      <c r="M202" s="12"/>
    </row>
    <row r="203" ht="15.75" customHeight="1">
      <c r="A203" s="12"/>
      <c r="B203" s="12"/>
      <c r="C203" s="12"/>
      <c r="D203" s="12"/>
      <c r="E203" s="12"/>
      <c r="F203" s="12"/>
      <c r="G203" s="12"/>
      <c r="H203" s="12"/>
      <c r="I203" s="12"/>
      <c r="J203" s="12"/>
      <c r="K203" s="12"/>
      <c r="L203" s="12"/>
      <c r="M203" s="12"/>
    </row>
    <row r="204" ht="15.75" customHeight="1">
      <c r="A204" s="12"/>
      <c r="B204" s="12"/>
      <c r="C204" s="12"/>
      <c r="D204" s="12"/>
      <c r="E204" s="12"/>
      <c r="F204" s="12"/>
      <c r="G204" s="12"/>
      <c r="H204" s="12"/>
      <c r="I204" s="12"/>
      <c r="J204" s="12"/>
      <c r="K204" s="12"/>
      <c r="L204" s="12"/>
      <c r="M204" s="12"/>
    </row>
    <row r="205" ht="15.75" customHeight="1">
      <c r="A205" s="12"/>
      <c r="B205" s="12"/>
      <c r="C205" s="12"/>
      <c r="D205" s="12"/>
      <c r="E205" s="12"/>
      <c r="F205" s="12"/>
      <c r="G205" s="12"/>
      <c r="H205" s="12"/>
      <c r="I205" s="12"/>
      <c r="J205" s="12"/>
      <c r="K205" s="12"/>
      <c r="L205" s="12"/>
      <c r="M205" s="12"/>
    </row>
    <row r="206" ht="15.75" customHeight="1">
      <c r="A206" s="12"/>
      <c r="B206" s="12"/>
      <c r="C206" s="12"/>
      <c r="D206" s="12"/>
      <c r="E206" s="12"/>
      <c r="F206" s="12"/>
      <c r="G206" s="12"/>
      <c r="H206" s="12"/>
      <c r="I206" s="12"/>
      <c r="J206" s="12"/>
      <c r="K206" s="12"/>
      <c r="L206" s="12"/>
      <c r="M206" s="12"/>
    </row>
    <row r="207" ht="15.75" customHeight="1">
      <c r="A207" s="12"/>
      <c r="B207" s="12"/>
      <c r="C207" s="12"/>
      <c r="D207" s="12"/>
      <c r="E207" s="12"/>
      <c r="F207" s="12"/>
      <c r="G207" s="12"/>
      <c r="H207" s="12"/>
      <c r="I207" s="12"/>
      <c r="J207" s="12"/>
      <c r="K207" s="12"/>
      <c r="L207" s="12"/>
      <c r="M207" s="12"/>
    </row>
    <row r="208" ht="15.75" customHeight="1">
      <c r="A208" s="12"/>
      <c r="B208" s="12"/>
      <c r="C208" s="12"/>
      <c r="D208" s="12"/>
      <c r="E208" s="12"/>
      <c r="F208" s="12"/>
      <c r="G208" s="12"/>
      <c r="H208" s="12"/>
      <c r="I208" s="12"/>
      <c r="J208" s="12"/>
      <c r="K208" s="12"/>
      <c r="L208" s="12"/>
      <c r="M208" s="12"/>
    </row>
    <row r="209" ht="15.75" customHeight="1">
      <c r="A209" s="12"/>
      <c r="B209" s="12"/>
      <c r="C209" s="12"/>
      <c r="D209" s="12"/>
      <c r="E209" s="12"/>
      <c r="F209" s="12"/>
      <c r="G209" s="12"/>
      <c r="H209" s="12"/>
      <c r="I209" s="12"/>
      <c r="J209" s="12"/>
      <c r="K209" s="12"/>
      <c r="L209" s="12"/>
      <c r="M209" s="12"/>
    </row>
    <row r="210" ht="15.75" customHeight="1">
      <c r="A210" s="12"/>
      <c r="B210" s="12"/>
      <c r="C210" s="12"/>
      <c r="D210" s="12"/>
      <c r="E210" s="12"/>
      <c r="F210" s="12"/>
      <c r="G210" s="12"/>
      <c r="H210" s="12"/>
      <c r="I210" s="12"/>
      <c r="J210" s="12"/>
      <c r="K210" s="12"/>
      <c r="L210" s="12"/>
      <c r="M210" s="12"/>
    </row>
    <row r="211" ht="15.75" customHeight="1">
      <c r="A211" s="12"/>
      <c r="B211" s="12"/>
      <c r="C211" s="12"/>
      <c r="D211" s="12"/>
      <c r="E211" s="12"/>
      <c r="F211" s="12"/>
      <c r="G211" s="12"/>
      <c r="H211" s="12"/>
      <c r="I211" s="12"/>
      <c r="J211" s="12"/>
      <c r="K211" s="12"/>
      <c r="L211" s="12"/>
      <c r="M211" s="12"/>
    </row>
    <row r="212" ht="15.75" customHeight="1">
      <c r="A212" s="12"/>
      <c r="B212" s="12"/>
      <c r="C212" s="12"/>
      <c r="D212" s="12"/>
      <c r="E212" s="12"/>
      <c r="F212" s="12"/>
      <c r="G212" s="12"/>
      <c r="H212" s="12"/>
      <c r="I212" s="12"/>
      <c r="J212" s="12"/>
      <c r="K212" s="12"/>
      <c r="L212" s="12"/>
      <c r="M212" s="12"/>
    </row>
    <row r="213" ht="15.75" customHeight="1">
      <c r="A213" s="12"/>
      <c r="B213" s="12"/>
      <c r="C213" s="12"/>
      <c r="D213" s="12"/>
      <c r="E213" s="12"/>
      <c r="F213" s="12"/>
      <c r="G213" s="12"/>
      <c r="H213" s="12"/>
      <c r="I213" s="12"/>
      <c r="J213" s="12"/>
      <c r="K213" s="12"/>
      <c r="L213" s="12"/>
      <c r="M213" s="12"/>
    </row>
    <row r="214" ht="15.75" customHeight="1">
      <c r="A214" s="12"/>
      <c r="B214" s="12"/>
      <c r="C214" s="12"/>
      <c r="D214" s="12"/>
      <c r="E214" s="12"/>
      <c r="F214" s="12"/>
      <c r="G214" s="12"/>
      <c r="H214" s="12"/>
      <c r="I214" s="12"/>
      <c r="J214" s="12"/>
      <c r="K214" s="12"/>
      <c r="L214" s="12"/>
      <c r="M214" s="12"/>
    </row>
    <row r="215" ht="15.75" customHeight="1">
      <c r="A215" s="12"/>
      <c r="B215" s="12"/>
      <c r="C215" s="12"/>
      <c r="D215" s="12"/>
      <c r="E215" s="12"/>
      <c r="F215" s="12"/>
      <c r="G215" s="12"/>
      <c r="H215" s="12"/>
      <c r="I215" s="12"/>
      <c r="J215" s="12"/>
      <c r="K215" s="12"/>
      <c r="L215" s="12"/>
      <c r="M215" s="12"/>
    </row>
    <row r="216" ht="15.75" customHeight="1">
      <c r="A216" s="12"/>
      <c r="B216" s="12"/>
      <c r="C216" s="12"/>
      <c r="D216" s="12"/>
      <c r="E216" s="12"/>
      <c r="F216" s="12"/>
      <c r="G216" s="12"/>
      <c r="H216" s="12"/>
      <c r="I216" s="12"/>
      <c r="J216" s="12"/>
      <c r="K216" s="12"/>
      <c r="L216" s="12"/>
      <c r="M216" s="12"/>
    </row>
    <row r="217" ht="15.75" customHeight="1">
      <c r="A217" s="12"/>
      <c r="B217" s="12"/>
      <c r="C217" s="12"/>
      <c r="D217" s="12"/>
      <c r="E217" s="12"/>
      <c r="F217" s="12"/>
      <c r="G217" s="12"/>
      <c r="H217" s="12"/>
      <c r="I217" s="12"/>
      <c r="J217" s="12"/>
      <c r="K217" s="12"/>
      <c r="L217" s="12"/>
      <c r="M217" s="12"/>
    </row>
    <row r="218" ht="15.75" customHeight="1">
      <c r="A218" s="12"/>
      <c r="B218" s="12"/>
      <c r="C218" s="12"/>
      <c r="D218" s="12"/>
      <c r="E218" s="12"/>
      <c r="F218" s="12"/>
      <c r="G218" s="12"/>
      <c r="H218" s="12"/>
      <c r="I218" s="12"/>
      <c r="J218" s="12"/>
      <c r="K218" s="12"/>
      <c r="L218" s="12"/>
      <c r="M218" s="12"/>
    </row>
    <row r="219" ht="15.75" customHeight="1">
      <c r="A219" s="12"/>
      <c r="B219" s="12"/>
      <c r="C219" s="12"/>
      <c r="D219" s="12"/>
      <c r="E219" s="12"/>
      <c r="F219" s="12"/>
      <c r="G219" s="12"/>
      <c r="H219" s="12"/>
      <c r="I219" s="12"/>
      <c r="J219" s="12"/>
      <c r="K219" s="12"/>
      <c r="L219" s="12"/>
      <c r="M219" s="12"/>
    </row>
    <row r="220" ht="15.75" customHeight="1">
      <c r="A220" s="12"/>
      <c r="B220" s="12"/>
      <c r="C220" s="12"/>
      <c r="D220" s="12"/>
      <c r="E220" s="12"/>
      <c r="F220" s="12"/>
      <c r="G220" s="12"/>
      <c r="H220" s="12"/>
      <c r="I220" s="12"/>
      <c r="J220" s="12"/>
      <c r="K220" s="12"/>
      <c r="L220" s="12"/>
      <c r="M220" s="12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E1"/>
    <mergeCell ref="F1:I1"/>
    <mergeCell ref="J1:M1"/>
  </mergeCells>
  <printOptions/>
  <pageMargins bottom="1.0" footer="0.0" header="0.0" left="0.75" right="0.75" top="1.0"/>
  <pageSetup orientation="landscape"/>
  <drawing r:id="rId1"/>
</worksheet>
</file>