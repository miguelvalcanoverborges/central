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ício" sheetId="1" state="visible" r:id="rId1"/>
    <sheet xmlns:r="http://schemas.openxmlformats.org/officeDocument/2006/relationships" name="aluno 01" sheetId="2" state="visible" r:id="rId2"/>
    <sheet xmlns:r="http://schemas.openxmlformats.org/officeDocument/2006/relationships" name="bloco 01" sheetId="3" state="visible" r:id="rId3"/>
    <sheet xmlns:r="http://schemas.openxmlformats.org/officeDocument/2006/relationships" name="aluno 02" sheetId="4" state="visible" r:id="rId4"/>
    <sheet xmlns:r="http://schemas.openxmlformats.org/officeDocument/2006/relationships" name="bloco 02" sheetId="5" state="visible" r:id="rId5"/>
    <sheet xmlns:r="http://schemas.openxmlformats.org/officeDocument/2006/relationships" name="aluno 03" sheetId="6" state="visible" r:id="rId6"/>
    <sheet xmlns:r="http://schemas.openxmlformats.org/officeDocument/2006/relationships" name="bloco 03" sheetId="7" state="visible" r:id="rId7"/>
    <sheet xmlns:r="http://schemas.openxmlformats.org/officeDocument/2006/relationships" name="prs" sheetId="8" state="visible" r:id="rId8"/>
    <sheet xmlns:r="http://schemas.openxmlformats.org/officeDocument/2006/relationships" name="macr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&quot;/&quot;mm"/>
    <numFmt numFmtId="165" formatCode="dd/mm"/>
    <numFmt numFmtId="166" formatCode="dd/MM/yyyy"/>
  </numFmts>
  <fonts count="34">
    <font>
      <name val="Arial"/>
      <color rgb="FF000000"/>
      <sz val="10"/>
      <scheme val="minor"/>
    </font>
    <font>
      <name val="Arial"/>
      <b val="1"/>
      <color rgb="FFFFFFFF"/>
    </font>
    <font>
      <name val="Arial"/>
      <color rgb="FFFFFFFF"/>
      <sz val="12"/>
    </font>
    <font>
      <name val="Arial"/>
      <b val="1"/>
      <color theme="1"/>
      <sz val="20"/>
    </font>
    <font>
      <name val="Arial"/>
      <b val="1"/>
      <color theme="1"/>
      <sz val="12"/>
    </font>
    <font>
      <name val="Arial"/>
      <color rgb="FF000000"/>
      <sz val="10"/>
    </font>
    <font>
      <name val="Arial"/>
      <color rgb="FFFFFFFF"/>
    </font>
    <font>
      <name val="Arial"/>
      <color theme="1"/>
    </font>
    <font>
      <name val="Arial"/>
      <b val="1"/>
      <color rgb="FFFFFFFF"/>
      <sz val="9"/>
    </font>
    <font>
      <name val="Playfair Display"/>
      <b val="1"/>
      <color rgb="FFFFFFFF"/>
      <sz val="12"/>
    </font>
    <font>
      <name val="Playfair Display"/>
      <color rgb="FFFFFFFF"/>
    </font>
    <font>
      <name val="Playfair Display"/>
      <color theme="1"/>
    </font>
    <font>
      <name val="Arial"/>
      <b val="1"/>
      <color rgb="FFFFFFFF"/>
      <sz val="12"/>
    </font>
    <font>
      <name val="Arial"/>
      <b val="1"/>
      <color rgb="FFFF0000"/>
    </font>
    <font>
      <name val="Arial"/>
      <b val="1"/>
      <color rgb="FF000000"/>
    </font>
    <font>
      <name val="Arial"/>
      <b val="1"/>
      <color rgb="FFFFFFFF"/>
      <sz val="14"/>
    </font>
    <font>
      <name val="Arial"/>
      <color rgb="FF000000"/>
    </font>
    <font>
      <name val="Arial"/>
      <b val="1"/>
      <color rgb="FFFFFFFF"/>
      <sz val="16"/>
    </font>
    <font>
      <name val="Arial"/>
      <b val="1"/>
      <color theme="1"/>
    </font>
    <font/>
    <font>
      <name val="Arial"/>
      <b val="1"/>
      <color rgb="FFFFFFFF"/>
      <sz val="10"/>
    </font>
    <font>
      <name val="Krona One"/>
      <color rgb="FF000000"/>
      <sz val="14"/>
    </font>
    <font>
      <name val="Exo 2"/>
      <b val="1"/>
      <color rgb="FF8A877F"/>
      <sz val="8"/>
    </font>
    <font>
      <name val="Exo 2"/>
      <color rgb="FF000000"/>
      <sz val="10"/>
    </font>
    <font>
      <name val="Exo 2"/>
      <color rgb="FF8A877F"/>
      <sz val="8"/>
    </font>
    <font>
      <name val="Krona One"/>
      <color rgb="FF000000"/>
      <sz val="9"/>
    </font>
    <font>
      <name val="Krona One"/>
      <color rgb="FFFFFFFF"/>
      <sz val="12"/>
    </font>
    <font>
      <name val="Exo 2"/>
      <color rgb="FF8A877F"/>
      <sz val="10"/>
    </font>
    <font>
      <name val="Krona One"/>
      <color rgb="FFFFFFFF"/>
      <sz val="11"/>
    </font>
    <font>
      <name val="Krona One"/>
      <color rgb="FF000000"/>
      <sz val="8"/>
    </font>
    <font>
      <name val="Krona One"/>
      <color rgb="FF8A877F"/>
      <sz val="7"/>
    </font>
    <font>
      <name val="Exo 2"/>
      <b val="1"/>
      <color rgb="FF000000"/>
      <sz val="10"/>
    </font>
    <font>
      <name val="Exo 2"/>
      <b val="1"/>
      <color rgb="FF8A877F"/>
      <sz val="7"/>
    </font>
    <font>
      <name val="Krona One"/>
      <color rgb="FFFFFFFF"/>
      <sz val="15"/>
    </font>
  </fonts>
  <fills count="9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</patternFill>
    </fill>
    <fill>
      <patternFill patternType="solid">
        <fgColor rgb="FF000000"/>
      </patternFill>
    </fill>
    <fill>
      <patternFill patternType="solid">
        <fgColor rgb="FFEDECE8"/>
      </patternFill>
    </fill>
  </fills>
  <borders count="16">
    <border/>
    <border>
      <left style="thin">
        <color rgb="FF000000"/>
      </left>
    </border>
    <border>
      <right style="medium">
        <color rgb="FF000000"/>
      </right>
    </border>
    <border>
      <top style="medium">
        <color rgb="FF000000"/>
      </top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F3F3F3"/>
      </right>
    </border>
    <border>
      <bottom style="thin">
        <color rgb="FF000000"/>
      </bottom>
    </border>
    <border>
      <bottom style="thin">
        <color rgb="FFE6E4DE"/>
      </bottom>
    </border>
    <border>
      <left style="thin">
        <color rgb="FFE6E4DE"/>
      </left>
      <right style="thin">
        <color rgb="FFE6E4DE"/>
      </right>
      <top style="thin">
        <color rgb="FFE6E4DE"/>
      </top>
      <bottom style="thin">
        <color rgb="FFE6E4DE"/>
      </bottom>
    </border>
  </borders>
  <cellStyleXfs count="1">
    <xf numFmtId="0" fontId="0" fillId="0" borderId="0"/>
  </cellStyleXfs>
  <cellXfs count="16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/>
    </xf>
    <xf numFmtId="0" fontId="1" fillId="2" borderId="0" pivotButton="0" quotePrefix="0" xfId="0"/>
    <xf numFmtId="3" fontId="1" fillId="2" borderId="0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right"/>
    </xf>
    <xf numFmtId="165" fontId="1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center"/>
    </xf>
    <xf numFmtId="0" fontId="5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vertical="bottom"/>
    </xf>
    <xf numFmtId="0" fontId="8" fillId="2" borderId="0" pivotButton="0" quotePrefix="0" xfId="0"/>
    <xf numFmtId="164" fontId="1" fillId="2" borderId="0" applyAlignment="1" pivotButton="0" quotePrefix="0" xfId="0">
      <alignment horizontal="center" vertical="bottom"/>
    </xf>
    <xf numFmtId="0" fontId="9" fillId="2" borderId="0" pivotButton="0" quotePrefix="0" xfId="0"/>
    <xf numFmtId="0" fontId="6" fillId="3" borderId="0" applyAlignment="1" pivotButton="0" quotePrefix="0" xfId="0">
      <alignment horizontal="center"/>
    </xf>
    <xf numFmtId="0" fontId="4" fillId="2" borderId="0" pivotButton="0" quotePrefix="0" xfId="0"/>
    <xf numFmtId="0" fontId="10" fillId="2" borderId="0" pivotButton="0" quotePrefix="0" xfId="0"/>
    <xf numFmtId="0" fontId="7" fillId="0" borderId="0" pivotButton="0" quotePrefix="0" xfId="0"/>
    <xf numFmtId="0" fontId="11" fillId="2" borderId="0" pivotButton="0" quotePrefix="0" xfId="0"/>
    <xf numFmtId="0" fontId="7" fillId="2" borderId="0" pivotButton="0" quotePrefix="0" xfId="0"/>
    <xf numFmtId="0" fontId="6" fillId="2" borderId="0" applyAlignment="1" pivotButton="0" quotePrefix="0" xfId="0">
      <alignment horizontal="center"/>
    </xf>
    <xf numFmtId="0" fontId="12" fillId="2" borderId="0" applyAlignment="1" pivotButton="0" quotePrefix="0" xfId="0">
      <alignment horizontal="center"/>
    </xf>
    <xf numFmtId="0" fontId="13" fillId="2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4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5" fillId="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bottom"/>
    </xf>
    <xf numFmtId="0" fontId="7" fillId="0" borderId="0" applyAlignment="1" pivotButton="0" quotePrefix="0" xfId="0">
      <alignment horizontal="center"/>
    </xf>
    <xf numFmtId="0" fontId="7" fillId="0" borderId="2" pivotButton="0" quotePrefix="0" xfId="0"/>
    <xf numFmtId="0" fontId="7" fillId="4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bottom"/>
    </xf>
    <xf numFmtId="0" fontId="7" fillId="4" borderId="2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right"/>
    </xf>
    <xf numFmtId="9" fontId="7" fillId="0" borderId="0" applyAlignment="1" pivotButton="0" quotePrefix="0" xfId="0">
      <alignment horizontal="center" vertical="bottom"/>
    </xf>
    <xf numFmtId="0" fontId="7" fillId="5" borderId="0" applyAlignment="1" pivotButton="0" quotePrefix="0" xfId="0">
      <alignment horizontal="left"/>
    </xf>
    <xf numFmtId="0" fontId="7" fillId="5" borderId="0" applyAlignment="1" pivotButton="0" quotePrefix="0" xfId="0">
      <alignment horizontal="right"/>
    </xf>
    <xf numFmtId="0" fontId="7" fillId="3" borderId="0" applyAlignment="1" pivotButton="0" quotePrefix="0" xfId="0">
      <alignment vertical="bottom"/>
    </xf>
    <xf numFmtId="164" fontId="12" fillId="2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7" fillId="3" borderId="0" pivotButton="0" quotePrefix="0" xfId="0"/>
    <xf numFmtId="0" fontId="7" fillId="0" borderId="0" applyAlignment="1" pivotButton="0" quotePrefix="0" xfId="0">
      <alignment horizontal="center" vertical="bottom"/>
    </xf>
    <xf numFmtId="9" fontId="7" fillId="0" borderId="0" applyAlignment="1" pivotButton="0" quotePrefix="0" xfId="0">
      <alignment horizontal="center"/>
    </xf>
    <xf numFmtId="0" fontId="7" fillId="4" borderId="0" applyAlignment="1" pivotButton="0" quotePrefix="0" xfId="0">
      <alignment horizontal="center" vertical="bottom"/>
    </xf>
    <xf numFmtId="0" fontId="7" fillId="4" borderId="2" applyAlignment="1" pivotButton="0" quotePrefix="0" xfId="0">
      <alignment horizontal="center" vertical="bottom"/>
    </xf>
    <xf numFmtId="0" fontId="7" fillId="2" borderId="0" applyAlignment="1" pivotButton="0" quotePrefix="0" xfId="0">
      <alignment vertical="bottom"/>
    </xf>
    <xf numFmtId="0" fontId="7" fillId="0" borderId="2" applyAlignment="1" pivotButton="0" quotePrefix="0" xfId="0">
      <alignment vertical="bottom"/>
    </xf>
    <xf numFmtId="0" fontId="6" fillId="3" borderId="0" pivotButton="0" quotePrefix="0" xfId="0"/>
    <xf numFmtId="0" fontId="18" fillId="3" borderId="0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6" fillId="2" borderId="3" pivotButton="0" quotePrefix="0" xfId="0"/>
    <xf numFmtId="0" fontId="1" fillId="2" borderId="4" applyAlignment="1" pivotButton="0" quotePrefix="0" xfId="0">
      <alignment horizontal="right"/>
    </xf>
    <xf numFmtId="166" fontId="6" fillId="2" borderId="4" applyAlignment="1" pivotButton="0" quotePrefix="0" xfId="0">
      <alignment horizontal="left"/>
    </xf>
    <xf numFmtId="0" fontId="1" fillId="2" borderId="5" applyAlignment="1" pivotButton="0" quotePrefix="0" xfId="0">
      <alignment horizontal="center" vertical="bottom"/>
    </xf>
    <xf numFmtId="0" fontId="1" fillId="2" borderId="3" pivotButton="0" quotePrefix="0" xfId="0"/>
    <xf numFmtId="0" fontId="1" fillId="2" borderId="3" applyAlignment="1" pivotButton="0" quotePrefix="0" xfId="0">
      <alignment horizontal="center"/>
    </xf>
    <xf numFmtId="9" fontId="1" fillId="2" borderId="3" applyAlignment="1" pivotButton="0" quotePrefix="0" xfId="0">
      <alignment horizontal="center" vertical="bottom"/>
    </xf>
    <xf numFmtId="9" fontId="1" fillId="2" borderId="6" applyAlignment="1" pivotButton="0" quotePrefix="0" xfId="0">
      <alignment horizontal="center" vertical="bottom"/>
    </xf>
    <xf numFmtId="0" fontId="7" fillId="0" borderId="7" applyAlignment="1" pivotButton="0" quotePrefix="0" xfId="0">
      <alignment vertical="bottom"/>
    </xf>
    <xf numFmtId="0" fontId="7" fillId="4" borderId="5" applyAlignment="1" pivotButton="0" quotePrefix="0" xfId="0">
      <alignment horizontal="center"/>
    </xf>
    <xf numFmtId="0" fontId="7" fillId="4" borderId="6" applyAlignment="1" pivotButton="0" quotePrefix="0" xfId="0">
      <alignment horizontal="center"/>
    </xf>
    <xf numFmtId="1" fontId="16" fillId="5" borderId="0" applyAlignment="1" pivotButton="0" quotePrefix="0" xfId="0">
      <alignment horizontal="center" vertical="bottom"/>
    </xf>
    <xf numFmtId="1" fontId="16" fillId="5" borderId="2" applyAlignment="1" pivotButton="0" quotePrefix="0" xfId="0">
      <alignment horizontal="center" vertical="bottom"/>
    </xf>
    <xf numFmtId="0" fontId="7" fillId="4" borderId="7" applyAlignment="1" pivotButton="0" quotePrefix="0" xfId="0">
      <alignment horizontal="center"/>
    </xf>
    <xf numFmtId="0" fontId="7" fillId="4" borderId="7" applyAlignment="1" pivotButton="0" quotePrefix="0" xfId="0">
      <alignment horizontal="center" vertical="bottom"/>
    </xf>
    <xf numFmtId="0" fontId="7" fillId="0" borderId="8" applyAlignment="1" pivotButton="0" quotePrefix="0" xfId="0">
      <alignment vertical="bottom"/>
    </xf>
    <xf numFmtId="0" fontId="7" fillId="4" borderId="8" applyAlignment="1" pivotButton="0" quotePrefix="0" xfId="0">
      <alignment horizontal="center" vertical="bottom"/>
    </xf>
    <xf numFmtId="0" fontId="7" fillId="4" borderId="9" applyAlignment="1" pivotButton="0" quotePrefix="0" xfId="0">
      <alignment horizontal="center" vertical="bottom"/>
    </xf>
    <xf numFmtId="1" fontId="16" fillId="5" borderId="4" applyAlignment="1" pivotButton="0" quotePrefix="0" xfId="0">
      <alignment horizontal="center" vertical="bottom"/>
    </xf>
    <xf numFmtId="1" fontId="16" fillId="5" borderId="9" applyAlignment="1" pivotButton="0" quotePrefix="0" xfId="0">
      <alignment horizontal="center" vertical="bottom"/>
    </xf>
    <xf numFmtId="1" fontId="16" fillId="5" borderId="3" applyAlignment="1" pivotButton="0" quotePrefix="0" xfId="0">
      <alignment horizontal="center" vertical="bottom"/>
    </xf>
    <xf numFmtId="9" fontId="1" fillId="2" borderId="0" applyAlignment="1" pivotButton="0" quotePrefix="0" xfId="0">
      <alignment horizontal="center" vertical="bottom"/>
    </xf>
    <xf numFmtId="1" fontId="16" fillId="5" borderId="6" applyAlignment="1" pivotButton="0" quotePrefix="0" xfId="0">
      <alignment horizontal="center" vertical="bottom"/>
    </xf>
    <xf numFmtId="0" fontId="7" fillId="0" borderId="10" applyAlignment="1" pivotButton="0" quotePrefix="0" xfId="0">
      <alignment vertical="bottom"/>
    </xf>
    <xf numFmtId="0" fontId="7" fillId="0" borderId="11" applyAlignment="1" pivotButton="0" quotePrefix="0" xfId="0">
      <alignment vertical="bottom"/>
    </xf>
    <xf numFmtId="0" fontId="7" fillId="4" borderId="0" pivotButton="0" quotePrefix="0" xfId="0"/>
    <xf numFmtId="0" fontId="18" fillId="4" borderId="0" applyAlignment="1" pivotButton="0" quotePrefix="0" xfId="0">
      <alignment horizontal="center"/>
    </xf>
    <xf numFmtId="0" fontId="19" fillId="0" borderId="12" pivotButton="0" quotePrefix="0" xfId="0"/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right" vertical="center"/>
    </xf>
    <xf numFmtId="3" fontId="6" fillId="2" borderId="0" applyAlignment="1" pivotButton="0" quotePrefix="0" xfId="0">
      <alignment horizontal="center" vertical="center"/>
    </xf>
    <xf numFmtId="3" fontId="6" fillId="2" borderId="12" applyAlignment="1" pivotButton="0" quotePrefix="0" xfId="0">
      <alignment horizontal="center" vertical="center"/>
    </xf>
    <xf numFmtId="9" fontId="6" fillId="2" borderId="0" applyAlignment="1" pivotButton="0" quotePrefix="0" xfId="0">
      <alignment horizontal="center" vertical="center"/>
    </xf>
    <xf numFmtId="9" fontId="6" fillId="2" borderId="12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164" fontId="1" fillId="3" borderId="0" applyAlignment="1" pivotButton="0" quotePrefix="0" xfId="0">
      <alignment horizontal="center" vertical="center"/>
    </xf>
    <xf numFmtId="164" fontId="1" fillId="3" borderId="12" applyAlignment="1" pivotButton="0" quotePrefix="0" xfId="0">
      <alignment horizontal="center" vertical="center"/>
    </xf>
    <xf numFmtId="49" fontId="20" fillId="3" borderId="0" applyAlignment="1" pivotButton="0" quotePrefix="0" xfId="0">
      <alignment horizontal="left" vertical="center"/>
    </xf>
    <xf numFmtId="49" fontId="20" fillId="3" borderId="12" applyAlignment="1" pivotButton="0" quotePrefix="0" xfId="0">
      <alignment horizontal="left" vertical="center"/>
    </xf>
    <xf numFmtId="0" fontId="0" fillId="0" borderId="0" pivotButton="0" quotePrefix="0" xfId="0"/>
    <xf numFmtId="0" fontId="0" fillId="7" borderId="0" pivotButton="0" quotePrefix="0" xfId="0"/>
    <xf numFmtId="0" fontId="32" fillId="7" borderId="0" pivotButton="0" quotePrefix="0" xfId="0"/>
    <xf numFmtId="0" fontId="33" fillId="7" borderId="0" pivotButton="0" quotePrefix="0" xfId="0"/>
    <xf numFmtId="0" fontId="0" fillId="6" borderId="0" pivotButton="0" quotePrefix="0" xfId="0"/>
    <xf numFmtId="0" fontId="32" fillId="6" borderId="0" pivotButton="0" quotePrefix="0" xfId="0"/>
    <xf numFmtId="0" fontId="31" fillId="6" borderId="0" pivotButton="0" quotePrefix="0" xfId="0"/>
    <xf numFmtId="0" fontId="25" fillId="6" borderId="0" pivotButton="0" quotePrefix="0" xfId="0"/>
    <xf numFmtId="0" fontId="32" fillId="6" borderId="13" pivotButton="0" quotePrefix="0" xfId="0"/>
    <xf numFmtId="0" fontId="31" fillId="6" borderId="14" pivotButton="0" quotePrefix="0" xfId="0"/>
    <xf numFmtId="165" fontId="23" fillId="6" borderId="14" pivotButton="0" quotePrefix="0" xfId="0"/>
    <xf numFmtId="0" fontId="27" fillId="6" borderId="14" pivotButton="0" quotePrefix="0" xfId="0"/>
    <xf numFmtId="0" fontId="0" fillId="6" borderId="13" pivotButton="0" quotePrefix="0" xfId="0"/>
    <xf numFmtId="0" fontId="23" fillId="6" borderId="14" applyAlignment="1" pivotButton="0" quotePrefix="0" xfId="0">
      <alignment horizontal="left"/>
    </xf>
    <xf numFmtId="0" fontId="21" fillId="6" borderId="0" applyAlignment="1" pivotButton="0" quotePrefix="0" xfId="0">
      <alignment horizontal="center" vertical="center"/>
    </xf>
    <xf numFmtId="0" fontId="22" fillId="6" borderId="0" applyAlignment="1" pivotButton="0" quotePrefix="0" xfId="0">
      <alignment horizontal="right" vertical="center"/>
    </xf>
    <xf numFmtId="0" fontId="23" fillId="6" borderId="0" applyAlignment="1" pivotButton="0" quotePrefix="0" xfId="0">
      <alignment vertical="center"/>
    </xf>
    <xf numFmtId="0" fontId="24" fillId="6" borderId="0" applyAlignment="1" pivotButton="0" quotePrefix="0" xfId="0">
      <alignment vertical="center"/>
    </xf>
    <xf numFmtId="0" fontId="22" fillId="6" borderId="13" applyAlignment="1" pivotButton="0" quotePrefix="0" xfId="0">
      <alignment horizontal="center" vertical="center"/>
    </xf>
    <xf numFmtId="0" fontId="24" fillId="6" borderId="0" applyAlignment="1" pivotButton="0" quotePrefix="0" xfId="0">
      <alignment horizontal="center" vertical="center"/>
    </xf>
    <xf numFmtId="0" fontId="25" fillId="6" borderId="3" applyAlignment="1" pivotButton="0" quotePrefix="0" xfId="0">
      <alignment horizontal="center" vertical="center"/>
    </xf>
    <xf numFmtId="0" fontId="23" fillId="6" borderId="0" applyAlignment="1" pivotButton="0" quotePrefix="0" xfId="0">
      <alignment horizontal="center" vertical="center"/>
    </xf>
    <xf numFmtId="0" fontId="22" fillId="6" borderId="13" applyAlignment="1" pivotButton="0" quotePrefix="0" xfId="0">
      <alignment vertical="center"/>
    </xf>
    <xf numFmtId="0" fontId="23" fillId="6" borderId="0" applyAlignment="1" pivotButton="0" quotePrefix="0" xfId="0">
      <alignment horizontal="left" vertical="center"/>
    </xf>
    <xf numFmtId="0" fontId="23" fillId="6" borderId="0" applyAlignment="1" pivotButton="0" quotePrefix="0" xfId="0">
      <alignment horizontal="right" vertical="center"/>
    </xf>
    <xf numFmtId="164" fontId="22" fillId="6" borderId="0" applyAlignment="1" pivotButton="0" quotePrefix="0" xfId="0">
      <alignment horizontal="center" vertical="center"/>
    </xf>
    <xf numFmtId="0" fontId="26" fillId="7" borderId="0" applyAlignment="1" pivotButton="0" quotePrefix="0" xfId="0">
      <alignment horizontal="center" vertical="center"/>
    </xf>
    <xf numFmtId="0" fontId="23" fillId="6" borderId="14" applyAlignment="1" pivotButton="0" quotePrefix="0" xfId="0">
      <alignment vertical="center"/>
    </xf>
    <xf numFmtId="0" fontId="23" fillId="6" borderId="14" applyAlignment="1" pivotButton="0" quotePrefix="0" xfId="0">
      <alignment horizontal="center" vertical="center"/>
    </xf>
    <xf numFmtId="9" fontId="27" fillId="6" borderId="14" applyAlignment="1" pivotButton="0" quotePrefix="0" xfId="0">
      <alignment horizontal="center" vertical="center"/>
    </xf>
    <xf numFmtId="9" fontId="23" fillId="6" borderId="14" applyAlignment="1" pivotButton="0" quotePrefix="0" xfId="0">
      <alignment horizontal="center" vertical="center"/>
    </xf>
    <xf numFmtId="0" fontId="0" fillId="0" borderId="14" pivotButton="0" quotePrefix="0" xfId="0"/>
    <xf numFmtId="0" fontId="28" fillId="7" borderId="0" applyAlignment="1" pivotButton="0" quotePrefix="0" xfId="0">
      <alignment horizontal="left" vertical="center"/>
    </xf>
    <xf numFmtId="0" fontId="28" fillId="7" borderId="0" applyAlignment="1" pivotButton="0" quotePrefix="0" xfId="0">
      <alignment vertical="center"/>
    </xf>
    <xf numFmtId="3" fontId="28" fillId="7" borderId="0" applyAlignment="1" pivotButton="0" quotePrefix="0" xfId="0">
      <alignment horizontal="center" vertical="center"/>
    </xf>
    <xf numFmtId="164" fontId="28" fillId="7" borderId="0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0" fontId="28" fillId="7" borderId="0" applyAlignment="1" pivotButton="0" quotePrefix="0" xfId="0">
      <alignment horizontal="right" vertical="center"/>
    </xf>
    <xf numFmtId="165" fontId="28" fillId="7" borderId="0" applyAlignment="1" pivotButton="0" quotePrefix="0" xfId="0">
      <alignment horizontal="left" vertical="center"/>
    </xf>
    <xf numFmtId="0" fontId="24" fillId="8" borderId="0" applyAlignment="1" pivotButton="0" quotePrefix="0" xfId="0">
      <alignment horizontal="center" vertical="center"/>
    </xf>
    <xf numFmtId="0" fontId="29" fillId="8" borderId="0" applyAlignment="1" pivotButton="0" quotePrefix="0" xfId="0">
      <alignment vertical="center"/>
    </xf>
    <xf numFmtId="0" fontId="25" fillId="6" borderId="3" applyAlignment="1" pivotButton="0" quotePrefix="0" xfId="0">
      <alignment vertical="center"/>
    </xf>
    <xf numFmtId="164" fontId="25" fillId="6" borderId="3" applyAlignment="1" pivotButton="0" quotePrefix="0" xfId="0">
      <alignment horizontal="center" vertical="center"/>
    </xf>
    <xf numFmtId="0" fontId="0" fillId="0" borderId="3" pivotButton="0" quotePrefix="0" xfId="0"/>
    <xf numFmtId="0" fontId="22" fillId="8" borderId="0" applyAlignment="1" pivotButton="0" quotePrefix="0" xfId="0">
      <alignment vertical="center"/>
    </xf>
    <xf numFmtId="0" fontId="22" fillId="6" borderId="0" applyAlignment="1" pivotButton="0" quotePrefix="0" xfId="0">
      <alignment vertical="center"/>
    </xf>
    <xf numFmtId="0" fontId="22" fillId="6" borderId="0" applyAlignment="1" pivotButton="0" quotePrefix="0" xfId="0">
      <alignment horizontal="center" vertical="center"/>
    </xf>
    <xf numFmtId="0" fontId="23" fillId="6" borderId="15" applyAlignment="1" pivotButton="0" quotePrefix="0" xfId="0">
      <alignment horizontal="center" vertical="center"/>
    </xf>
    <xf numFmtId="0" fontId="30" fillId="8" borderId="0" applyAlignment="1" pivotButton="0" quotePrefix="0" xfId="0">
      <alignment vertical="center"/>
    </xf>
    <xf numFmtId="0" fontId="30" fillId="6" borderId="14" applyAlignment="1" pivotButton="0" quotePrefix="0" xfId="0">
      <alignment vertical="center"/>
    </xf>
    <xf numFmtId="0" fontId="30" fillId="6" borderId="14" applyAlignment="1" pivotButton="0" quotePrefix="0" xfId="0">
      <alignment horizontal="center" vertical="center"/>
    </xf>
    <xf numFmtId="0" fontId="24" fillId="8" borderId="0" applyAlignment="1" pivotButton="0" quotePrefix="0" xfId="0">
      <alignment vertical="center"/>
    </xf>
    <xf numFmtId="0" fontId="23" fillId="8" borderId="0" applyAlignment="1" pivotButton="0" quotePrefix="0" xfId="0">
      <alignment vertical="center"/>
    </xf>
    <xf numFmtId="0" fontId="31" fillId="6" borderId="15" applyAlignment="1" pivotButton="0" quotePrefix="0" xfId="0">
      <alignment horizontal="center" vertical="center"/>
    </xf>
    <xf numFmtId="9" fontId="22" fillId="6" borderId="13" applyAlignment="1" pivotButton="0" quotePrefix="0" xfId="0">
      <alignment horizontal="center" vertical="center"/>
    </xf>
    <xf numFmtId="0" fontId="24" fillId="6" borderId="0" applyAlignment="1" pivotButton="0" quotePrefix="0" xfId="0">
      <alignment horizontal="right" vertical="center"/>
    </xf>
    <xf numFmtId="0" fontId="25" fillId="6" borderId="3" applyAlignment="1" pivotButton="0" quotePrefix="0" xfId="0">
      <alignment horizontal="right" vertical="center"/>
    </xf>
    <xf numFmtId="0" fontId="22" fillId="6" borderId="13" applyAlignment="1" pivotButton="0" quotePrefix="0" xfId="0">
      <alignment horizontal="right" vertical="center"/>
    </xf>
    <xf numFmtId="166" fontId="23" fillId="6" borderId="0" applyAlignment="1" pivotButton="0" quotePrefix="0" xfId="0">
      <alignment horizontal="center" vertical="center"/>
    </xf>
    <xf numFmtId="9" fontId="23" fillId="6" borderId="0" applyAlignment="1" pivotButton="0" quotePrefix="0" xfId="0">
      <alignment horizontal="center" vertical="center"/>
    </xf>
    <xf numFmtId="1" fontId="23" fillId="6" borderId="14" applyAlignment="1" pivotButton="0" quotePrefix="0" xfId="0">
      <alignment horizontal="center" vertical="center"/>
    </xf>
    <xf numFmtId="3" fontId="23" fillId="6" borderId="0" applyAlignment="1" pivotButton="0" quotePrefix="0" xfId="0">
      <alignment horizontal="center" vertical="center"/>
    </xf>
    <xf numFmtId="164" fontId="23" fillId="6" borderId="0" applyAlignment="1" pivotButton="0" quotePrefix="0" xfId="0">
      <alignment horizontal="center" vertical="center"/>
    </xf>
    <xf numFmtId="49" fontId="24" fillId="6" borderId="0" applyAlignment="1" pivotButton="0" quotePrefix="0" xfId="0">
      <alignment horizontal="left" vertical="center"/>
    </xf>
  </cellXfs>
  <cellStyles count="1">
    <cellStyle name="Normal" xfId="0" builtinId="0"/>
  </cellStyles>
  <dxfs count="1"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VTT x VTR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macro!$A$3</c:f>
            </c:strRef>
          </c:tx>
          <c:spPr>
            <a:solidFill>
              <a:srgbClr val="1C4587"/>
            </a:solidFill>
            <a:ln cmpd="sng">
              <a:noFill/>
            </a:ln>
          </c:spPr>
          <c:invertIfNegative val="0"/>
          <c:cat>
            <c:strRef>
              <c:f>macro!$B$2:$M$2</c:f>
            </c:strRef>
          </c:cat>
          <c:val>
            <c:numRef>
              <c:f>macro!$B$3:$M$3</c:f>
              <c:numCache/>
            </c:numRef>
          </c:val>
        </c:ser>
        <c:axId val="325528735"/>
        <c:axId val="1480461795"/>
      </c:barChart>
      <c:lineChart>
        <c:varyColors val="0"/>
        <c:ser>
          <c:idx val="1"/>
          <c:order val="1"/>
          <c:tx>
            <c:strRef>
              <c:f>macro!$A$4</c:f>
            </c:strRef>
          </c:tx>
          <c:spPr>
            <a:ln cmpd="sng">
              <a:solidFill>
                <a:srgbClr val="FF9900"/>
              </a:solidFill>
            </a:ln>
          </c:spPr>
          <c:marker>
            <c:symbol val="none"/>
          </c:marker>
          <c:cat>
            <c:strRef>
              <c:f>macro!$B$2:$M$2</c:f>
            </c:strRef>
          </c:cat>
          <c:val>
            <c:numRef>
              <c:f>macro!$B$4:$M$4</c:f>
              <c:numCache/>
            </c:numRef>
          </c:val>
          <c:smooth val="0"/>
        </c:ser>
        <c:axId val="325528735"/>
        <c:axId val="1480461795"/>
      </c:lineChart>
      <c:catAx>
        <c:axId val="325528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80461795"/>
      </c:catAx>
      <c:valAx>
        <c:axId val="14804617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2552873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10.png" Id="rId2"/><Relationship Type="http://schemas.openxmlformats.org/officeDocument/2006/relationships/image" Target="/xl/media/image10.png" Id="rId3"/><Relationship Type="http://schemas.openxmlformats.org/officeDocument/2006/relationships/image" Target="/xl/media/image10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10.png" Id="rId2"/><Relationship Type="http://schemas.openxmlformats.org/officeDocument/2006/relationships/image" Target="/xl/media/image10.png" Id="rId3"/><Relationship Type="http://schemas.openxmlformats.org/officeDocument/2006/relationships/image" Target="/xl/media/image10.png" Id="rId4"/></Relationships>
</file>

<file path=xl/drawings/_rels/drawing3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10.png" Id="rId2"/><Relationship Type="http://schemas.openxmlformats.org/officeDocument/2006/relationships/image" Target="/xl/media/image10.png" Id="rId3"/><Relationship Type="http://schemas.openxmlformats.org/officeDocument/2006/relationships/image" Target="/xl/media/image10.png" Id="rId4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142875</colOff>
      <row>0</row>
      <rowOff>0</rowOff>
    </from>
    <ext cx="1590675" cy="1590675"/>
    <pic>
      <nvPicPr>
        <cNvPr id="0" name="image1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91</row>
      <rowOff>0</rowOff>
    </from>
    <ext cx="200025" cy="20002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146</row>
      <rowOff>0</rowOff>
    </from>
    <ext cx="200025" cy="20002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201</row>
      <rowOff>0</rowOff>
    </from>
    <ext cx="200025" cy="20002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142875</colOff>
      <row>0</row>
      <rowOff>0</rowOff>
    </from>
    <ext cx="1590675" cy="1590675"/>
    <pic>
      <nvPicPr>
        <cNvPr id="0" name="image1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91</row>
      <rowOff>0</rowOff>
    </from>
    <ext cx="200025" cy="20002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146</row>
      <rowOff>0</rowOff>
    </from>
    <ext cx="200025" cy="20002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201</row>
      <rowOff>0</rowOff>
    </from>
    <ext cx="200025" cy="20002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142875</colOff>
      <row>0</row>
      <rowOff>0</rowOff>
    </from>
    <ext cx="1590675" cy="1590675"/>
    <pic>
      <nvPicPr>
        <cNvPr id="0" name="image1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91</row>
      <rowOff>0</rowOff>
    </from>
    <ext cx="200025" cy="20002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146</row>
      <rowOff>0</rowOff>
    </from>
    <ext cx="200025" cy="20002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201</row>
      <rowOff>0</rowOff>
    </from>
    <ext cx="200025" cy="20002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6</row>
      <rowOff>447675</rowOff>
    </from>
    <ext cx="9420225" cy="24574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000000"/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3" customWidth="1" style="98" min="1" max="1"/>
    <col width="24" customWidth="1" style="98" min="2" max="2"/>
    <col width="13" customWidth="1" style="98" min="3" max="3"/>
    <col width="13" customWidth="1" style="98" min="4" max="4"/>
    <col width="13" customWidth="1" style="98" min="5" max="5"/>
    <col width="13" customWidth="1" style="98" min="6" max="6"/>
    <col width="13" customWidth="1" style="98" min="7" max="7"/>
    <col width="3" customWidth="1" style="98" min="8" max="8"/>
  </cols>
  <sheetData>
    <row r="1" ht="22" customHeight="1" s="98">
      <c r="A1" s="99" t="n"/>
      <c r="B1" s="100" t="inlineStr">
        <is>
          <t>FORÇA &amp; INTELIGÊNCIA</t>
        </is>
      </c>
      <c r="C1" s="99" t="n"/>
      <c r="D1" s="99" t="n"/>
      <c r="E1" s="99" t="n"/>
      <c r="F1" s="99" t="n"/>
      <c r="G1" s="99" t="n"/>
      <c r="H1" s="99" t="n"/>
    </row>
    <row r="2" ht="36" customHeight="1" s="98">
      <c r="A2" s="99" t="n"/>
      <c r="B2" s="101">
        <f>'aluno 01'!C2</f>
        <v/>
      </c>
      <c r="C2" s="99" t="n"/>
      <c r="D2" s="99" t="n"/>
      <c r="E2" s="99" t="n"/>
      <c r="F2" s="99" t="n"/>
      <c r="G2" s="99" t="n"/>
      <c r="H2" s="99" t="n"/>
    </row>
    <row r="3" ht="21" customHeight="1" s="98">
      <c r="A3" s="102" t="n"/>
      <c r="B3" s="102" t="n"/>
      <c r="C3" s="102" t="n"/>
      <c r="D3" s="102" t="n"/>
      <c r="E3" s="102" t="n"/>
      <c r="F3" s="102" t="n"/>
      <c r="G3" s="102" t="n"/>
      <c r="H3" s="102" t="n"/>
    </row>
    <row r="4" ht="21" customHeight="1" s="98">
      <c r="A4" s="102" t="n"/>
      <c r="B4" s="103" t="inlineStr">
        <is>
          <t>OBJETIVO</t>
        </is>
      </c>
      <c r="C4" s="102" t="n"/>
      <c r="D4" s="102" t="n"/>
      <c r="E4" s="103" t="inlineStr">
        <is>
          <t>HOJE</t>
        </is>
      </c>
      <c r="F4" s="102" t="n"/>
      <c r="G4" s="102" t="n"/>
      <c r="H4" s="102" t="n"/>
    </row>
    <row r="5" ht="21" customHeight="1" s="98">
      <c r="A5" s="102" t="n"/>
      <c r="B5" s="104">
        <f>'aluno 01'!C3</f>
        <v/>
      </c>
      <c r="C5" s="102" t="n"/>
      <c r="D5" s="102" t="n"/>
      <c r="E5" s="104">
        <f>IF(COUNT(macro!B6:M6)=0,"",IF(TODAY()&lt;macro!B6,"Começa em "&amp;TEXT(macro!B6,"dd/mm"),"Semana "&amp;TEXT(MIN(COUNT(macro!B6:M6),MATCH(TODAY(),macro!B6:M6)),"00")))</f>
        <v/>
      </c>
      <c r="F5" s="102" t="n"/>
      <c r="G5" s="102" t="n"/>
      <c r="H5" s="102" t="n"/>
    </row>
    <row r="6" ht="21" customHeight="1" s="98">
      <c r="A6" s="102" t="n"/>
      <c r="B6" s="102" t="n"/>
      <c r="C6" s="102" t="n"/>
      <c r="D6" s="102" t="n"/>
      <c r="E6" s="102" t="n"/>
      <c r="F6" s="102" t="n"/>
      <c r="G6" s="102" t="n"/>
      <c r="H6" s="102" t="n"/>
    </row>
    <row r="7" ht="21" customHeight="1" s="98">
      <c r="A7" s="102" t="n"/>
      <c r="B7" s="105" t="inlineStr">
        <is>
          <t>BLOCOS</t>
        </is>
      </c>
      <c r="C7" s="102" t="n"/>
      <c r="D7" s="102" t="n"/>
      <c r="E7" s="102" t="n"/>
      <c r="F7" s="102" t="n"/>
      <c r="G7" s="102" t="n"/>
      <c r="H7" s="102" t="n"/>
    </row>
    <row r="8" ht="21" customHeight="1" s="98">
      <c r="A8" s="102" t="n"/>
      <c r="B8" s="106" t="n"/>
      <c r="C8" s="106" t="inlineStr">
        <is>
          <t>INÍCIO</t>
        </is>
      </c>
      <c r="D8" s="106" t="inlineStr">
        <is>
          <t>FIM</t>
        </is>
      </c>
      <c r="E8" s="106" t="n"/>
      <c r="F8" s="102" t="n"/>
      <c r="G8" s="102" t="n"/>
      <c r="H8" s="102" t="n"/>
    </row>
    <row r="9" ht="21" customHeight="1" s="98">
      <c r="A9" s="102" t="n"/>
      <c r="B9" s="107" t="inlineStr">
        <is>
          <t>Bloco 01</t>
        </is>
      </c>
      <c r="C9" s="108">
        <f>macro!B6</f>
        <v/>
      </c>
      <c r="D9" s="108">
        <f>macro!B6+27</f>
        <v/>
      </c>
      <c r="E9" s="109">
        <f>IF(macro!B6="","",IF(TODAY()&lt;macro!B6,"próximo",IF(TODAY()&lt;=macro!B6+27,"em andamento","concluído")))</f>
        <v/>
      </c>
      <c r="F9" s="102" t="n"/>
      <c r="G9" s="102" t="n"/>
      <c r="H9" s="102" t="n"/>
    </row>
    <row r="10" ht="21" customHeight="1" s="98">
      <c r="A10" s="102" t="n"/>
      <c r="B10" s="107" t="inlineStr">
        <is>
          <t>Bloco 02</t>
        </is>
      </c>
      <c r="C10" s="108">
        <f>macro!F6</f>
        <v/>
      </c>
      <c r="D10" s="108">
        <f>macro!F6+27</f>
        <v/>
      </c>
      <c r="E10" s="109">
        <f>IF(macro!F6="","",IF(TODAY()&lt;macro!F6,"próximo",IF(TODAY()&lt;=macro!F6+27,"em andamento","concluído")))</f>
        <v/>
      </c>
      <c r="F10" s="102" t="n"/>
      <c r="G10" s="102" t="n"/>
      <c r="H10" s="102" t="n"/>
    </row>
    <row r="11" ht="21" customHeight="1" s="98">
      <c r="A11" s="102" t="n"/>
      <c r="B11" s="107" t="inlineStr">
        <is>
          <t>Bloco 03</t>
        </is>
      </c>
      <c r="C11" s="108">
        <f>macro!J6</f>
        <v/>
      </c>
      <c r="D11" s="108">
        <f>macro!J6+27</f>
        <v/>
      </c>
      <c r="E11" s="109">
        <f>IF(macro!J6="","",IF(TODAY()&lt;macro!J6,"próximo",IF(TODAY()&lt;=macro!J6+27,"em andamento","concluído")))</f>
        <v/>
      </c>
      <c r="F11" s="102" t="n"/>
      <c r="G11" s="102" t="n"/>
      <c r="H11" s="102" t="n"/>
    </row>
    <row r="12" ht="21" customHeight="1" s="98">
      <c r="A12" s="102" t="n"/>
      <c r="B12" s="102" t="n"/>
      <c r="C12" s="102" t="n"/>
      <c r="D12" s="102" t="n"/>
      <c r="E12" s="102" t="n"/>
      <c r="F12" s="102" t="n"/>
      <c r="G12" s="102" t="n"/>
      <c r="H12" s="102" t="n"/>
    </row>
    <row r="13" ht="21" customHeight="1" s="98">
      <c r="A13" s="102" t="n"/>
      <c r="B13" s="105" t="inlineStr">
        <is>
          <t>1RM ESTIMADO (KG)</t>
        </is>
      </c>
      <c r="C13" s="102" t="n"/>
      <c r="D13" s="102" t="n"/>
      <c r="E13" s="102" t="n"/>
      <c r="F13" s="102" t="n"/>
      <c r="G13" s="102" t="n"/>
      <c r="H13" s="102" t="n"/>
    </row>
    <row r="14" ht="21" customHeight="1" s="98">
      <c r="A14" s="102" t="n"/>
      <c r="B14" s="110" t="n"/>
      <c r="C14" s="106" t="inlineStr">
        <is>
          <t>BLOCO 01</t>
        </is>
      </c>
      <c r="D14" s="106" t="inlineStr">
        <is>
          <t>BLOCO 02</t>
        </is>
      </c>
      <c r="E14" s="106" t="inlineStr">
        <is>
          <t>BLOCO 03</t>
        </is>
      </c>
      <c r="F14" s="102" t="n"/>
      <c r="G14" s="102" t="n"/>
      <c r="H14" s="102" t="n"/>
    </row>
    <row r="15" ht="21" customHeight="1" s="98">
      <c r="A15" s="102" t="n"/>
      <c r="B15" s="107" t="inlineStr">
        <is>
          <t>Agachamento</t>
        </is>
      </c>
      <c r="C15" s="111">
        <f>IF(N(prs!D6)&gt;0,ROUND(prs!D6),"")</f>
        <v/>
      </c>
      <c r="D15" s="111">
        <f>IF(N(prs!D18)&gt;0,ROUND(prs!D18),"")</f>
        <v/>
      </c>
      <c r="E15" s="111">
        <f>IF(N(prs!D30)&gt;0,ROUND(prs!D30),"")</f>
        <v/>
      </c>
      <c r="F15" s="102" t="n"/>
      <c r="G15" s="102" t="n"/>
      <c r="H15" s="102" t="n"/>
    </row>
    <row r="16" ht="21" customHeight="1" s="98">
      <c r="A16" s="102" t="n"/>
      <c r="B16" s="107" t="inlineStr">
        <is>
          <t>Supino</t>
        </is>
      </c>
      <c r="C16" s="111">
        <f>IF(N(prs!D7)&gt;0,ROUND(prs!D7),"")</f>
        <v/>
      </c>
      <c r="D16" s="111">
        <f>IF(N(prs!D19)&gt;0,ROUND(prs!D19),"")</f>
        <v/>
      </c>
      <c r="E16" s="111">
        <f>IF(N(prs!D31)&gt;0,ROUND(prs!D31),"")</f>
        <v/>
      </c>
      <c r="F16" s="102" t="n"/>
      <c r="G16" s="102" t="n"/>
      <c r="H16" s="102" t="n"/>
    </row>
    <row r="17" ht="21" customHeight="1" s="98">
      <c r="A17" s="102" t="n"/>
      <c r="B17" s="107" t="inlineStr">
        <is>
          <t>Terra</t>
        </is>
      </c>
      <c r="C17" s="111">
        <f>IF(N(prs!D8)&gt;0,ROUND(prs!D8),"")</f>
        <v/>
      </c>
      <c r="D17" s="111">
        <f>IF(N(prs!D20)&gt;0,ROUND(prs!D20),"")</f>
        <v/>
      </c>
      <c r="E17" s="111">
        <f>IF(N(prs!D32)&gt;0,ROUND(prs!D32),"")</f>
        <v/>
      </c>
      <c r="F17" s="102" t="n"/>
      <c r="G17" s="102" t="n"/>
      <c r="H17" s="102" t="n"/>
    </row>
    <row r="18" ht="21" customHeight="1" s="98">
      <c r="A18" s="102" t="n"/>
      <c r="B18" s="107" t="inlineStr">
        <is>
          <t>Desenvolvimento</t>
        </is>
      </c>
      <c r="C18" s="111">
        <f>IF(N(prs!D9)&gt;0,ROUND(prs!D9),"")</f>
        <v/>
      </c>
      <c r="D18" s="111">
        <f>IF(N(prs!D21)&gt;0,ROUND(prs!D21),"")</f>
        <v/>
      </c>
      <c r="E18" s="111">
        <f>IF(N(prs!D33)&gt;0,ROUND(prs!D33),"")</f>
        <v/>
      </c>
      <c r="F18" s="102" t="n"/>
      <c r="G18" s="102" t="n"/>
      <c r="H18" s="102" t="n"/>
    </row>
    <row r="19" ht="21" customHeight="1" s="98">
      <c r="A19" s="102" t="n"/>
      <c r="B19" s="107" t="inlineStr">
        <is>
          <t>Remada</t>
        </is>
      </c>
      <c r="C19" s="111">
        <f>IF(N(prs!D10)&gt;0,ROUND(prs!D10),"")</f>
        <v/>
      </c>
      <c r="D19" s="111">
        <f>IF(N(prs!D22)&gt;0,ROUND(prs!D22),"")</f>
        <v/>
      </c>
      <c r="E19" s="111">
        <f>IF(N(prs!D34)&gt;0,ROUND(prs!D34),"")</f>
        <v/>
      </c>
      <c r="F19" s="102" t="n"/>
      <c r="G19" s="102" t="n"/>
      <c r="H19" s="102" t="n"/>
    </row>
    <row r="20" ht="21" customHeight="1" s="98">
      <c r="A20" s="102" t="n"/>
      <c r="B20" s="107" t="inlineStr">
        <is>
          <t>Arranco</t>
        </is>
      </c>
      <c r="C20" s="111">
        <f>IF(N(prs!D11)&gt;0,ROUND(prs!D11),"")</f>
        <v/>
      </c>
      <c r="D20" s="111">
        <f>IF(N(prs!D23)&gt;0,ROUND(prs!D23),"")</f>
        <v/>
      </c>
      <c r="E20" s="111">
        <f>IF(N(prs!D35)&gt;0,ROUND(prs!D35),"")</f>
        <v/>
      </c>
      <c r="F20" s="102" t="n"/>
      <c r="G20" s="102" t="n"/>
      <c r="H20" s="102" t="n"/>
    </row>
    <row r="21" ht="21" customHeight="1" s="98">
      <c r="A21" s="102" t="n"/>
      <c r="B21" s="107" t="inlineStr">
        <is>
          <t>Arremesso</t>
        </is>
      </c>
      <c r="C21" s="111">
        <f>IF(N(prs!D12)&gt;0,ROUND(prs!D12),"")</f>
        <v/>
      </c>
      <c r="D21" s="111">
        <f>IF(N(prs!D24)&gt;0,ROUND(prs!D24),"")</f>
        <v/>
      </c>
      <c r="E21" s="111">
        <f>IF(N(prs!D36)&gt;0,ROUND(prs!D36),"")</f>
        <v/>
      </c>
      <c r="F21" s="102" t="n"/>
      <c r="G21" s="102" t="n"/>
      <c r="H21" s="102" t="n"/>
    </row>
    <row r="22" ht="21" customHeight="1" s="98">
      <c r="A22" s="102" t="n"/>
      <c r="B22" s="102" t="n"/>
      <c r="C22" s="102" t="n"/>
      <c r="D22" s="102" t="n"/>
      <c r="E22" s="102" t="n"/>
      <c r="F22" s="102" t="n"/>
      <c r="G22" s="102" t="n"/>
      <c r="H22" s="102" t="n"/>
    </row>
    <row r="23" ht="21" customHeight="1" s="98">
      <c r="A23" s="102" t="n"/>
      <c r="B23" s="105" t="inlineStr">
        <is>
          <t>KG POR SEMANA</t>
        </is>
      </c>
      <c r="C23" s="102" t="n"/>
      <c r="D23" s="102" t="n"/>
      <c r="E23" s="102" t="n"/>
      <c r="F23" s="102" t="n"/>
      <c r="G23" s="102" t="n"/>
      <c r="H23" s="102" t="n"/>
    </row>
    <row r="24" ht="21" customHeight="1" s="98">
      <c r="A24" s="102" t="n"/>
      <c r="B24" s="102">
        <f>IFERROR(__xludf.DUMMYFUNCTION("SPARKLINE(macro!B3:M3,{""charttype"",""column"";""color"",""black"";""empty"",""zero""})"),"")</f>
        <v/>
      </c>
      <c r="H24" s="102" t="n"/>
    </row>
    <row r="25" ht="21" customHeight="1" s="98">
      <c r="A25" s="102" t="n"/>
      <c r="H25" s="102" t="n"/>
    </row>
    <row r="26" ht="21" customHeight="1" s="98">
      <c r="A26" s="102" t="n"/>
      <c r="H26" s="102" t="n"/>
    </row>
    <row r="27" ht="21" customHeight="1" s="98">
      <c r="A27" s="102" t="n"/>
      <c r="H27" s="102" t="n"/>
    </row>
    <row r="28" ht="21" customHeight="1" s="98">
      <c r="A28" s="102" t="n"/>
      <c r="B28" s="102" t="n"/>
      <c r="C28" s="102" t="n"/>
      <c r="D28" s="102" t="n"/>
      <c r="E28" s="102" t="n"/>
      <c r="F28" s="102" t="n"/>
      <c r="G28" s="102" t="n"/>
      <c r="H28" s="102" t="n"/>
    </row>
    <row r="29" ht="21" customHeight="1" s="98">
      <c r="A29" s="102" t="n"/>
      <c r="B29" s="102" t="n"/>
      <c r="C29" s="102" t="n"/>
      <c r="D29" s="102" t="n"/>
      <c r="E29" s="102" t="n"/>
      <c r="F29" s="102" t="n"/>
      <c r="G29" s="102" t="n"/>
      <c r="H29" s="102" t="n"/>
    </row>
    <row r="30" ht="21" customHeight="1" s="98">
      <c r="A30" s="102" t="n"/>
      <c r="B30" s="102" t="n"/>
      <c r="C30" s="102" t="n"/>
      <c r="D30" s="102" t="n"/>
      <c r="E30" s="102" t="n"/>
      <c r="F30" s="102" t="n"/>
      <c r="G30" s="102" t="n"/>
      <c r="H30" s="102" t="n"/>
    </row>
    <row r="31" ht="21" customHeight="1" s="98">
      <c r="A31" s="102" t="n"/>
      <c r="B31" s="102" t="n"/>
      <c r="C31" s="102" t="n"/>
      <c r="D31" s="102" t="n"/>
      <c r="E31" s="102" t="n"/>
      <c r="F31" s="102" t="n"/>
      <c r="G31" s="102" t="n"/>
      <c r="H31" s="102" t="n"/>
    </row>
    <row r="32" ht="21" customHeight="1" s="98">
      <c r="A32" s="102" t="n"/>
      <c r="B32" s="102" t="n"/>
      <c r="C32" s="102" t="n"/>
      <c r="D32" s="102" t="n"/>
      <c r="E32" s="102" t="n"/>
      <c r="F32" s="102" t="n"/>
      <c r="G32" s="102" t="n"/>
      <c r="H32" s="102" t="n"/>
    </row>
    <row r="33" ht="21" customHeight="1" s="98">
      <c r="A33" s="102" t="n"/>
      <c r="B33" s="102" t="n"/>
      <c r="C33" s="102" t="n"/>
      <c r="D33" s="102" t="n"/>
      <c r="E33" s="102" t="n"/>
      <c r="F33" s="102" t="n"/>
      <c r="G33" s="102" t="n"/>
      <c r="H33" s="102" t="n"/>
    </row>
    <row r="34" ht="21" customHeight="1" s="98">
      <c r="A34" s="102" t="n"/>
      <c r="B34" s="102" t="n"/>
      <c r="C34" s="102" t="n"/>
      <c r="D34" s="102" t="n"/>
      <c r="E34" s="102" t="n"/>
      <c r="F34" s="102" t="n"/>
      <c r="G34" s="102" t="n"/>
      <c r="H34" s="102" t="n"/>
    </row>
    <row r="35" ht="21" customHeight="1" s="98">
      <c r="A35" s="102" t="n"/>
      <c r="B35" s="102" t="n"/>
      <c r="C35" s="102" t="n"/>
      <c r="D35" s="102" t="n"/>
      <c r="E35" s="102" t="n"/>
      <c r="F35" s="102" t="n"/>
      <c r="G35" s="102" t="n"/>
      <c r="H35" s="102" t="n"/>
    </row>
  </sheetData>
  <mergeCells count="1">
    <mergeCell ref="B24:G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A877F"/>
    <outlinePr summaryBelow="0" summaryRight="0"/>
    <pageSetUpPr fitToPage="1"/>
  </sheetPr>
  <dimension ref="A1:G223"/>
  <sheetViews>
    <sheetView showGridLines="0" workbookViewId="0">
      <selection activeCell="A1" sqref="A1"/>
    </sheetView>
  </sheetViews>
  <sheetFormatPr baseColWidth="8" defaultColWidth="12.63" defaultRowHeight="15" customHeight="1"/>
  <cols>
    <col width="25.13" customWidth="1" style="98" min="1" max="1"/>
    <col width="12.63" customWidth="1" style="98" min="2" max="7"/>
  </cols>
  <sheetData>
    <row r="1" ht="30" customHeight="1" s="98">
      <c r="A1" s="8" t="n"/>
      <c r="B1" s="112" t="inlineStr">
        <is>
          <t>PLANILHA DE TREINAMENTO</t>
        </is>
      </c>
    </row>
    <row r="2" ht="21" customHeight="1" s="98">
      <c r="B2" s="113" t="inlineStr">
        <is>
          <t>NOME</t>
        </is>
      </c>
      <c r="C2" s="114" t="n"/>
    </row>
    <row r="3" ht="21" customHeight="1" s="98">
      <c r="B3" s="113" t="inlineStr">
        <is>
          <t>OBJETIVO</t>
        </is>
      </c>
      <c r="C3" s="114" t="n"/>
    </row>
    <row r="4" ht="8" customHeight="1" s="98">
      <c r="A4" s="115" t="n"/>
      <c r="B4" s="115" t="n"/>
      <c r="C4" s="115" t="n"/>
      <c r="D4" s="115" t="n"/>
      <c r="E4" s="115" t="n"/>
      <c r="F4" s="115" t="n"/>
      <c r="G4" s="115" t="n"/>
    </row>
    <row r="5" ht="18" customHeight="1" s="98">
      <c r="A5" s="116" t="n"/>
      <c r="B5" s="116" t="inlineStr">
        <is>
          <t>SEGUNDA</t>
        </is>
      </c>
      <c r="C5" s="116" t="inlineStr">
        <is>
          <t>TERÇA</t>
        </is>
      </c>
      <c r="D5" s="116" t="inlineStr">
        <is>
          <t>QUARTA</t>
        </is>
      </c>
      <c r="E5" s="116" t="inlineStr">
        <is>
          <t>QUINTA</t>
        </is>
      </c>
      <c r="F5" s="116" t="inlineStr">
        <is>
          <t>SEXTA</t>
        </is>
      </c>
      <c r="G5" s="116" t="n"/>
    </row>
    <row r="6" ht="8" customHeight="1" s="98">
      <c r="A6" s="117" t="n"/>
      <c r="B6" s="117" t="n"/>
      <c r="C6" s="117" t="n"/>
      <c r="D6" s="117" t="n"/>
      <c r="E6" s="117" t="n"/>
      <c r="F6" s="117" t="n"/>
      <c r="G6" s="117" t="n"/>
    </row>
    <row r="7" ht="8" customHeight="1" s="98">
      <c r="A7" s="117" t="n"/>
      <c r="B7" s="117" t="n"/>
      <c r="C7" s="117" t="n"/>
      <c r="D7" s="117" t="n"/>
      <c r="E7" s="117" t="n"/>
      <c r="F7" s="117" t="n"/>
      <c r="G7" s="117" t="n"/>
    </row>
    <row r="8" ht="26" customHeight="1" s="98">
      <c r="A8" s="118" t="inlineStr">
        <is>
          <t>OBS</t>
        </is>
      </c>
    </row>
    <row r="9" ht="21" customHeight="1" s="98">
      <c r="A9" s="119" t="n"/>
    </row>
    <row r="10" ht="21" customHeight="1" s="98"/>
    <row r="11" ht="26" customHeight="1" s="98">
      <c r="A11" s="118" t="inlineStr">
        <is>
          <t>AQC</t>
        </is>
      </c>
    </row>
    <row r="12" ht="18" customHeight="1" s="98">
      <c r="A12" s="120" t="n"/>
      <c r="B12" s="120" t="inlineStr">
        <is>
          <t>SETS</t>
        </is>
      </c>
      <c r="C12" s="120" t="inlineStr">
        <is>
          <t>REPS / TEMPO</t>
        </is>
      </c>
      <c r="D12" s="116" t="inlineStr">
        <is>
          <t>KG</t>
        </is>
      </c>
      <c r="E12" s="116" t="inlineStr">
        <is>
          <t>OBS</t>
        </is>
      </c>
    </row>
    <row r="13" ht="21" customHeight="1" s="98">
      <c r="A13" s="121" t="n"/>
      <c r="B13" s="122" t="n"/>
      <c r="C13" s="122" t="n"/>
      <c r="D13" s="122" t="n"/>
      <c r="E13" s="119" t="n"/>
    </row>
    <row r="14" ht="21" customHeight="1" s="98">
      <c r="A14" s="121" t="n"/>
      <c r="B14" s="122" t="n"/>
      <c r="C14" s="122" t="n"/>
      <c r="D14" s="122" t="n"/>
      <c r="E14" s="119" t="n"/>
    </row>
    <row r="15" ht="21" customHeight="1" s="98">
      <c r="A15" s="121" t="n"/>
      <c r="B15" s="122" t="n"/>
      <c r="C15" s="122" t="n"/>
      <c r="D15" s="122" t="n"/>
      <c r="E15" s="119" t="n"/>
    </row>
    <row r="16" ht="16" customHeight="1" s="98">
      <c r="A16" s="123">
        <f>'bloco 01'!C3</f>
        <v/>
      </c>
    </row>
    <row r="17" ht="30" customHeight="1" s="98">
      <c r="A17" s="124" t="inlineStr">
        <is>
          <t>SEMANA 01</t>
        </is>
      </c>
    </row>
    <row r="18" ht="26" customHeight="1" s="98">
      <c r="A18" s="118" t="inlineStr">
        <is>
          <t>TREINO 01</t>
        </is>
      </c>
    </row>
    <row r="19" ht="18" customHeight="1" s="98">
      <c r="A19" s="120" t="n"/>
      <c r="B19" s="120" t="inlineStr">
        <is>
          <t>SETS</t>
        </is>
      </c>
      <c r="C19" s="116" t="inlineStr">
        <is>
          <t>REPS</t>
        </is>
      </c>
      <c r="D19" s="116" t="inlineStr">
        <is>
          <t>KG</t>
        </is>
      </c>
      <c r="E19" s="116" t="inlineStr">
        <is>
          <t>%1RM / PSE</t>
        </is>
      </c>
      <c r="F19" s="116" t="inlineStr">
        <is>
          <t>OBS</t>
        </is>
      </c>
    </row>
    <row r="20" ht="21" customHeight="1" s="98">
      <c r="A20" s="125">
        <f>'bloco 01'!$B$6</f>
        <v/>
      </c>
      <c r="B20" s="126">
        <f>'bloco 01'!C6</f>
        <v/>
      </c>
      <c r="C20" s="126">
        <f>'bloco 01'!D6</f>
        <v/>
      </c>
      <c r="D20" s="126">
        <f>'bloco 01'!E6</f>
        <v/>
      </c>
      <c r="E20" s="127">
        <f>IFERROR(('bloco 01'!F6),"")</f>
        <v/>
      </c>
      <c r="F20" s="128">
        <f>'bloco 01'!G6</f>
        <v/>
      </c>
      <c r="G20" s="129" t="n"/>
    </row>
    <row r="21" ht="21" customHeight="1" s="98">
      <c r="A21" s="125">
        <f>'bloco 01'!$B$7</f>
        <v/>
      </c>
      <c r="B21" s="126">
        <f>'bloco 01'!C7</f>
        <v/>
      </c>
      <c r="C21" s="126">
        <f>'bloco 01'!D7</f>
        <v/>
      </c>
      <c r="D21" s="126">
        <f>'bloco 01'!E7</f>
        <v/>
      </c>
      <c r="E21" s="127">
        <f>IFERROR(('bloco 01'!F7),"")</f>
        <v/>
      </c>
      <c r="F21" s="128">
        <f>'bloco 01'!G7</f>
        <v/>
      </c>
      <c r="G21" s="129" t="n"/>
    </row>
    <row r="22" ht="21" customHeight="1" s="98">
      <c r="A22" s="125">
        <f>'bloco 01'!$B$8</f>
        <v/>
      </c>
      <c r="B22" s="126">
        <f>'bloco 01'!C8</f>
        <v/>
      </c>
      <c r="C22" s="126">
        <f>'bloco 01'!D8</f>
        <v/>
      </c>
      <c r="D22" s="126">
        <f>'bloco 01'!E8</f>
        <v/>
      </c>
      <c r="E22" s="127">
        <f>IFERROR(('bloco 01'!F8),"")</f>
        <v/>
      </c>
      <c r="F22" s="128">
        <f>'bloco 01'!G8</f>
        <v/>
      </c>
      <c r="G22" s="129" t="n"/>
    </row>
    <row r="23" ht="21" customHeight="1" s="98">
      <c r="A23" s="125">
        <f>'bloco 01'!$B$9</f>
        <v/>
      </c>
      <c r="B23" s="126">
        <f>'bloco 01'!C9</f>
        <v/>
      </c>
      <c r="C23" s="126">
        <f>'bloco 01'!D9</f>
        <v/>
      </c>
      <c r="D23" s="126">
        <f>'bloco 01'!E9</f>
        <v/>
      </c>
      <c r="E23" s="127">
        <f>IFERROR(('bloco 01'!F9),"")</f>
        <v/>
      </c>
      <c r="F23" s="128">
        <f>'bloco 01'!G9</f>
        <v/>
      </c>
      <c r="G23" s="129" t="n"/>
    </row>
    <row r="24" ht="21" customHeight="1" s="98">
      <c r="A24" s="125">
        <f>'bloco 01'!$B$10</f>
        <v/>
      </c>
      <c r="B24" s="126">
        <f>'bloco 01'!C10</f>
        <v/>
      </c>
      <c r="C24" s="126">
        <f>'bloco 01'!D10</f>
        <v/>
      </c>
      <c r="D24" s="126">
        <f>'bloco 01'!E10</f>
        <v/>
      </c>
      <c r="E24" s="127">
        <f>IFERROR(('bloco 01'!F10),"")</f>
        <v/>
      </c>
      <c r="F24" s="128">
        <f>'bloco 01'!G10</f>
        <v/>
      </c>
      <c r="G24" s="129" t="n"/>
    </row>
    <row r="25" ht="21" customHeight="1" s="98">
      <c r="A25" s="125">
        <f>'bloco 01'!$B$11</f>
        <v/>
      </c>
      <c r="B25" s="126">
        <f>'bloco 01'!C11</f>
        <v/>
      </c>
      <c r="C25" s="126">
        <f>'bloco 01'!D11</f>
        <v/>
      </c>
      <c r="D25" s="126">
        <f>'bloco 01'!E11</f>
        <v/>
      </c>
      <c r="E25" s="127">
        <f>IFERROR(('bloco 01'!F11),"")</f>
        <v/>
      </c>
      <c r="F25" s="128">
        <f>'bloco 01'!G11</f>
        <v/>
      </c>
      <c r="G25" s="129" t="n"/>
    </row>
    <row r="26" ht="21" customHeight="1" s="98">
      <c r="A26" s="125">
        <f>'bloco 01'!$B$12</f>
        <v/>
      </c>
      <c r="B26" s="126">
        <f>'bloco 01'!C12</f>
        <v/>
      </c>
      <c r="C26" s="126">
        <f>'bloco 01'!D12</f>
        <v/>
      </c>
      <c r="D26" s="126">
        <f>'bloco 01'!E12</f>
        <v/>
      </c>
      <c r="E26" s="127">
        <f>IFERROR(('bloco 01'!F12),"")</f>
        <v/>
      </c>
      <c r="F26" s="128">
        <f>'bloco 01'!G12</f>
        <v/>
      </c>
      <c r="G26" s="129" t="n"/>
    </row>
    <row r="27" ht="21" customHeight="1" s="98">
      <c r="A27" s="125">
        <f>'bloco 01'!$B$13</f>
        <v/>
      </c>
      <c r="B27" s="126">
        <f>'bloco 01'!C13</f>
        <v/>
      </c>
      <c r="C27" s="126">
        <f>'bloco 01'!D13</f>
        <v/>
      </c>
      <c r="D27" s="126">
        <f>'bloco 01'!E13</f>
        <v/>
      </c>
      <c r="E27" s="127">
        <f>IFERROR(('bloco 01'!F13),"")</f>
        <v/>
      </c>
      <c r="F27" s="128">
        <f>'bloco 01'!G13</f>
        <v/>
      </c>
      <c r="G27" s="129" t="n"/>
    </row>
    <row r="28" ht="21" customHeight="1" s="98">
      <c r="A28" s="125">
        <f>'bloco 01'!$B$14</f>
        <v/>
      </c>
      <c r="B28" s="126">
        <f>'bloco 01'!C14</f>
        <v/>
      </c>
      <c r="C28" s="126">
        <f>'bloco 01'!D14</f>
        <v/>
      </c>
      <c r="D28" s="126">
        <f>'bloco 01'!E14</f>
        <v/>
      </c>
      <c r="E28" s="127">
        <f>IFERROR(('bloco 01'!F14),"")</f>
        <v/>
      </c>
      <c r="F28" s="128">
        <f>'bloco 01'!G14</f>
        <v/>
      </c>
      <c r="G28" s="129" t="n"/>
    </row>
    <row r="29" ht="21" customHeight="1" s="98">
      <c r="A29" s="125">
        <f>'bloco 01'!$B$15</f>
        <v/>
      </c>
      <c r="B29" s="126">
        <f>'bloco 01'!C15</f>
        <v/>
      </c>
      <c r="C29" s="126">
        <f>'bloco 01'!D15</f>
        <v/>
      </c>
      <c r="D29" s="126">
        <f>'bloco 01'!E15</f>
        <v/>
      </c>
      <c r="E29" s="127">
        <f>IFERROR(('bloco 01'!F15),"")</f>
        <v/>
      </c>
      <c r="F29" s="128">
        <f>'bloco 01'!G15</f>
        <v/>
      </c>
      <c r="G29" s="129" t="n"/>
    </row>
    <row r="30" ht="26" customHeight="1" s="98">
      <c r="A30" s="118" t="inlineStr">
        <is>
          <t>TREINO 02</t>
        </is>
      </c>
    </row>
    <row r="31" ht="18" customHeight="1" s="98">
      <c r="A31" s="120" t="n"/>
      <c r="B31" s="120" t="inlineStr">
        <is>
          <t>SETS</t>
        </is>
      </c>
      <c r="C31" s="116" t="inlineStr">
        <is>
          <t>REPS</t>
        </is>
      </c>
      <c r="D31" s="116" t="inlineStr">
        <is>
          <t>KG</t>
        </is>
      </c>
      <c r="E31" s="116" t="inlineStr">
        <is>
          <t>%1RM / PSE</t>
        </is>
      </c>
      <c r="F31" s="116" t="inlineStr">
        <is>
          <t>OBS</t>
        </is>
      </c>
    </row>
    <row r="32" ht="21" customHeight="1" s="98">
      <c r="A32" s="125">
        <f>'bloco 01'!$B$21</f>
        <v/>
      </c>
      <c r="B32" s="126">
        <f>'bloco 01'!C21</f>
        <v/>
      </c>
      <c r="C32" s="126">
        <f>'bloco 01'!D21</f>
        <v/>
      </c>
      <c r="D32" s="126">
        <f>'bloco 01'!E21</f>
        <v/>
      </c>
      <c r="E32" s="127">
        <f>IFERROR(('bloco 01'!F21),"")</f>
        <v/>
      </c>
      <c r="F32" s="128">
        <f>'bloco 01'!G21</f>
        <v/>
      </c>
      <c r="G32" s="129" t="n"/>
    </row>
    <row r="33" ht="21" customHeight="1" s="98">
      <c r="A33" s="125">
        <f>'bloco 01'!$B$22</f>
        <v/>
      </c>
      <c r="B33" s="126">
        <f>'bloco 01'!C22</f>
        <v/>
      </c>
      <c r="C33" s="126">
        <f>'bloco 01'!D22</f>
        <v/>
      </c>
      <c r="D33" s="126">
        <f>'bloco 01'!E22</f>
        <v/>
      </c>
      <c r="E33" s="127">
        <f>IFERROR(('bloco 01'!F22),"")</f>
        <v/>
      </c>
      <c r="F33" s="128">
        <f>'bloco 01'!G22</f>
        <v/>
      </c>
      <c r="G33" s="129" t="n"/>
    </row>
    <row r="34" ht="21" customHeight="1" s="98">
      <c r="A34" s="125">
        <f>'bloco 01'!$B$23</f>
        <v/>
      </c>
      <c r="B34" s="126">
        <f>'bloco 01'!C23</f>
        <v/>
      </c>
      <c r="C34" s="126">
        <f>'bloco 01'!D23</f>
        <v/>
      </c>
      <c r="D34" s="126">
        <f>'bloco 01'!E23</f>
        <v/>
      </c>
      <c r="E34" s="127">
        <f>IFERROR(('bloco 01'!F23),"")</f>
        <v/>
      </c>
      <c r="F34" s="128">
        <f>'bloco 01'!G23</f>
        <v/>
      </c>
      <c r="G34" s="129" t="n"/>
    </row>
    <row r="35" ht="21" customHeight="1" s="98">
      <c r="A35" s="125">
        <f>'bloco 01'!$B$24</f>
        <v/>
      </c>
      <c r="B35" s="126">
        <f>'bloco 01'!C24</f>
        <v/>
      </c>
      <c r="C35" s="126">
        <f>'bloco 01'!D24</f>
        <v/>
      </c>
      <c r="D35" s="126">
        <f>'bloco 01'!E24</f>
        <v/>
      </c>
      <c r="E35" s="127">
        <f>IFERROR(('bloco 01'!F24),"")</f>
        <v/>
      </c>
      <c r="F35" s="128">
        <f>'bloco 01'!G24</f>
        <v/>
      </c>
      <c r="G35" s="129" t="n"/>
    </row>
    <row r="36" ht="21" customHeight="1" s="98">
      <c r="A36" s="125">
        <f>'bloco 01'!$B$25</f>
        <v/>
      </c>
      <c r="B36" s="126">
        <f>'bloco 01'!C25</f>
        <v/>
      </c>
      <c r="C36" s="126">
        <f>'bloco 01'!D25</f>
        <v/>
      </c>
      <c r="D36" s="126">
        <f>'bloco 01'!E25</f>
        <v/>
      </c>
      <c r="E36" s="127">
        <f>IFERROR(('bloco 01'!F25),"")</f>
        <v/>
      </c>
      <c r="F36" s="128">
        <f>'bloco 01'!G25</f>
        <v/>
      </c>
      <c r="G36" s="129" t="n"/>
    </row>
    <row r="37" ht="21" customHeight="1" s="98">
      <c r="A37" s="125">
        <f>'bloco 01'!$B$26</f>
        <v/>
      </c>
      <c r="B37" s="126">
        <f>'bloco 01'!C26</f>
        <v/>
      </c>
      <c r="C37" s="126">
        <f>'bloco 01'!D26</f>
        <v/>
      </c>
      <c r="D37" s="126">
        <f>'bloco 01'!E26</f>
        <v/>
      </c>
      <c r="E37" s="127">
        <f>IFERROR(('bloco 01'!F26),"")</f>
        <v/>
      </c>
      <c r="F37" s="128">
        <f>'bloco 01'!G26</f>
        <v/>
      </c>
      <c r="G37" s="129" t="n"/>
    </row>
    <row r="38" ht="21" customHeight="1" s="98">
      <c r="A38" s="125">
        <f>'bloco 01'!$B$27</f>
        <v/>
      </c>
      <c r="B38" s="126">
        <f>'bloco 01'!C27</f>
        <v/>
      </c>
      <c r="C38" s="126">
        <f>'bloco 01'!D27</f>
        <v/>
      </c>
      <c r="D38" s="126">
        <f>'bloco 01'!E27</f>
        <v/>
      </c>
      <c r="E38" s="127">
        <f>IFERROR(('bloco 01'!F27),"")</f>
        <v/>
      </c>
      <c r="F38" s="128">
        <f>'bloco 01'!G27</f>
        <v/>
      </c>
      <c r="G38" s="129" t="n"/>
    </row>
    <row r="39" ht="21" customHeight="1" s="98">
      <c r="A39" s="125">
        <f>'bloco 01'!$B$28</f>
        <v/>
      </c>
      <c r="B39" s="126">
        <f>'bloco 01'!C28</f>
        <v/>
      </c>
      <c r="C39" s="126">
        <f>'bloco 01'!D28</f>
        <v/>
      </c>
      <c r="D39" s="126">
        <f>'bloco 01'!E28</f>
        <v/>
      </c>
      <c r="E39" s="127">
        <f>IFERROR(('bloco 01'!F28),"")</f>
        <v/>
      </c>
      <c r="F39" s="128">
        <f>'bloco 01'!G28</f>
        <v/>
      </c>
      <c r="G39" s="129" t="n"/>
    </row>
    <row r="40" ht="21" customHeight="1" s="98">
      <c r="A40" s="125">
        <f>'bloco 01'!$B$29</f>
        <v/>
      </c>
      <c r="B40" s="126">
        <f>'bloco 01'!C29</f>
        <v/>
      </c>
      <c r="C40" s="126">
        <f>'bloco 01'!D29</f>
        <v/>
      </c>
      <c r="D40" s="126">
        <f>'bloco 01'!E29</f>
        <v/>
      </c>
      <c r="E40" s="127">
        <f>IFERROR(('bloco 01'!F29),"")</f>
        <v/>
      </c>
      <c r="F40" s="128">
        <f>'bloco 01'!G29</f>
        <v/>
      </c>
      <c r="G40" s="129" t="n"/>
    </row>
    <row r="41" ht="21" customHeight="1" s="98">
      <c r="A41" s="125">
        <f>'bloco 01'!$B$30</f>
        <v/>
      </c>
      <c r="B41" s="126">
        <f>'bloco 01'!C30</f>
        <v/>
      </c>
      <c r="C41" s="126">
        <f>'bloco 01'!D30</f>
        <v/>
      </c>
      <c r="D41" s="126">
        <f>'bloco 01'!E30</f>
        <v/>
      </c>
      <c r="E41" s="127">
        <f>IFERROR(('bloco 01'!F30),"")</f>
        <v/>
      </c>
      <c r="F41" s="128">
        <f>'bloco 01'!G30</f>
        <v/>
      </c>
      <c r="G41" s="129" t="n"/>
    </row>
    <row r="42" ht="26" customHeight="1" s="98">
      <c r="A42" s="118" t="inlineStr">
        <is>
          <t>TREINO 03</t>
        </is>
      </c>
    </row>
    <row r="43" ht="18" customHeight="1" s="98">
      <c r="A43" s="120" t="n"/>
      <c r="B43" s="120" t="inlineStr">
        <is>
          <t>SETS</t>
        </is>
      </c>
      <c r="C43" s="116" t="inlineStr">
        <is>
          <t>REPS</t>
        </is>
      </c>
      <c r="D43" s="116" t="inlineStr">
        <is>
          <t>KG</t>
        </is>
      </c>
      <c r="E43" s="116" t="inlineStr">
        <is>
          <t>%1RM / PSE</t>
        </is>
      </c>
      <c r="F43" s="116" t="inlineStr">
        <is>
          <t>OBS</t>
        </is>
      </c>
    </row>
    <row r="44" ht="21" customHeight="1" s="98">
      <c r="A44" s="125">
        <f>'bloco 01'!$B$36</f>
        <v/>
      </c>
      <c r="B44" s="126">
        <f>'bloco 01'!C36</f>
        <v/>
      </c>
      <c r="C44" s="126">
        <f>'bloco 01'!D36</f>
        <v/>
      </c>
      <c r="D44" s="126">
        <f>'bloco 01'!E36</f>
        <v/>
      </c>
      <c r="E44" s="127">
        <f>IFERROR(('bloco 01'!F36),"")</f>
        <v/>
      </c>
      <c r="F44" s="128">
        <f>'bloco 01'!G36</f>
        <v/>
      </c>
      <c r="G44" s="129" t="n"/>
    </row>
    <row r="45" ht="21" customHeight="1" s="98">
      <c r="A45" s="125">
        <f>'bloco 01'!$B$37</f>
        <v/>
      </c>
      <c r="B45" s="126">
        <f>'bloco 01'!C37</f>
        <v/>
      </c>
      <c r="C45" s="126">
        <f>'bloco 01'!D37</f>
        <v/>
      </c>
      <c r="D45" s="126">
        <f>'bloco 01'!E37</f>
        <v/>
      </c>
      <c r="E45" s="127">
        <f>IFERROR(('bloco 01'!F37),"")</f>
        <v/>
      </c>
      <c r="F45" s="128">
        <f>'bloco 01'!G37</f>
        <v/>
      </c>
      <c r="G45" s="129" t="n"/>
    </row>
    <row r="46" ht="21" customHeight="1" s="98">
      <c r="A46" s="125">
        <f>'bloco 01'!$B$38</f>
        <v/>
      </c>
      <c r="B46" s="126">
        <f>'bloco 01'!C38</f>
        <v/>
      </c>
      <c r="C46" s="126">
        <f>'bloco 01'!D38</f>
        <v/>
      </c>
      <c r="D46" s="126">
        <f>'bloco 01'!E38</f>
        <v/>
      </c>
      <c r="E46" s="127">
        <f>IFERROR(('bloco 01'!F38),"")</f>
        <v/>
      </c>
      <c r="F46" s="128">
        <f>'bloco 01'!G38</f>
        <v/>
      </c>
      <c r="G46" s="129" t="n"/>
    </row>
    <row r="47" ht="21" customHeight="1" s="98">
      <c r="A47" s="125">
        <f>'bloco 01'!$B$39</f>
        <v/>
      </c>
      <c r="B47" s="126">
        <f>'bloco 01'!C39</f>
        <v/>
      </c>
      <c r="C47" s="126">
        <f>'bloco 01'!D39</f>
        <v/>
      </c>
      <c r="D47" s="126">
        <f>'bloco 01'!E39</f>
        <v/>
      </c>
      <c r="E47" s="127">
        <f>IFERROR(('bloco 01'!F39),"")</f>
        <v/>
      </c>
      <c r="F47" s="128">
        <f>'bloco 01'!G39</f>
        <v/>
      </c>
      <c r="G47" s="129" t="n"/>
    </row>
    <row r="48" ht="21" customHeight="1" s="98">
      <c r="A48" s="125">
        <f>'bloco 01'!$B$40</f>
        <v/>
      </c>
      <c r="B48" s="126">
        <f>'bloco 01'!C40</f>
        <v/>
      </c>
      <c r="C48" s="126">
        <f>'bloco 01'!D40</f>
        <v/>
      </c>
      <c r="D48" s="126">
        <f>'bloco 01'!E40</f>
        <v/>
      </c>
      <c r="E48" s="127">
        <f>IFERROR(('bloco 01'!F40),"")</f>
        <v/>
      </c>
      <c r="F48" s="128">
        <f>'bloco 01'!G40</f>
        <v/>
      </c>
      <c r="G48" s="129" t="n"/>
    </row>
    <row r="49" ht="21" customHeight="1" s="98">
      <c r="A49" s="125">
        <f>'bloco 01'!$B$41</f>
        <v/>
      </c>
      <c r="B49" s="126">
        <f>'bloco 01'!C41</f>
        <v/>
      </c>
      <c r="C49" s="126">
        <f>'bloco 01'!D41</f>
        <v/>
      </c>
      <c r="D49" s="126">
        <f>'bloco 01'!E41</f>
        <v/>
      </c>
      <c r="E49" s="127">
        <f>IFERROR(('bloco 01'!F41),"")</f>
        <v/>
      </c>
      <c r="F49" s="128">
        <f>'bloco 01'!G41</f>
        <v/>
      </c>
      <c r="G49" s="129" t="n"/>
    </row>
    <row r="50" ht="21" customHeight="1" s="98">
      <c r="A50" s="125">
        <f>'bloco 01'!$B$42</f>
        <v/>
      </c>
      <c r="B50" s="126">
        <f>'bloco 01'!C42</f>
        <v/>
      </c>
      <c r="C50" s="126">
        <f>'bloco 01'!D42</f>
        <v/>
      </c>
      <c r="D50" s="126">
        <f>'bloco 01'!E42</f>
        <v/>
      </c>
      <c r="E50" s="127">
        <f>IFERROR(('bloco 01'!F42),"")</f>
        <v/>
      </c>
      <c r="F50" s="128">
        <f>'bloco 01'!G42</f>
        <v/>
      </c>
      <c r="G50" s="129" t="n"/>
    </row>
    <row r="51" ht="21" customHeight="1" s="98">
      <c r="A51" s="125">
        <f>'bloco 01'!$B$43</f>
        <v/>
      </c>
      <c r="B51" s="126">
        <f>'bloco 01'!C43</f>
        <v/>
      </c>
      <c r="C51" s="126">
        <f>'bloco 01'!D43</f>
        <v/>
      </c>
      <c r="D51" s="126">
        <f>'bloco 01'!E43</f>
        <v/>
      </c>
      <c r="E51" s="127">
        <f>IFERROR(('bloco 01'!F43),"")</f>
        <v/>
      </c>
      <c r="F51" s="128">
        <f>'bloco 01'!G43</f>
        <v/>
      </c>
      <c r="G51" s="129" t="n"/>
    </row>
    <row r="52" ht="21" customHeight="1" s="98">
      <c r="A52" s="125">
        <f>'bloco 01'!$B$44</f>
        <v/>
      </c>
      <c r="B52" s="126">
        <f>'bloco 01'!C44</f>
        <v/>
      </c>
      <c r="C52" s="126">
        <f>'bloco 01'!D44</f>
        <v/>
      </c>
      <c r="D52" s="126">
        <f>'bloco 01'!E44</f>
        <v/>
      </c>
      <c r="E52" s="127">
        <f>IFERROR(('bloco 01'!F44),"")</f>
        <v/>
      </c>
      <c r="F52" s="128">
        <f>'bloco 01'!G44</f>
        <v/>
      </c>
      <c r="G52" s="129" t="n"/>
    </row>
    <row r="53" ht="21" customHeight="1" s="98">
      <c r="A53" s="125">
        <f>'bloco 01'!$B$45</f>
        <v/>
      </c>
      <c r="B53" s="126">
        <f>'bloco 01'!C45</f>
        <v/>
      </c>
      <c r="C53" s="126">
        <f>'bloco 01'!D45</f>
        <v/>
      </c>
      <c r="D53" s="126">
        <f>'bloco 01'!E45</f>
        <v/>
      </c>
      <c r="E53" s="127">
        <f>IFERROR(('bloco 01'!F45),"")</f>
        <v/>
      </c>
      <c r="F53" s="128">
        <f>'bloco 01'!G45</f>
        <v/>
      </c>
      <c r="G53" s="129" t="n"/>
    </row>
    <row r="54" ht="16" customHeight="1" s="98">
      <c r="A54" s="123">
        <f>'bloco 01'!J3</f>
        <v/>
      </c>
    </row>
    <row r="55" ht="30" customHeight="1" s="98">
      <c r="A55" s="124" t="inlineStr">
        <is>
          <t>SEMANA 02</t>
        </is>
      </c>
    </row>
    <row r="56" ht="26" customHeight="1" s="98">
      <c r="A56" s="118" t="inlineStr">
        <is>
          <t>TREINO 01</t>
        </is>
      </c>
    </row>
    <row r="57" ht="18" customHeight="1" s="98">
      <c r="A57" s="120" t="n"/>
      <c r="B57" s="120" t="inlineStr">
        <is>
          <t>SETS</t>
        </is>
      </c>
      <c r="C57" s="116" t="inlineStr">
        <is>
          <t>REPS</t>
        </is>
      </c>
      <c r="D57" s="116" t="inlineStr">
        <is>
          <t>KG</t>
        </is>
      </c>
      <c r="E57" s="116" t="inlineStr">
        <is>
          <t>%1RM / PSE</t>
        </is>
      </c>
      <c r="F57" s="116" t="inlineStr">
        <is>
          <t>OBS</t>
        </is>
      </c>
    </row>
    <row r="58" ht="21" customHeight="1" s="98">
      <c r="A58" s="125">
        <f>'bloco 01'!$I$6</f>
        <v/>
      </c>
      <c r="B58" s="126">
        <f>'bloco 01'!J6</f>
        <v/>
      </c>
      <c r="C58" s="126">
        <f>'bloco 01'!K6</f>
        <v/>
      </c>
      <c r="D58" s="126">
        <f>'bloco 01'!L6</f>
        <v/>
      </c>
      <c r="E58" s="127">
        <f>IFERROR(('bloco 01'!M6),"")</f>
        <v/>
      </c>
      <c r="F58" s="128">
        <f>'bloco 01'!N6</f>
        <v/>
      </c>
      <c r="G58" s="129" t="n"/>
    </row>
    <row r="59" ht="21" customHeight="1" s="98">
      <c r="A59" s="125">
        <f>'bloco 01'!$I$7</f>
        <v/>
      </c>
      <c r="B59" s="126">
        <f>'bloco 01'!J7</f>
        <v/>
      </c>
      <c r="C59" s="126">
        <f>'bloco 01'!K7</f>
        <v/>
      </c>
      <c r="D59" s="126">
        <f>'bloco 01'!L7</f>
        <v/>
      </c>
      <c r="E59" s="127">
        <f>IFERROR(('bloco 01'!M7),"")</f>
        <v/>
      </c>
      <c r="F59" s="128">
        <f>'bloco 01'!N7</f>
        <v/>
      </c>
      <c r="G59" s="129" t="n"/>
    </row>
    <row r="60" ht="21" customHeight="1" s="98">
      <c r="A60" s="125">
        <f>'bloco 01'!$I$8</f>
        <v/>
      </c>
      <c r="B60" s="126">
        <f>'bloco 01'!J8</f>
        <v/>
      </c>
      <c r="C60" s="126">
        <f>'bloco 01'!K8</f>
        <v/>
      </c>
      <c r="D60" s="126">
        <f>'bloco 01'!L8</f>
        <v/>
      </c>
      <c r="E60" s="127">
        <f>IFERROR(('bloco 01'!M8),"")</f>
        <v/>
      </c>
      <c r="F60" s="128">
        <f>'bloco 01'!N8</f>
        <v/>
      </c>
      <c r="G60" s="129" t="n"/>
    </row>
    <row r="61" ht="21" customHeight="1" s="98">
      <c r="A61" s="125">
        <f>'bloco 01'!$I$9</f>
        <v/>
      </c>
      <c r="B61" s="126">
        <f>'bloco 01'!J9</f>
        <v/>
      </c>
      <c r="C61" s="126">
        <f>'bloco 01'!K9</f>
        <v/>
      </c>
      <c r="D61" s="126">
        <f>'bloco 01'!L9</f>
        <v/>
      </c>
      <c r="E61" s="127">
        <f>IFERROR(('bloco 01'!M9),"")</f>
        <v/>
      </c>
      <c r="F61" s="128">
        <f>'bloco 01'!N9</f>
        <v/>
      </c>
      <c r="G61" s="129" t="n"/>
    </row>
    <row r="62" ht="21" customHeight="1" s="98">
      <c r="A62" s="125">
        <f>'bloco 01'!$I$10</f>
        <v/>
      </c>
      <c r="B62" s="126">
        <f>'bloco 01'!J10</f>
        <v/>
      </c>
      <c r="C62" s="126">
        <f>'bloco 01'!K10</f>
        <v/>
      </c>
      <c r="D62" s="126">
        <f>'bloco 01'!L10</f>
        <v/>
      </c>
      <c r="E62" s="127">
        <f>IFERROR(('bloco 01'!M10),"")</f>
        <v/>
      </c>
      <c r="F62" s="128">
        <f>'bloco 01'!N10</f>
        <v/>
      </c>
      <c r="G62" s="129" t="n"/>
    </row>
    <row r="63" ht="21" customHeight="1" s="98">
      <c r="A63" s="125">
        <f>'bloco 01'!$I$11</f>
        <v/>
      </c>
      <c r="B63" s="126">
        <f>'bloco 01'!J11</f>
        <v/>
      </c>
      <c r="C63" s="126">
        <f>'bloco 01'!K11</f>
        <v/>
      </c>
      <c r="D63" s="126">
        <f>'bloco 01'!L11</f>
        <v/>
      </c>
      <c r="E63" s="127">
        <f>IFERROR(('bloco 01'!M11),"")</f>
        <v/>
      </c>
      <c r="F63" s="128">
        <f>'bloco 01'!N11</f>
        <v/>
      </c>
      <c r="G63" s="129" t="n"/>
    </row>
    <row r="64" ht="21" customHeight="1" s="98">
      <c r="A64" s="125">
        <f>'bloco 01'!$I$12</f>
        <v/>
      </c>
      <c r="B64" s="126">
        <f>'bloco 01'!J12</f>
        <v/>
      </c>
      <c r="C64" s="126">
        <f>'bloco 01'!K12</f>
        <v/>
      </c>
      <c r="D64" s="126">
        <f>'bloco 01'!L12</f>
        <v/>
      </c>
      <c r="E64" s="127">
        <f>IFERROR(('bloco 01'!M12),"")</f>
        <v/>
      </c>
      <c r="F64" s="128">
        <f>'bloco 01'!N12</f>
        <v/>
      </c>
      <c r="G64" s="129" t="n"/>
    </row>
    <row r="65" ht="21" customHeight="1" s="98">
      <c r="A65" s="125">
        <f>'bloco 01'!$I$13</f>
        <v/>
      </c>
      <c r="B65" s="126">
        <f>'bloco 01'!J13</f>
        <v/>
      </c>
      <c r="C65" s="126">
        <f>'bloco 01'!K13</f>
        <v/>
      </c>
      <c r="D65" s="126">
        <f>'bloco 01'!L13</f>
        <v/>
      </c>
      <c r="E65" s="127">
        <f>IFERROR(('bloco 01'!M13),"")</f>
        <v/>
      </c>
      <c r="F65" s="128">
        <f>'bloco 01'!N13</f>
        <v/>
      </c>
      <c r="G65" s="129" t="n"/>
    </row>
    <row r="66" ht="21" customHeight="1" s="98">
      <c r="A66" s="125">
        <f>'bloco 01'!$I$14</f>
        <v/>
      </c>
      <c r="B66" s="126">
        <f>'bloco 01'!J14</f>
        <v/>
      </c>
      <c r="C66" s="126">
        <f>'bloco 01'!K14</f>
        <v/>
      </c>
      <c r="D66" s="126">
        <f>'bloco 01'!L14</f>
        <v/>
      </c>
      <c r="E66" s="127">
        <f>IFERROR(('bloco 01'!M14),"")</f>
        <v/>
      </c>
      <c r="F66" s="128">
        <f>'bloco 01'!N14</f>
        <v/>
      </c>
      <c r="G66" s="129" t="n"/>
    </row>
    <row r="67" ht="21" customHeight="1" s="98">
      <c r="A67" s="125">
        <f>'bloco 01'!$I$15</f>
        <v/>
      </c>
      <c r="B67" s="126">
        <f>'bloco 01'!J15</f>
        <v/>
      </c>
      <c r="C67" s="126">
        <f>'bloco 01'!K15</f>
        <v/>
      </c>
      <c r="D67" s="126">
        <f>'bloco 01'!L15</f>
        <v/>
      </c>
      <c r="E67" s="127">
        <f>IFERROR(('bloco 01'!M15),"")</f>
        <v/>
      </c>
      <c r="F67" s="128">
        <f>'bloco 01'!N15</f>
        <v/>
      </c>
      <c r="G67" s="129" t="n"/>
    </row>
    <row r="68" ht="26" customHeight="1" s="98">
      <c r="A68" s="118" t="inlineStr">
        <is>
          <t>TREINO 02</t>
        </is>
      </c>
    </row>
    <row r="69" ht="18" customHeight="1" s="98">
      <c r="A69" s="120" t="n"/>
      <c r="B69" s="120" t="inlineStr">
        <is>
          <t>SETS</t>
        </is>
      </c>
      <c r="C69" s="116" t="inlineStr">
        <is>
          <t>REPS</t>
        </is>
      </c>
      <c r="D69" s="116" t="inlineStr">
        <is>
          <t>KG</t>
        </is>
      </c>
      <c r="E69" s="116" t="inlineStr">
        <is>
          <t>%1RM / PSE</t>
        </is>
      </c>
      <c r="F69" s="116" t="inlineStr">
        <is>
          <t>OBS</t>
        </is>
      </c>
    </row>
    <row r="70" ht="21" customHeight="1" s="98">
      <c r="A70" s="125">
        <f>'bloco 01'!$I$21</f>
        <v/>
      </c>
      <c r="B70" s="126">
        <f>'bloco 01'!J21</f>
        <v/>
      </c>
      <c r="C70" s="126">
        <f>'bloco 01'!K21</f>
        <v/>
      </c>
      <c r="D70" s="126">
        <f>'bloco 01'!L21</f>
        <v/>
      </c>
      <c r="E70" s="127">
        <f>IFERROR(('bloco 01'!M21),"")</f>
        <v/>
      </c>
      <c r="F70" s="128">
        <f>'bloco 01'!N21</f>
        <v/>
      </c>
      <c r="G70" s="129" t="n"/>
    </row>
    <row r="71" ht="21" customHeight="1" s="98">
      <c r="A71" s="125">
        <f>'bloco 01'!$I$22</f>
        <v/>
      </c>
      <c r="B71" s="126">
        <f>'bloco 01'!J22</f>
        <v/>
      </c>
      <c r="C71" s="126">
        <f>'bloco 01'!K22</f>
        <v/>
      </c>
      <c r="D71" s="126">
        <f>'bloco 01'!L22</f>
        <v/>
      </c>
      <c r="E71" s="127">
        <f>IFERROR(('bloco 01'!M22),"")</f>
        <v/>
      </c>
      <c r="F71" s="128">
        <f>'bloco 01'!N22</f>
        <v/>
      </c>
      <c r="G71" s="129" t="n"/>
    </row>
    <row r="72" ht="21" customHeight="1" s="98">
      <c r="A72" s="125">
        <f>'bloco 01'!$I$23</f>
        <v/>
      </c>
      <c r="B72" s="126">
        <f>'bloco 01'!J23</f>
        <v/>
      </c>
      <c r="C72" s="126">
        <f>'bloco 01'!K23</f>
        <v/>
      </c>
      <c r="D72" s="126">
        <f>'bloco 01'!L23</f>
        <v/>
      </c>
      <c r="E72" s="127">
        <f>IFERROR(('bloco 01'!M23),"")</f>
        <v/>
      </c>
      <c r="F72" s="128">
        <f>'bloco 01'!N23</f>
        <v/>
      </c>
      <c r="G72" s="129" t="n"/>
    </row>
    <row r="73" ht="21" customHeight="1" s="98">
      <c r="A73" s="125">
        <f>'bloco 01'!$I$24</f>
        <v/>
      </c>
      <c r="B73" s="126">
        <f>'bloco 01'!J24</f>
        <v/>
      </c>
      <c r="C73" s="126">
        <f>'bloco 01'!K24</f>
        <v/>
      </c>
      <c r="D73" s="126">
        <f>'bloco 01'!L24</f>
        <v/>
      </c>
      <c r="E73" s="127">
        <f>IFERROR(('bloco 01'!M24),"")</f>
        <v/>
      </c>
      <c r="F73" s="128">
        <f>'bloco 01'!N24</f>
        <v/>
      </c>
      <c r="G73" s="129" t="n"/>
    </row>
    <row r="74" ht="21" customHeight="1" s="98">
      <c r="A74" s="125">
        <f>'bloco 01'!$I$25</f>
        <v/>
      </c>
      <c r="B74" s="126">
        <f>'bloco 01'!J25</f>
        <v/>
      </c>
      <c r="C74" s="126">
        <f>'bloco 01'!K25</f>
        <v/>
      </c>
      <c r="D74" s="126">
        <f>'bloco 01'!L25</f>
        <v/>
      </c>
      <c r="E74" s="127">
        <f>IFERROR(('bloco 01'!M25),"")</f>
        <v/>
      </c>
      <c r="F74" s="128">
        <f>'bloco 01'!N25</f>
        <v/>
      </c>
      <c r="G74" s="129" t="n"/>
    </row>
    <row r="75" ht="21" customHeight="1" s="98">
      <c r="A75" s="125">
        <f>'bloco 01'!$I$26</f>
        <v/>
      </c>
      <c r="B75" s="126">
        <f>'bloco 01'!J26</f>
        <v/>
      </c>
      <c r="C75" s="126">
        <f>'bloco 01'!K26</f>
        <v/>
      </c>
      <c r="D75" s="126">
        <f>'bloco 01'!L26</f>
        <v/>
      </c>
      <c r="E75" s="127">
        <f>IFERROR(('bloco 01'!M26),"")</f>
        <v/>
      </c>
      <c r="F75" s="128">
        <f>'bloco 01'!N26</f>
        <v/>
      </c>
      <c r="G75" s="129" t="n"/>
    </row>
    <row r="76" ht="21" customHeight="1" s="98">
      <c r="A76" s="125">
        <f>'bloco 01'!$I$27</f>
        <v/>
      </c>
      <c r="B76" s="126">
        <f>'bloco 01'!J27</f>
        <v/>
      </c>
      <c r="C76" s="126">
        <f>'bloco 01'!K27</f>
        <v/>
      </c>
      <c r="D76" s="126">
        <f>'bloco 01'!L27</f>
        <v/>
      </c>
      <c r="E76" s="127">
        <f>IFERROR(('bloco 01'!M27),"")</f>
        <v/>
      </c>
      <c r="F76" s="128">
        <f>'bloco 01'!N27</f>
        <v/>
      </c>
      <c r="G76" s="129" t="n"/>
    </row>
    <row r="77" ht="21" customHeight="1" s="98">
      <c r="A77" s="125">
        <f>'bloco 01'!$I$28</f>
        <v/>
      </c>
      <c r="B77" s="126">
        <f>'bloco 01'!J28</f>
        <v/>
      </c>
      <c r="C77" s="126">
        <f>'bloco 01'!K28</f>
        <v/>
      </c>
      <c r="D77" s="126">
        <f>'bloco 01'!L28</f>
        <v/>
      </c>
      <c r="E77" s="127">
        <f>IFERROR(('bloco 01'!M28),"")</f>
        <v/>
      </c>
      <c r="F77" s="128">
        <f>'bloco 01'!N28</f>
        <v/>
      </c>
      <c r="G77" s="129" t="n"/>
    </row>
    <row r="78" ht="21" customHeight="1" s="98">
      <c r="A78" s="125">
        <f>'bloco 01'!$I$29</f>
        <v/>
      </c>
      <c r="B78" s="126">
        <f>'bloco 01'!J29</f>
        <v/>
      </c>
      <c r="C78" s="126">
        <f>'bloco 01'!K29</f>
        <v/>
      </c>
      <c r="D78" s="126">
        <f>'bloco 01'!L29</f>
        <v/>
      </c>
      <c r="E78" s="127">
        <f>IFERROR(('bloco 01'!M29),"")</f>
        <v/>
      </c>
      <c r="F78" s="128">
        <f>'bloco 01'!N29</f>
        <v/>
      </c>
      <c r="G78" s="129" t="n"/>
    </row>
    <row r="79" ht="21" customHeight="1" s="98">
      <c r="A79" s="125">
        <f>'bloco 01'!$I$30</f>
        <v/>
      </c>
      <c r="B79" s="126">
        <f>'bloco 01'!J30</f>
        <v/>
      </c>
      <c r="C79" s="126">
        <f>'bloco 01'!K30</f>
        <v/>
      </c>
      <c r="D79" s="126">
        <f>'bloco 01'!L30</f>
        <v/>
      </c>
      <c r="E79" s="127">
        <f>IFERROR(('bloco 01'!M30),"")</f>
        <v/>
      </c>
      <c r="F79" s="128">
        <f>'bloco 01'!N30</f>
        <v/>
      </c>
      <c r="G79" s="129" t="n"/>
    </row>
    <row r="80" ht="26" customHeight="1" s="98">
      <c r="A80" s="118" t="inlineStr">
        <is>
          <t>TREINO 03</t>
        </is>
      </c>
    </row>
    <row r="81" ht="18" customHeight="1" s="98">
      <c r="A81" s="120" t="n"/>
      <c r="B81" s="120" t="inlineStr">
        <is>
          <t>SETS</t>
        </is>
      </c>
      <c r="C81" s="116" t="inlineStr">
        <is>
          <t>REPS</t>
        </is>
      </c>
      <c r="D81" s="116" t="inlineStr">
        <is>
          <t>KG</t>
        </is>
      </c>
      <c r="E81" s="116" t="inlineStr">
        <is>
          <t>%1RM / PSE</t>
        </is>
      </c>
      <c r="F81" s="116" t="inlineStr">
        <is>
          <t>OBS</t>
        </is>
      </c>
    </row>
    <row r="82" ht="21" customHeight="1" s="98">
      <c r="A82" s="125">
        <f>'bloco 01'!$I$36</f>
        <v/>
      </c>
      <c r="B82" s="126">
        <f>'bloco 01'!J36</f>
        <v/>
      </c>
      <c r="C82" s="126">
        <f>'bloco 01'!K36</f>
        <v/>
      </c>
      <c r="D82" s="126">
        <f>'bloco 01'!L36</f>
        <v/>
      </c>
      <c r="E82" s="127">
        <f>IFERROR(('bloco 01'!M36),"")</f>
        <v/>
      </c>
      <c r="F82" s="128">
        <f>'bloco 01'!N36</f>
        <v/>
      </c>
      <c r="G82" s="129" t="n"/>
    </row>
    <row r="83" ht="21" customHeight="1" s="98">
      <c r="A83" s="125">
        <f>'bloco 01'!$I$37</f>
        <v/>
      </c>
      <c r="B83" s="126">
        <f>'bloco 01'!J37</f>
        <v/>
      </c>
      <c r="C83" s="126">
        <f>'bloco 01'!K37</f>
        <v/>
      </c>
      <c r="D83" s="126">
        <f>'bloco 01'!L37</f>
        <v/>
      </c>
      <c r="E83" s="127">
        <f>IFERROR(('bloco 01'!M37),"")</f>
        <v/>
      </c>
      <c r="F83" s="128">
        <f>'bloco 01'!N37</f>
        <v/>
      </c>
      <c r="G83" s="129" t="n"/>
    </row>
    <row r="84" ht="21" customHeight="1" s="98">
      <c r="A84" s="125">
        <f>'bloco 01'!$I$38</f>
        <v/>
      </c>
      <c r="B84" s="126">
        <f>'bloco 01'!J38</f>
        <v/>
      </c>
      <c r="C84" s="126">
        <f>'bloco 01'!K38</f>
        <v/>
      </c>
      <c r="D84" s="126">
        <f>'bloco 01'!L38</f>
        <v/>
      </c>
      <c r="E84" s="127">
        <f>IFERROR(('bloco 01'!M38),"")</f>
        <v/>
      </c>
      <c r="F84" s="128">
        <f>'bloco 01'!N38</f>
        <v/>
      </c>
      <c r="G84" s="129" t="n"/>
    </row>
    <row r="85" ht="21" customHeight="1" s="98">
      <c r="A85" s="125">
        <f>'bloco 01'!$I$39</f>
        <v/>
      </c>
      <c r="B85" s="126">
        <f>'bloco 01'!J39</f>
        <v/>
      </c>
      <c r="C85" s="126">
        <f>'bloco 01'!K39</f>
        <v/>
      </c>
      <c r="D85" s="126">
        <f>'bloco 01'!L39</f>
        <v/>
      </c>
      <c r="E85" s="127">
        <f>IFERROR(('bloco 01'!M39),"")</f>
        <v/>
      </c>
      <c r="F85" s="128">
        <f>'bloco 01'!N39</f>
        <v/>
      </c>
      <c r="G85" s="129" t="n"/>
    </row>
    <row r="86" ht="21" customHeight="1" s="98">
      <c r="A86" s="125">
        <f>'bloco 01'!$I$40</f>
        <v/>
      </c>
      <c r="B86" s="126">
        <f>'bloco 01'!J40</f>
        <v/>
      </c>
      <c r="C86" s="126">
        <f>'bloco 01'!K40</f>
        <v/>
      </c>
      <c r="D86" s="126">
        <f>'bloco 01'!L40</f>
        <v/>
      </c>
      <c r="E86" s="127">
        <f>IFERROR(('bloco 01'!M40),"")</f>
        <v/>
      </c>
      <c r="F86" s="128">
        <f>'bloco 01'!N40</f>
        <v/>
      </c>
      <c r="G86" s="129" t="n"/>
    </row>
    <row r="87" ht="21" customHeight="1" s="98">
      <c r="A87" s="125">
        <f>'bloco 01'!$I$41</f>
        <v/>
      </c>
      <c r="B87" s="126">
        <f>'bloco 01'!J41</f>
        <v/>
      </c>
      <c r="C87" s="126">
        <f>'bloco 01'!K41</f>
        <v/>
      </c>
      <c r="D87" s="126">
        <f>'bloco 01'!L41</f>
        <v/>
      </c>
      <c r="E87" s="127">
        <f>IFERROR(('bloco 01'!M41),"")</f>
        <v/>
      </c>
      <c r="F87" s="128">
        <f>'bloco 01'!N41</f>
        <v/>
      </c>
      <c r="G87" s="129" t="n"/>
    </row>
    <row r="88" ht="21" customHeight="1" s="98">
      <c r="A88" s="125">
        <f>'bloco 01'!$I$42</f>
        <v/>
      </c>
      <c r="B88" s="126">
        <f>'bloco 01'!J42</f>
        <v/>
      </c>
      <c r="C88" s="126">
        <f>'bloco 01'!K42</f>
        <v/>
      </c>
      <c r="D88" s="126">
        <f>'bloco 01'!L42</f>
        <v/>
      </c>
      <c r="E88" s="127">
        <f>IFERROR(('bloco 01'!M42),"")</f>
        <v/>
      </c>
      <c r="F88" s="128">
        <f>'bloco 01'!N42</f>
        <v/>
      </c>
      <c r="G88" s="129" t="n"/>
    </row>
    <row r="89" ht="21" customHeight="1" s="98">
      <c r="A89" s="125">
        <f>'bloco 01'!$I$43</f>
        <v/>
      </c>
      <c r="B89" s="126">
        <f>'bloco 01'!J43</f>
        <v/>
      </c>
      <c r="C89" s="126">
        <f>'bloco 01'!K43</f>
        <v/>
      </c>
      <c r="D89" s="126">
        <f>'bloco 01'!L43</f>
        <v/>
      </c>
      <c r="E89" s="127">
        <f>IFERROR(('bloco 01'!M43),"")</f>
        <v/>
      </c>
      <c r="F89" s="128">
        <f>'bloco 01'!N43</f>
        <v/>
      </c>
      <c r="G89" s="129" t="n"/>
    </row>
    <row r="90" ht="21" customHeight="1" s="98">
      <c r="A90" s="125">
        <f>'bloco 01'!$I$44</f>
        <v/>
      </c>
      <c r="B90" s="126">
        <f>'bloco 01'!J44</f>
        <v/>
      </c>
      <c r="C90" s="126">
        <f>'bloco 01'!K44</f>
        <v/>
      </c>
      <c r="D90" s="126">
        <f>'bloco 01'!L44</f>
        <v/>
      </c>
      <c r="E90" s="127">
        <f>IFERROR(('bloco 01'!M44),"")</f>
        <v/>
      </c>
      <c r="F90" s="128">
        <f>'bloco 01'!N44</f>
        <v/>
      </c>
      <c r="G90" s="129" t="n"/>
    </row>
    <row r="91" ht="21" customHeight="1" s="98">
      <c r="A91" s="125">
        <f>'bloco 01'!$I$45</f>
        <v/>
      </c>
      <c r="B91" s="126">
        <f>'bloco 01'!J45</f>
        <v/>
      </c>
      <c r="C91" s="126">
        <f>'bloco 01'!K45</f>
        <v/>
      </c>
      <c r="D91" s="126">
        <f>'bloco 01'!L45</f>
        <v/>
      </c>
      <c r="E91" s="127">
        <f>IFERROR(('bloco 01'!M45),"")</f>
        <v/>
      </c>
      <c r="F91" s="128">
        <f>'bloco 01'!N45</f>
        <v/>
      </c>
      <c r="G91" s="129" t="n"/>
    </row>
    <row r="92" ht="21" customHeight="1" s="98">
      <c r="A92" s="119" t="n"/>
    </row>
    <row r="93" ht="21" customHeight="1" s="98"/>
    <row r="94" ht="21" customHeight="1" s="98"/>
    <row r="95" ht="21" customHeight="1" s="98"/>
    <row r="96" ht="21" customHeight="1" s="98"/>
    <row r="97" ht="21" customHeight="1" s="98"/>
    <row r="98" ht="21" customHeight="1" s="98"/>
    <row r="99" ht="21" customHeight="1" s="98"/>
    <row r="100" ht="21" customHeight="1" s="98"/>
    <row r="101" ht="21" customHeight="1" s="98"/>
    <row r="102" ht="21" customHeight="1" s="98"/>
    <row r="103" ht="21" customHeight="1" s="98"/>
    <row r="104" ht="21" customHeight="1" s="98"/>
    <row r="105" ht="21" customHeight="1" s="98"/>
    <row r="106" ht="21" customHeight="1" s="98"/>
    <row r="107" ht="21" customHeight="1" s="98"/>
    <row r="108" ht="21" customHeight="1" s="98"/>
    <row r="109" ht="16" customHeight="1" s="98">
      <c r="A109" s="123">
        <f>'bloco 01'!Q3</f>
        <v/>
      </c>
    </row>
    <row r="110" ht="30" customHeight="1" s="98">
      <c r="A110" s="124" t="inlineStr">
        <is>
          <t>SEMANA 03</t>
        </is>
      </c>
    </row>
    <row r="111" ht="26" customHeight="1" s="98">
      <c r="A111" s="118" t="inlineStr">
        <is>
          <t>TREINO 01</t>
        </is>
      </c>
    </row>
    <row r="112" ht="18" customHeight="1" s="98">
      <c r="A112" s="120" t="n"/>
      <c r="B112" s="120" t="inlineStr">
        <is>
          <t>SETS</t>
        </is>
      </c>
      <c r="C112" s="116" t="inlineStr">
        <is>
          <t>REPS</t>
        </is>
      </c>
      <c r="D112" s="116" t="inlineStr">
        <is>
          <t>KG</t>
        </is>
      </c>
      <c r="E112" s="116" t="inlineStr">
        <is>
          <t>%1RM / PSE</t>
        </is>
      </c>
      <c r="F112" s="116" t="inlineStr">
        <is>
          <t>OBS</t>
        </is>
      </c>
    </row>
    <row r="113" ht="21" customHeight="1" s="98">
      <c r="A113" s="125">
        <f>'bloco 01'!$P$6</f>
        <v/>
      </c>
      <c r="B113" s="126">
        <f>'bloco 01'!Q6</f>
        <v/>
      </c>
      <c r="C113" s="126">
        <f>'bloco 01'!R6</f>
        <v/>
      </c>
      <c r="D113" s="126">
        <f>'bloco 01'!S6</f>
        <v/>
      </c>
      <c r="E113" s="127">
        <f>IFERROR(('bloco 01'!T6),"")</f>
        <v/>
      </c>
      <c r="F113" s="128">
        <f>'bloco 01'!U6</f>
        <v/>
      </c>
      <c r="G113" s="129" t="n"/>
    </row>
    <row r="114" ht="21" customHeight="1" s="98">
      <c r="A114" s="125">
        <f>'bloco 01'!$P$7</f>
        <v/>
      </c>
      <c r="B114" s="126">
        <f>'bloco 01'!Q7</f>
        <v/>
      </c>
      <c r="C114" s="126">
        <f>'bloco 01'!R7</f>
        <v/>
      </c>
      <c r="D114" s="126">
        <f>'bloco 01'!S7</f>
        <v/>
      </c>
      <c r="E114" s="127">
        <f>IFERROR(('bloco 01'!T7),"")</f>
        <v/>
      </c>
      <c r="F114" s="128">
        <f>'bloco 01'!U7</f>
        <v/>
      </c>
      <c r="G114" s="129" t="n"/>
    </row>
    <row r="115" ht="21" customHeight="1" s="98">
      <c r="A115" s="125">
        <f>'bloco 01'!$P$8</f>
        <v/>
      </c>
      <c r="B115" s="126">
        <f>'bloco 01'!Q8</f>
        <v/>
      </c>
      <c r="C115" s="126">
        <f>'bloco 01'!R8</f>
        <v/>
      </c>
      <c r="D115" s="126">
        <f>'bloco 01'!S8</f>
        <v/>
      </c>
      <c r="E115" s="127">
        <f>IFERROR(('bloco 01'!T8),"")</f>
        <v/>
      </c>
      <c r="F115" s="128">
        <f>'bloco 01'!U8</f>
        <v/>
      </c>
      <c r="G115" s="129" t="n"/>
    </row>
    <row r="116" ht="21" customHeight="1" s="98">
      <c r="A116" s="125">
        <f>'bloco 01'!$P$9</f>
        <v/>
      </c>
      <c r="B116" s="126">
        <f>'bloco 01'!Q9</f>
        <v/>
      </c>
      <c r="C116" s="126">
        <f>'bloco 01'!R9</f>
        <v/>
      </c>
      <c r="D116" s="126">
        <f>'bloco 01'!S9</f>
        <v/>
      </c>
      <c r="E116" s="127">
        <f>IFERROR(('bloco 01'!T9),"")</f>
        <v/>
      </c>
      <c r="F116" s="128">
        <f>'bloco 01'!U9</f>
        <v/>
      </c>
      <c r="G116" s="129" t="n"/>
    </row>
    <row r="117" ht="21" customHeight="1" s="98">
      <c r="A117" s="125">
        <f>'bloco 01'!$P$10</f>
        <v/>
      </c>
      <c r="B117" s="126">
        <f>'bloco 01'!Q10</f>
        <v/>
      </c>
      <c r="C117" s="126">
        <f>'bloco 01'!R10</f>
        <v/>
      </c>
      <c r="D117" s="126">
        <f>'bloco 01'!S10</f>
        <v/>
      </c>
      <c r="E117" s="127">
        <f>IFERROR(('bloco 01'!T10),"")</f>
        <v/>
      </c>
      <c r="F117" s="128">
        <f>'bloco 01'!U10</f>
        <v/>
      </c>
      <c r="G117" s="129" t="n"/>
    </row>
    <row r="118" ht="21" customHeight="1" s="98">
      <c r="A118" s="125">
        <f>'bloco 01'!$P$11</f>
        <v/>
      </c>
      <c r="B118" s="126">
        <f>'bloco 01'!Q11</f>
        <v/>
      </c>
      <c r="C118" s="126">
        <f>'bloco 01'!R11</f>
        <v/>
      </c>
      <c r="D118" s="126">
        <f>'bloco 01'!S11</f>
        <v/>
      </c>
      <c r="E118" s="127">
        <f>IFERROR(('bloco 01'!T11),"")</f>
        <v/>
      </c>
      <c r="F118" s="128">
        <f>'bloco 01'!U11</f>
        <v/>
      </c>
      <c r="G118" s="129" t="n"/>
    </row>
    <row r="119" ht="21" customHeight="1" s="98">
      <c r="A119" s="125">
        <f>'bloco 01'!$P$12</f>
        <v/>
      </c>
      <c r="B119" s="126">
        <f>'bloco 01'!Q12</f>
        <v/>
      </c>
      <c r="C119" s="126">
        <f>'bloco 01'!R12</f>
        <v/>
      </c>
      <c r="D119" s="126">
        <f>'bloco 01'!S12</f>
        <v/>
      </c>
      <c r="E119" s="127">
        <f>IFERROR(('bloco 01'!T12),"")</f>
        <v/>
      </c>
      <c r="F119" s="128">
        <f>'bloco 01'!U12</f>
        <v/>
      </c>
      <c r="G119" s="129" t="n"/>
    </row>
    <row r="120" ht="21" customHeight="1" s="98">
      <c r="A120" s="125">
        <f>'bloco 01'!$P$13</f>
        <v/>
      </c>
      <c r="B120" s="126">
        <f>'bloco 01'!Q13</f>
        <v/>
      </c>
      <c r="C120" s="126">
        <f>'bloco 01'!R13</f>
        <v/>
      </c>
      <c r="D120" s="126">
        <f>'bloco 01'!S13</f>
        <v/>
      </c>
      <c r="E120" s="127">
        <f>IFERROR(('bloco 01'!T13),"")</f>
        <v/>
      </c>
      <c r="F120" s="128">
        <f>'bloco 01'!U13</f>
        <v/>
      </c>
      <c r="G120" s="129" t="n"/>
    </row>
    <row r="121" ht="21" customHeight="1" s="98">
      <c r="A121" s="125">
        <f>'bloco 01'!$P$14</f>
        <v/>
      </c>
      <c r="B121" s="126">
        <f>'bloco 01'!Q14</f>
        <v/>
      </c>
      <c r="C121" s="126">
        <f>'bloco 01'!R14</f>
        <v/>
      </c>
      <c r="D121" s="126">
        <f>'bloco 01'!S14</f>
        <v/>
      </c>
      <c r="E121" s="127">
        <f>IFERROR(('bloco 01'!T14),"")</f>
        <v/>
      </c>
      <c r="F121" s="128">
        <f>'bloco 01'!U14</f>
        <v/>
      </c>
      <c r="G121" s="129" t="n"/>
    </row>
    <row r="122" ht="21" customHeight="1" s="98">
      <c r="A122" s="125">
        <f>'bloco 01'!$P$15</f>
        <v/>
      </c>
      <c r="B122" s="126">
        <f>'bloco 01'!Q15</f>
        <v/>
      </c>
      <c r="C122" s="126">
        <f>'bloco 01'!R15</f>
        <v/>
      </c>
      <c r="D122" s="126">
        <f>'bloco 01'!S15</f>
        <v/>
      </c>
      <c r="E122" s="127">
        <f>IFERROR(('bloco 01'!T15),"")</f>
        <v/>
      </c>
      <c r="F122" s="128">
        <f>'bloco 01'!U15</f>
        <v/>
      </c>
      <c r="G122" s="129" t="n"/>
    </row>
    <row r="123" ht="26" customHeight="1" s="98">
      <c r="A123" s="118" t="inlineStr">
        <is>
          <t>TREINO 02</t>
        </is>
      </c>
    </row>
    <row r="124" ht="18" customHeight="1" s="98">
      <c r="A124" s="120" t="n"/>
      <c r="B124" s="120" t="inlineStr">
        <is>
          <t>SETS</t>
        </is>
      </c>
      <c r="C124" s="116" t="inlineStr">
        <is>
          <t>REPS</t>
        </is>
      </c>
      <c r="D124" s="116" t="inlineStr">
        <is>
          <t>KG</t>
        </is>
      </c>
      <c r="E124" s="116" t="inlineStr">
        <is>
          <t>%1RM / PSE</t>
        </is>
      </c>
      <c r="F124" s="116" t="inlineStr">
        <is>
          <t>OBS</t>
        </is>
      </c>
    </row>
    <row r="125" ht="21" customHeight="1" s="98">
      <c r="A125" s="125">
        <f>'bloco 01'!$P$21</f>
        <v/>
      </c>
      <c r="B125" s="126">
        <f>'bloco 01'!Q21</f>
        <v/>
      </c>
      <c r="C125" s="126">
        <f>'bloco 01'!R21</f>
        <v/>
      </c>
      <c r="D125" s="126">
        <f>'bloco 01'!S21</f>
        <v/>
      </c>
      <c r="E125" s="127">
        <f>IFERROR(('bloco 01'!T21),"")</f>
        <v/>
      </c>
      <c r="F125" s="128">
        <f>'bloco 01'!U21</f>
        <v/>
      </c>
      <c r="G125" s="129" t="n"/>
    </row>
    <row r="126" ht="21" customHeight="1" s="98">
      <c r="A126" s="125">
        <f>'bloco 01'!$P$22</f>
        <v/>
      </c>
      <c r="B126" s="126">
        <f>'bloco 01'!Q22</f>
        <v/>
      </c>
      <c r="C126" s="126">
        <f>'bloco 01'!R22</f>
        <v/>
      </c>
      <c r="D126" s="126">
        <f>'bloco 01'!S22</f>
        <v/>
      </c>
      <c r="E126" s="127">
        <f>IFERROR(('bloco 01'!T22),"")</f>
        <v/>
      </c>
      <c r="F126" s="128">
        <f>'bloco 01'!U22</f>
        <v/>
      </c>
      <c r="G126" s="129" t="n"/>
    </row>
    <row r="127" ht="21" customHeight="1" s="98">
      <c r="A127" s="125">
        <f>'bloco 01'!$P$23</f>
        <v/>
      </c>
      <c r="B127" s="126">
        <f>'bloco 01'!Q23</f>
        <v/>
      </c>
      <c r="C127" s="126">
        <f>'bloco 01'!R23</f>
        <v/>
      </c>
      <c r="D127" s="126">
        <f>'bloco 01'!S23</f>
        <v/>
      </c>
      <c r="E127" s="127">
        <f>IFERROR(('bloco 01'!T23),"")</f>
        <v/>
      </c>
      <c r="F127" s="128">
        <f>'bloco 01'!U23</f>
        <v/>
      </c>
      <c r="G127" s="129" t="n"/>
    </row>
    <row r="128" ht="21" customHeight="1" s="98">
      <c r="A128" s="125">
        <f>'bloco 01'!$P$24</f>
        <v/>
      </c>
      <c r="B128" s="126">
        <f>'bloco 01'!Q24</f>
        <v/>
      </c>
      <c r="C128" s="126">
        <f>'bloco 01'!R24</f>
        <v/>
      </c>
      <c r="D128" s="126">
        <f>'bloco 01'!S24</f>
        <v/>
      </c>
      <c r="E128" s="127">
        <f>IFERROR(('bloco 01'!T24),"")</f>
        <v/>
      </c>
      <c r="F128" s="128">
        <f>'bloco 01'!U24</f>
        <v/>
      </c>
      <c r="G128" s="129" t="n"/>
    </row>
    <row r="129" ht="21" customHeight="1" s="98">
      <c r="A129" s="125">
        <f>'bloco 01'!$P$25</f>
        <v/>
      </c>
      <c r="B129" s="126">
        <f>'bloco 01'!Q25</f>
        <v/>
      </c>
      <c r="C129" s="126">
        <f>'bloco 01'!R25</f>
        <v/>
      </c>
      <c r="D129" s="126">
        <f>'bloco 01'!S25</f>
        <v/>
      </c>
      <c r="E129" s="127">
        <f>IFERROR(('bloco 01'!T25),"")</f>
        <v/>
      </c>
      <c r="F129" s="128">
        <f>'bloco 01'!U25</f>
        <v/>
      </c>
      <c r="G129" s="129" t="n"/>
    </row>
    <row r="130" ht="21" customHeight="1" s="98">
      <c r="A130" s="125">
        <f>'bloco 01'!$P$26</f>
        <v/>
      </c>
      <c r="B130" s="126">
        <f>'bloco 01'!Q26</f>
        <v/>
      </c>
      <c r="C130" s="126">
        <f>'bloco 01'!R26</f>
        <v/>
      </c>
      <c r="D130" s="126">
        <f>'bloco 01'!S26</f>
        <v/>
      </c>
      <c r="E130" s="127">
        <f>IFERROR(('bloco 01'!T26),"")</f>
        <v/>
      </c>
      <c r="F130" s="128">
        <f>'bloco 01'!U26</f>
        <v/>
      </c>
      <c r="G130" s="129" t="n"/>
    </row>
    <row r="131" ht="21" customHeight="1" s="98">
      <c r="A131" s="125">
        <f>'bloco 01'!$P$27</f>
        <v/>
      </c>
      <c r="B131" s="126">
        <f>'bloco 01'!Q27</f>
        <v/>
      </c>
      <c r="C131" s="126">
        <f>'bloco 01'!R27</f>
        <v/>
      </c>
      <c r="D131" s="126">
        <f>'bloco 01'!S27</f>
        <v/>
      </c>
      <c r="E131" s="127">
        <f>IFERROR(('bloco 01'!T27),"")</f>
        <v/>
      </c>
      <c r="F131" s="128">
        <f>'bloco 01'!U27</f>
        <v/>
      </c>
      <c r="G131" s="129" t="n"/>
    </row>
    <row r="132" ht="21" customHeight="1" s="98">
      <c r="A132" s="125">
        <f>'bloco 01'!$P$28</f>
        <v/>
      </c>
      <c r="B132" s="126">
        <f>'bloco 01'!Q28</f>
        <v/>
      </c>
      <c r="C132" s="126">
        <f>'bloco 01'!R28</f>
        <v/>
      </c>
      <c r="D132" s="126">
        <f>'bloco 01'!S28</f>
        <v/>
      </c>
      <c r="E132" s="127">
        <f>IFERROR(('bloco 01'!T28),"")</f>
        <v/>
      </c>
      <c r="F132" s="128">
        <f>'bloco 01'!U28</f>
        <v/>
      </c>
      <c r="G132" s="129" t="n"/>
    </row>
    <row r="133" ht="21" customHeight="1" s="98">
      <c r="A133" s="125">
        <f>'bloco 01'!$P$29</f>
        <v/>
      </c>
      <c r="B133" s="126">
        <f>'bloco 01'!Q29</f>
        <v/>
      </c>
      <c r="C133" s="126">
        <f>'bloco 01'!R29</f>
        <v/>
      </c>
      <c r="D133" s="126">
        <f>'bloco 01'!S29</f>
        <v/>
      </c>
      <c r="E133" s="127">
        <f>IFERROR(('bloco 01'!T29),"")</f>
        <v/>
      </c>
      <c r="F133" s="128">
        <f>'bloco 01'!U29</f>
        <v/>
      </c>
      <c r="G133" s="129" t="n"/>
    </row>
    <row r="134" ht="21" customHeight="1" s="98">
      <c r="A134" s="125">
        <f>'bloco 01'!$P$30</f>
        <v/>
      </c>
      <c r="B134" s="126">
        <f>'bloco 01'!Q30</f>
        <v/>
      </c>
      <c r="C134" s="126">
        <f>'bloco 01'!R30</f>
        <v/>
      </c>
      <c r="D134" s="126">
        <f>'bloco 01'!S30</f>
        <v/>
      </c>
      <c r="E134" s="127">
        <f>IFERROR(('bloco 01'!T30),"")</f>
        <v/>
      </c>
      <c r="F134" s="128">
        <f>'bloco 01'!U30</f>
        <v/>
      </c>
      <c r="G134" s="129" t="n"/>
    </row>
    <row r="135" ht="26" customHeight="1" s="98">
      <c r="A135" s="118" t="inlineStr">
        <is>
          <t>TREINO 03</t>
        </is>
      </c>
    </row>
    <row r="136" ht="18" customHeight="1" s="98">
      <c r="A136" s="120" t="n"/>
      <c r="B136" s="120" t="inlineStr">
        <is>
          <t>SETS</t>
        </is>
      </c>
      <c r="C136" s="116" t="inlineStr">
        <is>
          <t>REPS</t>
        </is>
      </c>
      <c r="D136" s="116" t="inlineStr">
        <is>
          <t>KG</t>
        </is>
      </c>
      <c r="E136" s="116" t="inlineStr">
        <is>
          <t>%1RM / PSE</t>
        </is>
      </c>
      <c r="F136" s="116" t="inlineStr">
        <is>
          <t>OBS</t>
        </is>
      </c>
    </row>
    <row r="137" ht="21" customHeight="1" s="98">
      <c r="A137" s="125">
        <f>'bloco 01'!$P$36</f>
        <v/>
      </c>
      <c r="B137" s="126">
        <f>'bloco 01'!Q36</f>
        <v/>
      </c>
      <c r="C137" s="126">
        <f>'bloco 01'!R36</f>
        <v/>
      </c>
      <c r="D137" s="126">
        <f>'bloco 01'!S36</f>
        <v/>
      </c>
      <c r="E137" s="127">
        <f>IFERROR(('bloco 01'!T36),"")</f>
        <v/>
      </c>
      <c r="F137" s="128">
        <f>'bloco 01'!U36</f>
        <v/>
      </c>
      <c r="G137" s="129" t="n"/>
    </row>
    <row r="138" ht="21" customHeight="1" s="98">
      <c r="A138" s="125">
        <f>'bloco 01'!$P$37</f>
        <v/>
      </c>
      <c r="B138" s="126">
        <f>'bloco 01'!Q37</f>
        <v/>
      </c>
      <c r="C138" s="126">
        <f>'bloco 01'!R37</f>
        <v/>
      </c>
      <c r="D138" s="126">
        <f>'bloco 01'!S37</f>
        <v/>
      </c>
      <c r="E138" s="127">
        <f>IFERROR(('bloco 01'!T37),"")</f>
        <v/>
      </c>
      <c r="F138" s="128">
        <f>'bloco 01'!U37</f>
        <v/>
      </c>
      <c r="G138" s="129" t="n"/>
    </row>
    <row r="139" ht="21" customHeight="1" s="98">
      <c r="A139" s="125">
        <f>'bloco 01'!$P$38</f>
        <v/>
      </c>
      <c r="B139" s="126">
        <f>'bloco 01'!Q38</f>
        <v/>
      </c>
      <c r="C139" s="126">
        <f>'bloco 01'!R38</f>
        <v/>
      </c>
      <c r="D139" s="126">
        <f>'bloco 01'!S38</f>
        <v/>
      </c>
      <c r="E139" s="127">
        <f>IFERROR(('bloco 01'!T38),"")</f>
        <v/>
      </c>
      <c r="F139" s="128">
        <f>'bloco 01'!U38</f>
        <v/>
      </c>
      <c r="G139" s="129" t="n"/>
    </row>
    <row r="140" ht="21" customHeight="1" s="98">
      <c r="A140" s="125">
        <f>'bloco 01'!$P$39</f>
        <v/>
      </c>
      <c r="B140" s="126">
        <f>'bloco 01'!Q39</f>
        <v/>
      </c>
      <c r="C140" s="126">
        <f>'bloco 01'!R39</f>
        <v/>
      </c>
      <c r="D140" s="126">
        <f>'bloco 01'!S39</f>
        <v/>
      </c>
      <c r="E140" s="127">
        <f>IFERROR(('bloco 01'!T39),"")</f>
        <v/>
      </c>
      <c r="F140" s="128">
        <f>'bloco 01'!U39</f>
        <v/>
      </c>
      <c r="G140" s="129" t="n"/>
    </row>
    <row r="141" ht="21" customHeight="1" s="98">
      <c r="A141" s="125">
        <f>'bloco 01'!$P$40</f>
        <v/>
      </c>
      <c r="B141" s="126">
        <f>'bloco 01'!Q40</f>
        <v/>
      </c>
      <c r="C141" s="126">
        <f>'bloco 01'!R40</f>
        <v/>
      </c>
      <c r="D141" s="126">
        <f>'bloco 01'!S40</f>
        <v/>
      </c>
      <c r="E141" s="127">
        <f>IFERROR(('bloco 01'!T40),"")</f>
        <v/>
      </c>
      <c r="F141" s="128">
        <f>'bloco 01'!U40</f>
        <v/>
      </c>
      <c r="G141" s="129" t="n"/>
    </row>
    <row r="142" ht="21" customHeight="1" s="98">
      <c r="A142" s="125">
        <f>'bloco 01'!$P$41</f>
        <v/>
      </c>
      <c r="B142" s="126">
        <f>'bloco 01'!Q41</f>
        <v/>
      </c>
      <c r="C142" s="126">
        <f>'bloco 01'!R41</f>
        <v/>
      </c>
      <c r="D142" s="126">
        <f>'bloco 01'!S41</f>
        <v/>
      </c>
      <c r="E142" s="127">
        <f>IFERROR(('bloco 01'!T41),"")</f>
        <v/>
      </c>
      <c r="F142" s="128">
        <f>'bloco 01'!U41</f>
        <v/>
      </c>
      <c r="G142" s="129" t="n"/>
    </row>
    <row r="143" ht="21" customHeight="1" s="98">
      <c r="A143" s="125">
        <f>'bloco 01'!$P$42</f>
        <v/>
      </c>
      <c r="B143" s="126">
        <f>'bloco 01'!Q42</f>
        <v/>
      </c>
      <c r="C143" s="126">
        <f>'bloco 01'!R42</f>
        <v/>
      </c>
      <c r="D143" s="126">
        <f>'bloco 01'!S42</f>
        <v/>
      </c>
      <c r="E143" s="127">
        <f>IFERROR(('bloco 01'!T42),"")</f>
        <v/>
      </c>
      <c r="F143" s="128">
        <f>'bloco 01'!U42</f>
        <v/>
      </c>
      <c r="G143" s="129" t="n"/>
    </row>
    <row r="144" ht="21" customHeight="1" s="98">
      <c r="A144" s="125">
        <f>'bloco 01'!$P$43</f>
        <v/>
      </c>
      <c r="B144" s="126">
        <f>'bloco 01'!Q43</f>
        <v/>
      </c>
      <c r="C144" s="126">
        <f>'bloco 01'!R43</f>
        <v/>
      </c>
      <c r="D144" s="126">
        <f>'bloco 01'!S43</f>
        <v/>
      </c>
      <c r="E144" s="127">
        <f>IFERROR(('bloco 01'!T43),"")</f>
        <v/>
      </c>
      <c r="F144" s="128">
        <f>'bloco 01'!U43</f>
        <v/>
      </c>
      <c r="G144" s="129" t="n"/>
    </row>
    <row r="145" ht="21" customHeight="1" s="98">
      <c r="A145" s="125">
        <f>'bloco 01'!$P$44</f>
        <v/>
      </c>
      <c r="B145" s="126">
        <f>'bloco 01'!Q44</f>
        <v/>
      </c>
      <c r="C145" s="126">
        <f>'bloco 01'!R44</f>
        <v/>
      </c>
      <c r="D145" s="126">
        <f>'bloco 01'!S44</f>
        <v/>
      </c>
      <c r="E145" s="127">
        <f>IFERROR(('bloco 01'!T44),"")</f>
        <v/>
      </c>
      <c r="F145" s="128">
        <f>'bloco 01'!U44</f>
        <v/>
      </c>
      <c r="G145" s="129" t="n"/>
    </row>
    <row r="146" ht="21" customHeight="1" s="98">
      <c r="A146" s="125">
        <f>'bloco 01'!$P$45</f>
        <v/>
      </c>
      <c r="B146" s="126">
        <f>'bloco 01'!Q45</f>
        <v/>
      </c>
      <c r="C146" s="126">
        <f>'bloco 01'!R45</f>
        <v/>
      </c>
      <c r="D146" s="126">
        <f>'bloco 01'!S45</f>
        <v/>
      </c>
      <c r="E146" s="127">
        <f>IFERROR(('bloco 01'!T45),"")</f>
        <v/>
      </c>
      <c r="F146" s="128">
        <f>'bloco 01'!U45</f>
        <v/>
      </c>
      <c r="G146" s="129" t="n"/>
    </row>
    <row r="147" ht="21" customHeight="1" s="98">
      <c r="A147" s="119" t="n"/>
    </row>
    <row r="148" ht="21" customHeight="1" s="98"/>
    <row r="149" ht="21" customHeight="1" s="98"/>
    <row r="150" ht="21" customHeight="1" s="98"/>
    <row r="151" ht="21" customHeight="1" s="98"/>
    <row r="152" ht="21" customHeight="1" s="98"/>
    <row r="153" ht="21" customHeight="1" s="98"/>
    <row r="154" ht="21" customHeight="1" s="98"/>
    <row r="155" ht="21" customHeight="1" s="98"/>
    <row r="156" ht="21" customHeight="1" s="98"/>
    <row r="157" ht="21" customHeight="1" s="98"/>
    <row r="158" ht="21" customHeight="1" s="98"/>
    <row r="159" ht="21" customHeight="1" s="98"/>
    <row r="160" ht="21" customHeight="1" s="98"/>
    <row r="161" ht="21" customHeight="1" s="98"/>
    <row r="162" ht="21" customHeight="1" s="98"/>
    <row r="163" ht="21" customHeight="1" s="98"/>
    <row r="164" ht="16" customHeight="1" s="98">
      <c r="A164" s="123">
        <f>'bloco 01'!X3</f>
        <v/>
      </c>
    </row>
    <row r="165" ht="30" customHeight="1" s="98">
      <c r="A165" s="124" t="inlineStr">
        <is>
          <t>SEMANA 04</t>
        </is>
      </c>
    </row>
    <row r="166" ht="26" customHeight="1" s="98">
      <c r="A166" s="118" t="inlineStr">
        <is>
          <t>TREINO 01</t>
        </is>
      </c>
    </row>
    <row r="167" ht="18" customHeight="1" s="98">
      <c r="A167" s="120" t="n"/>
      <c r="B167" s="120" t="inlineStr">
        <is>
          <t>SETS</t>
        </is>
      </c>
      <c r="C167" s="116" t="inlineStr">
        <is>
          <t>REPS</t>
        </is>
      </c>
      <c r="D167" s="116" t="inlineStr">
        <is>
          <t>KG</t>
        </is>
      </c>
      <c r="E167" s="116" t="inlineStr">
        <is>
          <t>%1RM / PSE</t>
        </is>
      </c>
      <c r="F167" s="116" t="inlineStr">
        <is>
          <t>OBS</t>
        </is>
      </c>
    </row>
    <row r="168" ht="21" customHeight="1" s="98">
      <c r="A168" s="125">
        <f>'bloco 01'!$W$6</f>
        <v/>
      </c>
      <c r="B168" s="126">
        <f>'bloco 01'!X6</f>
        <v/>
      </c>
      <c r="C168" s="126">
        <f>'bloco 01'!Y6</f>
        <v/>
      </c>
      <c r="D168" s="126">
        <f>'bloco 01'!Z6</f>
        <v/>
      </c>
      <c r="E168" s="127">
        <f>IFERROR(('bloco 01'!AA6),"")</f>
        <v/>
      </c>
      <c r="F168" s="128">
        <f>'bloco 01'!AB6</f>
        <v/>
      </c>
      <c r="G168" s="129" t="n"/>
    </row>
    <row r="169" ht="21" customHeight="1" s="98">
      <c r="A169" s="125">
        <f>'bloco 01'!$W$7</f>
        <v/>
      </c>
      <c r="B169" s="126">
        <f>'bloco 01'!X7</f>
        <v/>
      </c>
      <c r="C169" s="126">
        <f>'bloco 01'!Y7</f>
        <v/>
      </c>
      <c r="D169" s="126">
        <f>'bloco 01'!Z7</f>
        <v/>
      </c>
      <c r="E169" s="127">
        <f>IFERROR(('bloco 01'!AA7),"")</f>
        <v/>
      </c>
      <c r="F169" s="128">
        <f>'bloco 01'!AB7</f>
        <v/>
      </c>
      <c r="G169" s="129" t="n"/>
    </row>
    <row r="170" ht="21" customHeight="1" s="98">
      <c r="A170" s="125">
        <f>'bloco 01'!$W$8</f>
        <v/>
      </c>
      <c r="B170" s="126">
        <f>'bloco 01'!X8</f>
        <v/>
      </c>
      <c r="C170" s="126">
        <f>'bloco 01'!Y8</f>
        <v/>
      </c>
      <c r="D170" s="126">
        <f>'bloco 01'!Z8</f>
        <v/>
      </c>
      <c r="E170" s="127">
        <f>IFERROR(('bloco 01'!AA8),"")</f>
        <v/>
      </c>
      <c r="F170" s="128">
        <f>'bloco 01'!AB8</f>
        <v/>
      </c>
      <c r="G170" s="129" t="n"/>
    </row>
    <row r="171" ht="21" customHeight="1" s="98">
      <c r="A171" s="125">
        <f>'bloco 01'!$W$9</f>
        <v/>
      </c>
      <c r="B171" s="126">
        <f>'bloco 01'!X9</f>
        <v/>
      </c>
      <c r="C171" s="126">
        <f>'bloco 01'!Y9</f>
        <v/>
      </c>
      <c r="D171" s="126">
        <f>'bloco 01'!Z9</f>
        <v/>
      </c>
      <c r="E171" s="127">
        <f>IFERROR(('bloco 01'!AA9),"")</f>
        <v/>
      </c>
      <c r="F171" s="128">
        <f>'bloco 01'!AB9</f>
        <v/>
      </c>
      <c r="G171" s="129" t="n"/>
    </row>
    <row r="172" ht="21" customHeight="1" s="98">
      <c r="A172" s="125">
        <f>'bloco 01'!$W$10</f>
        <v/>
      </c>
      <c r="B172" s="126">
        <f>'bloco 01'!X10</f>
        <v/>
      </c>
      <c r="C172" s="126">
        <f>'bloco 01'!Y10</f>
        <v/>
      </c>
      <c r="D172" s="126">
        <f>'bloco 01'!Z10</f>
        <v/>
      </c>
      <c r="E172" s="127">
        <f>IFERROR(('bloco 01'!AA10),"")</f>
        <v/>
      </c>
      <c r="F172" s="128">
        <f>'bloco 01'!AB10</f>
        <v/>
      </c>
      <c r="G172" s="129" t="n"/>
    </row>
    <row r="173" ht="21" customHeight="1" s="98">
      <c r="A173" s="125">
        <f>'bloco 01'!$W$11</f>
        <v/>
      </c>
      <c r="B173" s="126">
        <f>'bloco 01'!X11</f>
        <v/>
      </c>
      <c r="C173" s="126">
        <f>'bloco 01'!Y11</f>
        <v/>
      </c>
      <c r="D173" s="126">
        <f>'bloco 01'!Z11</f>
        <v/>
      </c>
      <c r="E173" s="127">
        <f>IFERROR(('bloco 01'!AA11),"")</f>
        <v/>
      </c>
      <c r="F173" s="128">
        <f>'bloco 01'!AB11</f>
        <v/>
      </c>
      <c r="G173" s="129" t="n"/>
    </row>
    <row r="174" ht="21" customHeight="1" s="98">
      <c r="A174" s="125">
        <f>'bloco 01'!$W$12</f>
        <v/>
      </c>
      <c r="B174" s="126">
        <f>'bloco 01'!X12</f>
        <v/>
      </c>
      <c r="C174" s="126">
        <f>'bloco 01'!Y12</f>
        <v/>
      </c>
      <c r="D174" s="126">
        <f>'bloco 01'!Z12</f>
        <v/>
      </c>
      <c r="E174" s="127">
        <f>IFERROR(('bloco 01'!AA12),"")</f>
        <v/>
      </c>
      <c r="F174" s="128">
        <f>'bloco 01'!AB12</f>
        <v/>
      </c>
      <c r="G174" s="129" t="n"/>
    </row>
    <row r="175" ht="21" customHeight="1" s="98">
      <c r="A175" s="125">
        <f>'bloco 01'!$W$13</f>
        <v/>
      </c>
      <c r="B175" s="126">
        <f>'bloco 01'!X13</f>
        <v/>
      </c>
      <c r="C175" s="126">
        <f>'bloco 01'!Y13</f>
        <v/>
      </c>
      <c r="D175" s="126">
        <f>'bloco 01'!Z13</f>
        <v/>
      </c>
      <c r="E175" s="127">
        <f>IFERROR(('bloco 01'!AA13),"")</f>
        <v/>
      </c>
      <c r="F175" s="128">
        <f>'bloco 01'!AB13</f>
        <v/>
      </c>
      <c r="G175" s="129" t="n"/>
    </row>
    <row r="176" ht="21" customHeight="1" s="98">
      <c r="A176" s="125">
        <f>'bloco 01'!$W$14</f>
        <v/>
      </c>
      <c r="B176" s="126">
        <f>'bloco 01'!X14</f>
        <v/>
      </c>
      <c r="C176" s="126">
        <f>'bloco 01'!Y14</f>
        <v/>
      </c>
      <c r="D176" s="126">
        <f>'bloco 01'!Z14</f>
        <v/>
      </c>
      <c r="E176" s="127">
        <f>IFERROR(('bloco 01'!AA14),"")</f>
        <v/>
      </c>
      <c r="F176" s="128">
        <f>'bloco 01'!AB14</f>
        <v/>
      </c>
      <c r="G176" s="129" t="n"/>
    </row>
    <row r="177" ht="21" customHeight="1" s="98">
      <c r="A177" s="125">
        <f>'bloco 01'!$W$15</f>
        <v/>
      </c>
      <c r="B177" s="126">
        <f>'bloco 01'!X15</f>
        <v/>
      </c>
      <c r="C177" s="126">
        <f>'bloco 01'!Y15</f>
        <v/>
      </c>
      <c r="D177" s="126">
        <f>'bloco 01'!Z15</f>
        <v/>
      </c>
      <c r="E177" s="127">
        <f>IFERROR(('bloco 01'!AA15),"")</f>
        <v/>
      </c>
      <c r="F177" s="128">
        <f>'bloco 01'!AB15</f>
        <v/>
      </c>
      <c r="G177" s="129" t="n"/>
    </row>
    <row r="178" ht="26" customHeight="1" s="98">
      <c r="A178" s="118" t="inlineStr">
        <is>
          <t>TREINO 02</t>
        </is>
      </c>
    </row>
    <row r="179" ht="18" customHeight="1" s="98">
      <c r="A179" s="120" t="n"/>
      <c r="B179" s="120" t="inlineStr">
        <is>
          <t>SETS</t>
        </is>
      </c>
      <c r="C179" s="116" t="inlineStr">
        <is>
          <t>REPS</t>
        </is>
      </c>
      <c r="D179" s="116" t="inlineStr">
        <is>
          <t>KG</t>
        </is>
      </c>
      <c r="E179" s="116" t="inlineStr">
        <is>
          <t>%1RM / PSE</t>
        </is>
      </c>
      <c r="F179" s="116" t="inlineStr">
        <is>
          <t>OBS</t>
        </is>
      </c>
    </row>
    <row r="180" ht="21" customHeight="1" s="98">
      <c r="A180" s="125">
        <f>'bloco 01'!$W$21</f>
        <v/>
      </c>
      <c r="B180" s="126">
        <f>'bloco 01'!X21</f>
        <v/>
      </c>
      <c r="C180" s="126">
        <f>'bloco 01'!Y21</f>
        <v/>
      </c>
      <c r="D180" s="126">
        <f>'bloco 01'!Z21</f>
        <v/>
      </c>
      <c r="E180" s="127">
        <f>IFERROR(('bloco 01'!AA21),"")</f>
        <v/>
      </c>
      <c r="F180" s="128">
        <f>'bloco 01'!AB21</f>
        <v/>
      </c>
      <c r="G180" s="129" t="n"/>
    </row>
    <row r="181" ht="21" customHeight="1" s="98">
      <c r="A181" s="125">
        <f>'bloco 01'!$W$22</f>
        <v/>
      </c>
      <c r="B181" s="126">
        <f>'bloco 01'!X22</f>
        <v/>
      </c>
      <c r="C181" s="126">
        <f>'bloco 01'!Y22</f>
        <v/>
      </c>
      <c r="D181" s="126">
        <f>'bloco 01'!Z22</f>
        <v/>
      </c>
      <c r="E181" s="127">
        <f>IFERROR(('bloco 01'!AA22),"")</f>
        <v/>
      </c>
      <c r="F181" s="128">
        <f>'bloco 01'!AB22</f>
        <v/>
      </c>
      <c r="G181" s="129" t="n"/>
    </row>
    <row r="182" ht="21" customHeight="1" s="98">
      <c r="A182" s="125">
        <f>'bloco 01'!$W$23</f>
        <v/>
      </c>
      <c r="B182" s="126">
        <f>'bloco 01'!X23</f>
        <v/>
      </c>
      <c r="C182" s="126">
        <f>'bloco 01'!Y23</f>
        <v/>
      </c>
      <c r="D182" s="126">
        <f>'bloco 01'!Z23</f>
        <v/>
      </c>
      <c r="E182" s="127">
        <f>IFERROR(('bloco 01'!AA23),"")</f>
        <v/>
      </c>
      <c r="F182" s="128">
        <f>'bloco 01'!AB23</f>
        <v/>
      </c>
      <c r="G182" s="129" t="n"/>
    </row>
    <row r="183" ht="21" customHeight="1" s="98">
      <c r="A183" s="125">
        <f>'bloco 01'!$W$24</f>
        <v/>
      </c>
      <c r="B183" s="126">
        <f>'bloco 01'!X24</f>
        <v/>
      </c>
      <c r="C183" s="126">
        <f>'bloco 01'!Y24</f>
        <v/>
      </c>
      <c r="D183" s="126">
        <f>'bloco 01'!Z24</f>
        <v/>
      </c>
      <c r="E183" s="127">
        <f>IFERROR(('bloco 01'!AA24),"")</f>
        <v/>
      </c>
      <c r="F183" s="128">
        <f>'bloco 01'!AB24</f>
        <v/>
      </c>
      <c r="G183" s="129" t="n"/>
    </row>
    <row r="184" ht="21" customHeight="1" s="98">
      <c r="A184" s="125">
        <f>'bloco 01'!$W$25</f>
        <v/>
      </c>
      <c r="B184" s="126">
        <f>'bloco 01'!X25</f>
        <v/>
      </c>
      <c r="C184" s="126">
        <f>'bloco 01'!Y25</f>
        <v/>
      </c>
      <c r="D184" s="126">
        <f>'bloco 01'!Z25</f>
        <v/>
      </c>
      <c r="E184" s="127">
        <f>IFERROR(('bloco 01'!AA25),"")</f>
        <v/>
      </c>
      <c r="F184" s="128">
        <f>'bloco 01'!AB25</f>
        <v/>
      </c>
      <c r="G184" s="129" t="n"/>
    </row>
    <row r="185" ht="21" customHeight="1" s="98">
      <c r="A185" s="125">
        <f>'bloco 01'!$W$26</f>
        <v/>
      </c>
      <c r="B185" s="126">
        <f>'bloco 01'!X26</f>
        <v/>
      </c>
      <c r="C185" s="126">
        <f>'bloco 01'!Y26</f>
        <v/>
      </c>
      <c r="D185" s="126">
        <f>'bloco 01'!Z26</f>
        <v/>
      </c>
      <c r="E185" s="127">
        <f>IFERROR(('bloco 01'!AA26),"")</f>
        <v/>
      </c>
      <c r="F185" s="128">
        <f>'bloco 01'!AB26</f>
        <v/>
      </c>
      <c r="G185" s="129" t="n"/>
    </row>
    <row r="186" ht="21" customHeight="1" s="98">
      <c r="A186" s="125">
        <f>'bloco 01'!$W$27</f>
        <v/>
      </c>
      <c r="B186" s="126">
        <f>'bloco 01'!X27</f>
        <v/>
      </c>
      <c r="C186" s="126">
        <f>'bloco 01'!Y27</f>
        <v/>
      </c>
      <c r="D186" s="126">
        <f>'bloco 01'!Z27</f>
        <v/>
      </c>
      <c r="E186" s="127">
        <f>IFERROR(('bloco 01'!AA27),"")</f>
        <v/>
      </c>
      <c r="F186" s="128">
        <f>'bloco 01'!AB27</f>
        <v/>
      </c>
      <c r="G186" s="129" t="n"/>
    </row>
    <row r="187" ht="21" customHeight="1" s="98">
      <c r="A187" s="125">
        <f>'bloco 01'!$W$28</f>
        <v/>
      </c>
      <c r="B187" s="126">
        <f>'bloco 01'!X28</f>
        <v/>
      </c>
      <c r="C187" s="126">
        <f>'bloco 01'!Y28</f>
        <v/>
      </c>
      <c r="D187" s="126">
        <f>'bloco 01'!Z28</f>
        <v/>
      </c>
      <c r="E187" s="127">
        <f>IFERROR(('bloco 01'!AA28),"")</f>
        <v/>
      </c>
      <c r="F187" s="128">
        <f>'bloco 01'!AB28</f>
        <v/>
      </c>
      <c r="G187" s="129" t="n"/>
    </row>
    <row r="188" ht="21" customHeight="1" s="98">
      <c r="A188" s="125">
        <f>'bloco 01'!$W$29</f>
        <v/>
      </c>
      <c r="B188" s="126">
        <f>'bloco 01'!X29</f>
        <v/>
      </c>
      <c r="C188" s="126">
        <f>'bloco 01'!Y29</f>
        <v/>
      </c>
      <c r="D188" s="126">
        <f>'bloco 01'!Z29</f>
        <v/>
      </c>
      <c r="E188" s="127">
        <f>IFERROR(('bloco 01'!AA29),"")</f>
        <v/>
      </c>
      <c r="F188" s="128">
        <f>'bloco 01'!AB29</f>
        <v/>
      </c>
      <c r="G188" s="129" t="n"/>
    </row>
    <row r="189" ht="21" customHeight="1" s="98">
      <c r="A189" s="125">
        <f>'bloco 01'!$W$30</f>
        <v/>
      </c>
      <c r="B189" s="126">
        <f>'bloco 01'!X30</f>
        <v/>
      </c>
      <c r="C189" s="126">
        <f>'bloco 01'!Y30</f>
        <v/>
      </c>
      <c r="D189" s="126">
        <f>'bloco 01'!Z30</f>
        <v/>
      </c>
      <c r="E189" s="127">
        <f>IFERROR(('bloco 01'!AA30),"")</f>
        <v/>
      </c>
      <c r="F189" s="128">
        <f>'bloco 01'!AB30</f>
        <v/>
      </c>
      <c r="G189" s="129" t="n"/>
    </row>
    <row r="190" ht="26" customHeight="1" s="98">
      <c r="A190" s="118" t="inlineStr">
        <is>
          <t>TREINO 03</t>
        </is>
      </c>
    </row>
    <row r="191" ht="18" customHeight="1" s="98">
      <c r="A191" s="120" t="n"/>
      <c r="B191" s="120" t="inlineStr">
        <is>
          <t>SETS</t>
        </is>
      </c>
      <c r="C191" s="116" t="inlineStr">
        <is>
          <t>REPS</t>
        </is>
      </c>
      <c r="D191" s="116" t="inlineStr">
        <is>
          <t>KG</t>
        </is>
      </c>
      <c r="E191" s="116" t="inlineStr">
        <is>
          <t>%1RM / PSE</t>
        </is>
      </c>
      <c r="F191" s="116" t="inlineStr">
        <is>
          <t>OBS</t>
        </is>
      </c>
    </row>
    <row r="192" ht="21" customHeight="1" s="98">
      <c r="A192" s="125">
        <f>'bloco 01'!$W$36</f>
        <v/>
      </c>
      <c r="B192" s="126">
        <f>'bloco 01'!X36</f>
        <v/>
      </c>
      <c r="C192" s="126">
        <f>'bloco 01'!Y36</f>
        <v/>
      </c>
      <c r="D192" s="126">
        <f>'bloco 01'!Z36</f>
        <v/>
      </c>
      <c r="E192" s="127">
        <f>IFERROR(('bloco 01'!AA36),"")</f>
        <v/>
      </c>
      <c r="F192" s="128">
        <f>'bloco 01'!AB36</f>
        <v/>
      </c>
      <c r="G192" s="129" t="n"/>
    </row>
    <row r="193" ht="21" customHeight="1" s="98">
      <c r="A193" s="125">
        <f>'bloco 01'!$W$37</f>
        <v/>
      </c>
      <c r="B193" s="126">
        <f>'bloco 01'!X37</f>
        <v/>
      </c>
      <c r="C193" s="126">
        <f>'bloco 01'!Y37</f>
        <v/>
      </c>
      <c r="D193" s="126">
        <f>'bloco 01'!Z37</f>
        <v/>
      </c>
      <c r="E193" s="127">
        <f>IFERROR(('bloco 01'!AA37),"")</f>
        <v/>
      </c>
      <c r="F193" s="128">
        <f>'bloco 01'!AB37</f>
        <v/>
      </c>
      <c r="G193" s="129" t="n"/>
    </row>
    <row r="194" ht="21" customHeight="1" s="98">
      <c r="A194" s="125">
        <f>'bloco 01'!$W$38</f>
        <v/>
      </c>
      <c r="B194" s="126">
        <f>'bloco 01'!X38</f>
        <v/>
      </c>
      <c r="C194" s="126">
        <f>'bloco 01'!Y38</f>
        <v/>
      </c>
      <c r="D194" s="126">
        <f>'bloco 01'!Z38</f>
        <v/>
      </c>
      <c r="E194" s="127">
        <f>IFERROR(('bloco 01'!AA38),"")</f>
        <v/>
      </c>
      <c r="F194" s="128">
        <f>'bloco 01'!AB38</f>
        <v/>
      </c>
      <c r="G194" s="129" t="n"/>
    </row>
    <row r="195" ht="21" customHeight="1" s="98">
      <c r="A195" s="125">
        <f>'bloco 01'!$W$39</f>
        <v/>
      </c>
      <c r="B195" s="126">
        <f>'bloco 01'!X39</f>
        <v/>
      </c>
      <c r="C195" s="126">
        <f>'bloco 01'!Y39</f>
        <v/>
      </c>
      <c r="D195" s="126">
        <f>'bloco 01'!Z39</f>
        <v/>
      </c>
      <c r="E195" s="127">
        <f>IFERROR(('bloco 01'!AA39),"")</f>
        <v/>
      </c>
      <c r="F195" s="128">
        <f>'bloco 01'!AB39</f>
        <v/>
      </c>
      <c r="G195" s="129" t="n"/>
    </row>
    <row r="196" ht="21" customHeight="1" s="98">
      <c r="A196" s="125">
        <f>'bloco 01'!$W$40</f>
        <v/>
      </c>
      <c r="B196" s="126">
        <f>'bloco 01'!X40</f>
        <v/>
      </c>
      <c r="C196" s="126">
        <f>'bloco 01'!Y40</f>
        <v/>
      </c>
      <c r="D196" s="126">
        <f>'bloco 01'!Z40</f>
        <v/>
      </c>
      <c r="E196" s="127">
        <f>IFERROR(('bloco 01'!AA40),"")</f>
        <v/>
      </c>
      <c r="F196" s="128">
        <f>'bloco 01'!AB40</f>
        <v/>
      </c>
      <c r="G196" s="129" t="n"/>
    </row>
    <row r="197" ht="21" customHeight="1" s="98">
      <c r="A197" s="125">
        <f>'bloco 01'!$W$41</f>
        <v/>
      </c>
      <c r="B197" s="126">
        <f>'bloco 01'!X41</f>
        <v/>
      </c>
      <c r="C197" s="126">
        <f>'bloco 01'!Y41</f>
        <v/>
      </c>
      <c r="D197" s="126">
        <f>'bloco 01'!Z41</f>
        <v/>
      </c>
      <c r="E197" s="127">
        <f>IFERROR(('bloco 01'!AA41),"")</f>
        <v/>
      </c>
      <c r="F197" s="128">
        <f>'bloco 01'!AB41</f>
        <v/>
      </c>
      <c r="G197" s="129" t="n"/>
    </row>
    <row r="198" ht="21" customHeight="1" s="98">
      <c r="A198" s="125">
        <f>'bloco 01'!$W$42</f>
        <v/>
      </c>
      <c r="B198" s="126">
        <f>'bloco 01'!X42</f>
        <v/>
      </c>
      <c r="C198" s="126">
        <f>'bloco 01'!Y42</f>
        <v/>
      </c>
      <c r="D198" s="126">
        <f>'bloco 01'!Z42</f>
        <v/>
      </c>
      <c r="E198" s="127">
        <f>IFERROR(('bloco 01'!AA42),"")</f>
        <v/>
      </c>
      <c r="F198" s="128">
        <f>'bloco 01'!AB42</f>
        <v/>
      </c>
      <c r="G198" s="129" t="n"/>
    </row>
    <row r="199" ht="21" customHeight="1" s="98">
      <c r="A199" s="125">
        <f>'bloco 01'!$W$43</f>
        <v/>
      </c>
      <c r="B199" s="126">
        <f>'bloco 01'!X43</f>
        <v/>
      </c>
      <c r="C199" s="126">
        <f>'bloco 01'!Y43</f>
        <v/>
      </c>
      <c r="D199" s="126">
        <f>'bloco 01'!Z43</f>
        <v/>
      </c>
      <c r="E199" s="127">
        <f>IFERROR(('bloco 01'!AA43),"")</f>
        <v/>
      </c>
      <c r="F199" s="128">
        <f>'bloco 01'!AB43</f>
        <v/>
      </c>
      <c r="G199" s="129" t="n"/>
    </row>
    <row r="200" ht="21" customHeight="1" s="98">
      <c r="A200" s="125">
        <f>'bloco 01'!$W$44</f>
        <v/>
      </c>
      <c r="B200" s="126">
        <f>'bloco 01'!X44</f>
        <v/>
      </c>
      <c r="C200" s="126">
        <f>'bloco 01'!Y44</f>
        <v/>
      </c>
      <c r="D200" s="126">
        <f>'bloco 01'!Z44</f>
        <v/>
      </c>
      <c r="E200" s="127">
        <f>IFERROR(('bloco 01'!AA44),"")</f>
        <v/>
      </c>
      <c r="F200" s="128">
        <f>'bloco 01'!AB44</f>
        <v/>
      </c>
      <c r="G200" s="129" t="n"/>
    </row>
    <row r="201" ht="21" customHeight="1" s="98">
      <c r="A201" s="125">
        <f>'bloco 01'!$W$45</f>
        <v/>
      </c>
      <c r="B201" s="126">
        <f>'bloco 01'!X45</f>
        <v/>
      </c>
      <c r="C201" s="126">
        <f>'bloco 01'!Y45</f>
        <v/>
      </c>
      <c r="D201" s="126">
        <f>'bloco 01'!Z45</f>
        <v/>
      </c>
      <c r="E201" s="127">
        <f>IFERROR(('bloco 01'!AA45),"")</f>
        <v/>
      </c>
      <c r="F201" s="128">
        <f>'bloco 01'!AB45</f>
        <v/>
      </c>
      <c r="G201" s="129" t="n"/>
    </row>
    <row r="202" ht="21" customHeight="1" s="98">
      <c r="A202" s="119" t="n"/>
    </row>
    <row r="203" ht="21" customHeight="1" s="98"/>
    <row r="204" ht="21" customHeight="1" s="98"/>
    <row r="205" ht="21" customHeight="1" s="98"/>
    <row r="206" ht="21" customHeight="1" s="98"/>
    <row r="207" ht="21" customHeight="1" s="98"/>
    <row r="208" ht="21" customHeight="1" s="98"/>
    <row r="209" ht="21" customHeight="1" s="98"/>
    <row r="210" ht="21" customHeight="1" s="98"/>
    <row r="211" ht="21" customHeight="1" s="98"/>
    <row r="212" ht="21" customHeight="1" s="98"/>
    <row r="213" ht="21" customHeight="1" s="98"/>
    <row r="214" ht="21" customHeight="1" s="98"/>
    <row r="215" ht="21" customHeight="1" s="98"/>
    <row r="216" ht="21" customHeight="1" s="98"/>
    <row r="217" ht="21" customHeight="1" s="98"/>
    <row r="218" ht="21" customHeight="1" s="98"/>
    <row r="219" ht="21" customHeight="1" s="98">
      <c r="A219" s="114" t="n"/>
      <c r="B219" s="114" t="n"/>
      <c r="C219" s="114" t="n"/>
      <c r="D219" s="114" t="n"/>
      <c r="E219" s="114" t="n"/>
      <c r="F219" s="114" t="n"/>
      <c r="G219" s="114" t="n"/>
    </row>
    <row r="220" ht="21" customHeight="1" s="98">
      <c r="A220" s="114" t="n"/>
      <c r="B220" s="114" t="n"/>
      <c r="C220" s="114" t="n"/>
      <c r="D220" s="114" t="n"/>
      <c r="E220" s="114" t="n"/>
      <c r="F220" s="114" t="n"/>
      <c r="G220" s="114" t="n"/>
    </row>
    <row r="221" ht="21" customHeight="1" s="98">
      <c r="A221" s="114" t="n"/>
      <c r="B221" s="114" t="n"/>
      <c r="C221" s="114" t="n"/>
      <c r="D221" s="114" t="n"/>
      <c r="E221" s="114" t="n"/>
      <c r="F221" s="114" t="n"/>
      <c r="G221" s="114" t="n"/>
    </row>
    <row r="222" ht="21" customHeight="1" s="98">
      <c r="A222" s="114" t="n"/>
      <c r="B222" s="114" t="n"/>
      <c r="C222" s="114" t="n"/>
      <c r="D222" s="114" t="n"/>
      <c r="E222" s="114" t="n"/>
      <c r="F222" s="114" t="n"/>
      <c r="G222" s="114" t="n"/>
    </row>
    <row r="223" ht="21" customHeight="1" s="98">
      <c r="A223" s="114" t="n"/>
      <c r="B223" s="114" t="n"/>
      <c r="C223" s="114" t="n"/>
      <c r="D223" s="114" t="n"/>
      <c r="E223" s="114" t="n"/>
      <c r="F223" s="114" t="n"/>
      <c r="G223" s="114" t="n"/>
    </row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166">
    <mergeCell ref="A202:G218"/>
    <mergeCell ref="E13:G13"/>
    <mergeCell ref="F116:G116"/>
    <mergeCell ref="F29:G29"/>
    <mergeCell ref="A17:G17"/>
    <mergeCell ref="F187:G187"/>
    <mergeCell ref="F172:G172"/>
    <mergeCell ref="F25:G25"/>
    <mergeCell ref="A109:G109"/>
    <mergeCell ref="F196:G196"/>
    <mergeCell ref="F174:G174"/>
    <mergeCell ref="F168:G168"/>
    <mergeCell ref="F84:G84"/>
    <mergeCell ref="A42:G42"/>
    <mergeCell ref="A68:G68"/>
    <mergeCell ref="A190:G190"/>
    <mergeCell ref="F143:G143"/>
    <mergeCell ref="E15:G15"/>
    <mergeCell ref="F118:G118"/>
    <mergeCell ref="A111:G111"/>
    <mergeCell ref="F133:G133"/>
    <mergeCell ref="F173:G173"/>
    <mergeCell ref="F86:G86"/>
    <mergeCell ref="F142:G142"/>
    <mergeCell ref="A30:G30"/>
    <mergeCell ref="F70:G70"/>
    <mergeCell ref="A11:G11"/>
    <mergeCell ref="F79:G79"/>
    <mergeCell ref="F144:G144"/>
    <mergeCell ref="F122:G122"/>
    <mergeCell ref="F125:G125"/>
    <mergeCell ref="F72:G72"/>
    <mergeCell ref="F185:G185"/>
    <mergeCell ref="F134:G134"/>
    <mergeCell ref="F199:G199"/>
    <mergeCell ref="F23:G23"/>
    <mergeCell ref="F81:G81"/>
    <mergeCell ref="F121:G121"/>
    <mergeCell ref="F71:G71"/>
    <mergeCell ref="F43:G43"/>
    <mergeCell ref="F176:G176"/>
    <mergeCell ref="F170:G170"/>
    <mergeCell ref="F120:G120"/>
    <mergeCell ref="F175:G175"/>
    <mergeCell ref="F88:G88"/>
    <mergeCell ref="F57:G57"/>
    <mergeCell ref="F171:G171"/>
    <mergeCell ref="A8:G8"/>
    <mergeCell ref="F19:G19"/>
    <mergeCell ref="F34:G34"/>
    <mergeCell ref="B1:G1"/>
    <mergeCell ref="F63:G63"/>
    <mergeCell ref="F146:G146"/>
    <mergeCell ref="A165:G165"/>
    <mergeCell ref="F74:G74"/>
    <mergeCell ref="F83:G83"/>
    <mergeCell ref="F138:G138"/>
    <mergeCell ref="F20:G20"/>
    <mergeCell ref="F76:G76"/>
    <mergeCell ref="F33:G33"/>
    <mergeCell ref="F45:G45"/>
    <mergeCell ref="F189:G189"/>
    <mergeCell ref="F85:G85"/>
    <mergeCell ref="F198:G198"/>
    <mergeCell ref="A166:G166"/>
    <mergeCell ref="F66:G66"/>
    <mergeCell ref="F188:G188"/>
    <mergeCell ref="F126:G126"/>
    <mergeCell ref="F75:G75"/>
    <mergeCell ref="F47:G47"/>
    <mergeCell ref="F62:G62"/>
    <mergeCell ref="F31:G31"/>
    <mergeCell ref="F46:G46"/>
    <mergeCell ref="F28:G28"/>
    <mergeCell ref="F61:G61"/>
    <mergeCell ref="F39:G39"/>
    <mergeCell ref="F167:G167"/>
    <mergeCell ref="A80:G80"/>
    <mergeCell ref="F48:G48"/>
    <mergeCell ref="A55:G55"/>
    <mergeCell ref="F136:G136"/>
    <mergeCell ref="F64:G64"/>
    <mergeCell ref="F73:G73"/>
    <mergeCell ref="F87:G87"/>
    <mergeCell ref="F128:G128"/>
    <mergeCell ref="F137:G137"/>
    <mergeCell ref="F89:G89"/>
    <mergeCell ref="F124:G124"/>
    <mergeCell ref="F21:G21"/>
    <mergeCell ref="F192:G192"/>
    <mergeCell ref="F201:G201"/>
    <mergeCell ref="F53:G53"/>
    <mergeCell ref="F139:G139"/>
    <mergeCell ref="F114:G114"/>
    <mergeCell ref="F36:G36"/>
    <mergeCell ref="F194:G194"/>
    <mergeCell ref="F50:G50"/>
    <mergeCell ref="F181:G181"/>
    <mergeCell ref="A123:G123"/>
    <mergeCell ref="A1:A3"/>
    <mergeCell ref="F91:G91"/>
    <mergeCell ref="A110:G110"/>
    <mergeCell ref="C2:G2"/>
    <mergeCell ref="F180:G180"/>
    <mergeCell ref="F141:G141"/>
    <mergeCell ref="E12:G12"/>
    <mergeCell ref="A16:G16"/>
    <mergeCell ref="F22:G22"/>
    <mergeCell ref="F115:G115"/>
    <mergeCell ref="F77:G77"/>
    <mergeCell ref="F117:G117"/>
    <mergeCell ref="E14:G14"/>
    <mergeCell ref="A18:G18"/>
    <mergeCell ref="A9:G10"/>
    <mergeCell ref="F49:G49"/>
    <mergeCell ref="F119:G119"/>
    <mergeCell ref="F69:G69"/>
    <mergeCell ref="F182:G182"/>
    <mergeCell ref="A135:G135"/>
    <mergeCell ref="F78:G78"/>
    <mergeCell ref="F191:G191"/>
    <mergeCell ref="F112:G112"/>
    <mergeCell ref="F183:G183"/>
    <mergeCell ref="F65:G65"/>
    <mergeCell ref="A92:G108"/>
    <mergeCell ref="C3:G3"/>
    <mergeCell ref="F193:G193"/>
    <mergeCell ref="F127:G127"/>
    <mergeCell ref="F40:G40"/>
    <mergeCell ref="F59:G59"/>
    <mergeCell ref="F24:G24"/>
    <mergeCell ref="F177:G177"/>
    <mergeCell ref="F169:G169"/>
    <mergeCell ref="F51:G51"/>
    <mergeCell ref="F113:G113"/>
    <mergeCell ref="F32:G32"/>
    <mergeCell ref="F145:G145"/>
    <mergeCell ref="F26:G26"/>
    <mergeCell ref="F41:G41"/>
    <mergeCell ref="F35:G35"/>
    <mergeCell ref="A178:G178"/>
    <mergeCell ref="F129:G129"/>
    <mergeCell ref="F200:G200"/>
    <mergeCell ref="F38:G38"/>
    <mergeCell ref="F90:G90"/>
    <mergeCell ref="A54:G54"/>
    <mergeCell ref="F184:G184"/>
    <mergeCell ref="F131:G131"/>
    <mergeCell ref="F27:G27"/>
    <mergeCell ref="F58:G58"/>
    <mergeCell ref="F140:G140"/>
    <mergeCell ref="F52:G52"/>
    <mergeCell ref="F67:G67"/>
    <mergeCell ref="A164:G164"/>
    <mergeCell ref="F37:G37"/>
    <mergeCell ref="F186:G186"/>
    <mergeCell ref="A56:G56"/>
    <mergeCell ref="F195:G195"/>
    <mergeCell ref="F130:G130"/>
    <mergeCell ref="F82:G82"/>
    <mergeCell ref="F60:G60"/>
    <mergeCell ref="A147:G163"/>
    <mergeCell ref="F179:G179"/>
    <mergeCell ref="F132:G132"/>
    <mergeCell ref="F197:G197"/>
    <mergeCell ref="F44:G44"/>
  </mergeCells>
  <conditionalFormatting sqref="A1:A3">
    <cfRule type="notContainsBlanks" priority="1" dxfId="0">
      <formula>LEN(TRIM(A1))&gt;0</formula>
    </cfRule>
  </conditionalFormatting>
  <printOptions horizontalCentered="1"/>
  <pageMargins left="0.7" right="0.7" top="0.75" bottom="0.75" header="0" footer="0"/>
  <pageSetup orientation="portrait" paperSize="9" fitToHeight="0" pageOrder="overThenDown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00000"/>
    <outlinePr summaryBelow="0" summaryRight="0"/>
    <pageSetUpPr fitToPage="1"/>
  </sheetPr>
  <dimension ref="A1:AC51"/>
  <sheetViews>
    <sheetView showGridLines="0" workbookViewId="0">
      <selection activeCell="A1" sqref="A1"/>
    </sheetView>
  </sheetViews>
  <sheetFormatPr baseColWidth="8" defaultColWidth="12.63" defaultRowHeight="15" customHeight="1"/>
  <cols>
    <col width="6.38" customWidth="1" style="98" min="1" max="1"/>
    <col width="31.38" customWidth="1" style="98" min="2" max="2"/>
    <col width="6.38" customWidth="1" style="98" min="3" max="6"/>
    <col width="9.5" customWidth="1" style="98" min="7" max="7"/>
    <col width="6.38" customWidth="1" style="98" min="8" max="8"/>
    <col width="31.38" customWidth="1" style="98" min="9" max="9"/>
    <col width="6.38" customWidth="1" style="98" min="10" max="13"/>
    <col width="9.5" customWidth="1" style="98" min="14" max="14"/>
    <col width="6.38" customWidth="1" style="98" min="15" max="15"/>
    <col width="31.38" customWidth="1" style="98" min="16" max="16"/>
    <col width="6.38" customWidth="1" style="98" min="17" max="20"/>
    <col width="9.5" customWidth="1" style="98" min="21" max="21"/>
    <col width="6.38" customWidth="1" style="98" min="22" max="22"/>
    <col width="31.38" customWidth="1" style="98" min="23" max="23"/>
    <col width="6.38" customWidth="1" style="98" min="24" max="27"/>
    <col width="9.5" customWidth="1" style="98" min="28" max="28"/>
    <col width="6.38" customWidth="1" style="98" min="29" max="29"/>
  </cols>
  <sheetData>
    <row r="1" ht="30" customHeight="1" s="98">
      <c r="A1" s="130" t="inlineStr">
        <is>
          <t>BLOCO 01</t>
        </is>
      </c>
      <c r="B1" s="131" t="n"/>
      <c r="C1" s="132" t="n"/>
      <c r="D1" s="133" t="n"/>
      <c r="E1" s="134" t="n"/>
      <c r="F1" s="134" t="n"/>
      <c r="G1" s="135" t="n"/>
      <c r="H1" s="136" t="n"/>
      <c r="I1" s="131" t="n"/>
      <c r="J1" s="134" t="n"/>
      <c r="K1" s="134" t="n"/>
      <c r="L1" s="134" t="n"/>
      <c r="M1" s="130" t="n"/>
      <c r="N1" s="135" t="n"/>
      <c r="O1" s="130" t="n"/>
      <c r="P1" s="131" t="n"/>
      <c r="Q1" s="134" t="n"/>
      <c r="R1" s="134" t="n"/>
      <c r="S1" s="134" t="n"/>
      <c r="T1" s="134" t="n"/>
      <c r="U1" s="135" t="n"/>
      <c r="V1" s="130" t="n"/>
      <c r="W1" s="131" t="n"/>
      <c r="X1" s="134" t="n"/>
      <c r="Y1" s="134" t="n"/>
      <c r="Z1" s="134" t="n"/>
      <c r="AA1" s="134" t="n"/>
      <c r="AB1" s="134" t="n"/>
      <c r="AC1" s="134" t="n"/>
    </row>
    <row r="2" ht="8" customHeight="1" s="98">
      <c r="A2" s="137" t="n"/>
      <c r="B2" s="137" t="n"/>
      <c r="C2" s="137" t="n"/>
      <c r="D2" s="137" t="n"/>
      <c r="H2" s="137" t="n"/>
      <c r="I2" s="137" t="n"/>
      <c r="J2" s="137" t="n"/>
      <c r="K2" s="137" t="n"/>
      <c r="O2" s="137" t="n"/>
      <c r="P2" s="137" t="n"/>
      <c r="Q2" s="137" t="n"/>
      <c r="R2" s="137" t="n"/>
      <c r="V2" s="137" t="n"/>
      <c r="W2" s="137" t="n"/>
      <c r="X2" s="137" t="n"/>
      <c r="Y2" s="137" t="n"/>
      <c r="AC2" s="137" t="n"/>
    </row>
    <row r="3" ht="26" customHeight="1" s="98">
      <c r="A3" s="138" t="inlineStr">
        <is>
          <t>TREINO 01</t>
        </is>
      </c>
      <c r="B3" s="139" t="n"/>
      <c r="C3" s="140">
        <f>macro!B6</f>
        <v/>
      </c>
      <c r="D3" s="141" t="n"/>
      <c r="E3" s="141" t="n"/>
      <c r="F3" s="141" t="n"/>
      <c r="G3" s="141" t="n"/>
      <c r="H3" s="118" t="n"/>
      <c r="I3" s="139" t="n"/>
      <c r="J3" s="140">
        <f>C3+7</f>
        <v/>
      </c>
      <c r="K3" s="141" t="n"/>
      <c r="L3" s="141" t="n"/>
      <c r="M3" s="141" t="n"/>
      <c r="N3" s="141" t="n"/>
      <c r="O3" s="118" t="n"/>
      <c r="P3" s="139" t="n"/>
      <c r="Q3" s="140">
        <f>J3+7</f>
        <v/>
      </c>
      <c r="R3" s="141" t="n"/>
      <c r="S3" s="141" t="n"/>
      <c r="T3" s="141" t="n"/>
      <c r="U3" s="141" t="n"/>
      <c r="V3" s="118" t="n"/>
      <c r="W3" s="139" t="n"/>
      <c r="X3" s="140">
        <f>Q3+7</f>
        <v/>
      </c>
      <c r="Y3" s="141" t="n"/>
      <c r="Z3" s="141" t="n"/>
      <c r="AA3" s="141" t="n"/>
      <c r="AB3" s="141" t="n"/>
      <c r="AC3" s="118" t="n"/>
    </row>
    <row r="4" ht="18" customHeight="1" s="98">
      <c r="A4" s="142" t="n"/>
      <c r="B4" s="143" t="n"/>
      <c r="C4" s="144" t="inlineStr">
        <is>
          <t>SETS</t>
        </is>
      </c>
      <c r="D4" s="144" t="inlineStr">
        <is>
          <t>REPS</t>
        </is>
      </c>
      <c r="E4" s="144" t="inlineStr">
        <is>
          <t>KG</t>
        </is>
      </c>
      <c r="F4" s="144" t="inlineStr">
        <is>
          <t>%1RM</t>
        </is>
      </c>
      <c r="G4" s="144" t="inlineStr">
        <is>
          <t>OBS</t>
        </is>
      </c>
      <c r="H4" s="137" t="n"/>
      <c r="I4" s="143" t="n"/>
      <c r="J4" s="144" t="inlineStr">
        <is>
          <t>SETS</t>
        </is>
      </c>
      <c r="K4" s="144" t="inlineStr">
        <is>
          <t>REPS</t>
        </is>
      </c>
      <c r="L4" s="144" t="inlineStr">
        <is>
          <t>KG</t>
        </is>
      </c>
      <c r="M4" s="144" t="inlineStr">
        <is>
          <t>%1RM</t>
        </is>
      </c>
      <c r="N4" s="144" t="inlineStr">
        <is>
          <t>OBS</t>
        </is>
      </c>
      <c r="O4" s="137" t="n"/>
      <c r="P4" s="143" t="n"/>
      <c r="Q4" s="144" t="inlineStr">
        <is>
          <t>SETS</t>
        </is>
      </c>
      <c r="R4" s="144" t="inlineStr">
        <is>
          <t>REPS</t>
        </is>
      </c>
      <c r="S4" s="144" t="inlineStr">
        <is>
          <t>KG</t>
        </is>
      </c>
      <c r="T4" s="144" t="inlineStr">
        <is>
          <t>%1RM</t>
        </is>
      </c>
      <c r="U4" s="144" t="inlineStr">
        <is>
          <t>OBS</t>
        </is>
      </c>
      <c r="V4" s="137" t="n"/>
      <c r="W4" s="143" t="n"/>
      <c r="X4" s="144" t="inlineStr">
        <is>
          <t>SETS</t>
        </is>
      </c>
      <c r="Y4" s="144" t="inlineStr">
        <is>
          <t>REPS</t>
        </is>
      </c>
      <c r="Z4" s="144" t="inlineStr">
        <is>
          <t>KG</t>
        </is>
      </c>
      <c r="AA4" s="144" t="inlineStr">
        <is>
          <t>%1RM</t>
        </is>
      </c>
      <c r="AB4" s="144" t="inlineStr">
        <is>
          <t>OBS</t>
        </is>
      </c>
      <c r="AC4" s="137" t="n"/>
    </row>
    <row r="5" ht="18" customHeight="1" s="98">
      <c r="A5" s="142" t="n"/>
      <c r="B5" s="120" t="inlineStr">
        <is>
          <t>exercícios</t>
        </is>
      </c>
      <c r="C5" s="116" t="n"/>
      <c r="D5" s="116" t="n"/>
      <c r="E5" s="116" t="n"/>
      <c r="F5" s="116" t="inlineStr">
        <is>
          <t>pse</t>
        </is>
      </c>
      <c r="G5" s="116" t="n"/>
      <c r="H5" s="137" t="n"/>
      <c r="I5" s="120" t="inlineStr">
        <is>
          <t>exercícios</t>
        </is>
      </c>
      <c r="J5" s="116" t="n"/>
      <c r="K5" s="116" t="n"/>
      <c r="L5" s="116" t="n"/>
      <c r="M5" s="116" t="inlineStr">
        <is>
          <t>pse</t>
        </is>
      </c>
      <c r="N5" s="116" t="n"/>
      <c r="O5" s="137" t="n"/>
      <c r="P5" s="120" t="inlineStr">
        <is>
          <t>exercícios</t>
        </is>
      </c>
      <c r="Q5" s="116" t="n"/>
      <c r="R5" s="116" t="n"/>
      <c r="S5" s="116" t="n"/>
      <c r="T5" s="116" t="inlineStr">
        <is>
          <t>pse</t>
        </is>
      </c>
      <c r="U5" s="116" t="n"/>
      <c r="V5" s="137" t="n"/>
      <c r="W5" s="120" t="inlineStr">
        <is>
          <t>exercícios</t>
        </is>
      </c>
      <c r="X5" s="116" t="n"/>
      <c r="Y5" s="116" t="n"/>
      <c r="Z5" s="116" t="n"/>
      <c r="AA5" s="116" t="inlineStr">
        <is>
          <t>pse</t>
        </is>
      </c>
      <c r="AB5" s="116" t="n"/>
      <c r="AC5" s="137" t="n"/>
    </row>
    <row r="6" ht="21" customHeight="1" s="98">
      <c r="A6" s="137" t="n"/>
      <c r="B6" s="125" t="n"/>
      <c r="C6" s="145" t="n"/>
      <c r="D6" s="145" t="n"/>
      <c r="E6" s="145" t="n"/>
      <c r="F6" s="127">
        <f>IFERROR(__xludf.DUMMYFUNCTION("IFERROR($E6/INDEX(prs!$D$6:$D$12,MATCH(TRUE,ARRAYFORMULA(ISNUMBER(SEARCH(prs!$A$6:$A$12,$B6))),0)),"""")"),"")</f>
        <v/>
      </c>
      <c r="G6" s="128" t="n"/>
      <c r="H6" s="137" t="n"/>
      <c r="I6" s="125" t="n"/>
      <c r="J6" s="145" t="n"/>
      <c r="K6" s="145" t="n"/>
      <c r="L6" s="145" t="n"/>
      <c r="M6" s="127">
        <f>IFERROR(__xludf.DUMMYFUNCTION("IFERROR($L6/INDEX(prs!$D$6:$D$12,MATCH(TRUE,ARRAYFORMULA(ISNUMBER(SEARCH(prs!$A$6:$A$12,$I6))),0)),"""")"),"")</f>
        <v/>
      </c>
      <c r="N6" s="128" t="n"/>
      <c r="O6" s="137" t="n"/>
      <c r="P6" s="125" t="n"/>
      <c r="Q6" s="145" t="n"/>
      <c r="R6" s="145" t="n"/>
      <c r="S6" s="145" t="n"/>
      <c r="T6" s="127">
        <f>IFERROR(__xludf.DUMMYFUNCTION("IFERROR($S6/INDEX(prs!$D$6:$D$12,MATCH(TRUE,ARRAYFORMULA(ISNUMBER(SEARCH(prs!$A$6:$A$12,$P6))),0)),"""")"),"")</f>
        <v/>
      </c>
      <c r="U6" s="128" t="n"/>
      <c r="V6" s="137" t="n"/>
      <c r="W6" s="125" t="n"/>
      <c r="X6" s="145" t="n"/>
      <c r="Y6" s="145" t="n"/>
      <c r="Z6" s="145" t="n"/>
      <c r="AA6" s="127">
        <f>IFERROR(__xludf.DUMMYFUNCTION("IFERROR($Z6/INDEX(prs!$D$6:$D$12,MATCH(TRUE,ARRAYFORMULA(ISNUMBER(SEARCH(prs!$A$6:$A$12,$W6))),0)),"""")"),"")</f>
        <v/>
      </c>
      <c r="AB6" s="128" t="n"/>
      <c r="AC6" s="137" t="n"/>
    </row>
    <row r="7" ht="21" customHeight="1" s="98">
      <c r="A7" s="137" t="n"/>
      <c r="B7" s="125" t="n"/>
      <c r="C7" s="145" t="n"/>
      <c r="D7" s="145" t="n"/>
      <c r="E7" s="145" t="n"/>
      <c r="F7" s="127">
        <f>IFERROR(__xludf.DUMMYFUNCTION("IFERROR($E7/INDEX(prs!$D$6:$D$12,MATCH(TRUE,ARRAYFORMULA(ISNUMBER(SEARCH(prs!$A$6:$A$12,$B7))),0)),"""")"),"")</f>
        <v/>
      </c>
      <c r="G7" s="128" t="n"/>
      <c r="H7" s="137" t="n"/>
      <c r="I7" s="125" t="n"/>
      <c r="J7" s="145" t="n"/>
      <c r="K7" s="145" t="n"/>
      <c r="L7" s="145" t="n"/>
      <c r="M7" s="127">
        <f>IFERROR(__xludf.DUMMYFUNCTION("IFERROR($L7/INDEX(prs!$D$6:$D$12,MATCH(TRUE,ARRAYFORMULA(ISNUMBER(SEARCH(prs!$A$6:$A$12,$I7))),0)),"""")"),"")</f>
        <v/>
      </c>
      <c r="N7" s="128" t="n"/>
      <c r="O7" s="137" t="n"/>
      <c r="P7" s="125" t="n"/>
      <c r="Q7" s="145" t="n"/>
      <c r="R7" s="145" t="n"/>
      <c r="S7" s="145" t="n"/>
      <c r="T7" s="127">
        <f>IFERROR(__xludf.DUMMYFUNCTION("IFERROR($S7/INDEX(prs!$D$6:$D$12,MATCH(TRUE,ARRAYFORMULA(ISNUMBER(SEARCH(prs!$A$6:$A$12,$P7))),0)),"""")"),"")</f>
        <v/>
      </c>
      <c r="U7" s="128" t="n"/>
      <c r="V7" s="137" t="n"/>
      <c r="W7" s="125" t="n"/>
      <c r="X7" s="145" t="n"/>
      <c r="Y7" s="145" t="n"/>
      <c r="Z7" s="145" t="n"/>
      <c r="AA7" s="127">
        <f>IFERROR(__xludf.DUMMYFUNCTION("IFERROR($Z7/INDEX(prs!$D$6:$D$12,MATCH(TRUE,ARRAYFORMULA(ISNUMBER(SEARCH(prs!$A$6:$A$12,$W7))),0)),"""")"),"")</f>
        <v/>
      </c>
      <c r="AB7" s="128" t="n"/>
      <c r="AC7" s="137" t="n"/>
    </row>
    <row r="8" ht="21" customHeight="1" s="98">
      <c r="A8" s="137" t="n"/>
      <c r="B8" s="125" t="n"/>
      <c r="C8" s="145" t="n"/>
      <c r="D8" s="145" t="n"/>
      <c r="E8" s="145" t="n"/>
      <c r="F8" s="127">
        <f>IFERROR(__xludf.DUMMYFUNCTION("IFERROR($E8/INDEX(prs!$D$6:$D$12,MATCH(TRUE,ARRAYFORMULA(ISNUMBER(SEARCH(prs!$A$6:$A$12,$B8))),0)),"""")"),"")</f>
        <v/>
      </c>
      <c r="G8" s="128" t="n"/>
      <c r="H8" s="137" t="n"/>
      <c r="I8" s="125" t="n"/>
      <c r="J8" s="145" t="n"/>
      <c r="K8" s="145" t="n"/>
      <c r="L8" s="145" t="n"/>
      <c r="M8" s="127">
        <f>IFERROR(__xludf.DUMMYFUNCTION("IFERROR($L8/INDEX(prs!$D$6:$D$12,MATCH(TRUE,ARRAYFORMULA(ISNUMBER(SEARCH(prs!$A$6:$A$12,$I8))),0)),"""")"),"")</f>
        <v/>
      </c>
      <c r="N8" s="128" t="n"/>
      <c r="O8" s="137" t="n"/>
      <c r="P8" s="125" t="n"/>
      <c r="Q8" s="145" t="n"/>
      <c r="R8" s="145" t="n"/>
      <c r="S8" s="145" t="n"/>
      <c r="T8" s="127">
        <f>IFERROR(__xludf.DUMMYFUNCTION("IFERROR($S8/INDEX(prs!$D$6:$D$12,MATCH(TRUE,ARRAYFORMULA(ISNUMBER(SEARCH(prs!$A$6:$A$12,$P8))),0)),"""")"),"")</f>
        <v/>
      </c>
      <c r="U8" s="128" t="n"/>
      <c r="V8" s="137" t="n"/>
      <c r="W8" s="125" t="n"/>
      <c r="X8" s="145" t="n"/>
      <c r="Y8" s="145" t="n"/>
      <c r="Z8" s="145" t="n"/>
      <c r="AA8" s="127">
        <f>IFERROR(__xludf.DUMMYFUNCTION("IFERROR($Z8/INDEX(prs!$D$6:$D$12,MATCH(TRUE,ARRAYFORMULA(ISNUMBER(SEARCH(prs!$A$6:$A$12,$W8))),0)),"""")"),"")</f>
        <v/>
      </c>
      <c r="AB8" s="128" t="n"/>
      <c r="AC8" s="137" t="n"/>
    </row>
    <row r="9" ht="21" customHeight="1" s="98">
      <c r="A9" s="137" t="n"/>
      <c r="B9" s="125" t="n"/>
      <c r="C9" s="145" t="n"/>
      <c r="D9" s="145" t="n"/>
      <c r="E9" s="145" t="n"/>
      <c r="F9" s="127">
        <f>IFERROR(__xludf.DUMMYFUNCTION("IFERROR($E9/INDEX(prs!$D$6:$D$12,MATCH(TRUE,ARRAYFORMULA(ISNUMBER(SEARCH(prs!$A$6:$A$12,$B9))),0)),"""")"),"")</f>
        <v/>
      </c>
      <c r="G9" s="128" t="n"/>
      <c r="H9" s="137" t="n"/>
      <c r="I9" s="125" t="n"/>
      <c r="J9" s="145" t="n"/>
      <c r="K9" s="145" t="n"/>
      <c r="L9" s="145" t="n"/>
      <c r="M9" s="127">
        <f>IFERROR(__xludf.DUMMYFUNCTION("IFERROR($L9/INDEX(prs!$D$6:$D$12,MATCH(TRUE,ARRAYFORMULA(ISNUMBER(SEARCH(prs!$A$6:$A$12,$I9))),0)),"""")"),"")</f>
        <v/>
      </c>
      <c r="N9" s="128" t="n"/>
      <c r="O9" s="137" t="n"/>
      <c r="P9" s="125" t="n"/>
      <c r="Q9" s="145" t="n"/>
      <c r="R9" s="145" t="n"/>
      <c r="S9" s="145" t="n"/>
      <c r="T9" s="127">
        <f>IFERROR(__xludf.DUMMYFUNCTION("IFERROR($S9/INDEX(prs!$D$6:$D$12,MATCH(TRUE,ARRAYFORMULA(ISNUMBER(SEARCH(prs!$A$6:$A$12,$P9))),0)),"""")"),"")</f>
        <v/>
      </c>
      <c r="U9" s="128" t="n"/>
      <c r="V9" s="137" t="n"/>
      <c r="W9" s="125" t="n"/>
      <c r="X9" s="145" t="n"/>
      <c r="Y9" s="145" t="n"/>
      <c r="Z9" s="145" t="n"/>
      <c r="AA9" s="127">
        <f>IFERROR(__xludf.DUMMYFUNCTION("IFERROR($Z9/INDEX(prs!$D$6:$D$12,MATCH(TRUE,ARRAYFORMULA(ISNUMBER(SEARCH(prs!$A$6:$A$12,$W9))),0)),"""")"),"")</f>
        <v/>
      </c>
      <c r="AB9" s="128" t="n"/>
      <c r="AC9" s="137" t="n"/>
    </row>
    <row r="10" ht="21" customHeight="1" s="98">
      <c r="A10" s="137" t="n"/>
      <c r="B10" s="125" t="n"/>
      <c r="C10" s="145" t="n"/>
      <c r="D10" s="145" t="n"/>
      <c r="E10" s="145" t="n"/>
      <c r="F10" s="127">
        <f>IFERROR(__xludf.DUMMYFUNCTION("IFERROR($E10/INDEX(prs!$D$6:$D$12,MATCH(TRUE,ARRAYFORMULA(ISNUMBER(SEARCH(prs!$A$6:$A$12,$B10))),0)),"""")"),"")</f>
        <v/>
      </c>
      <c r="G10" s="128" t="n"/>
      <c r="H10" s="137" t="n"/>
      <c r="I10" s="125" t="n"/>
      <c r="J10" s="145" t="n"/>
      <c r="K10" s="145" t="n"/>
      <c r="L10" s="145" t="n"/>
      <c r="M10" s="127">
        <f>IFERROR(__xludf.DUMMYFUNCTION("IFERROR($L10/INDEX(prs!$D$6:$D$12,MATCH(TRUE,ARRAYFORMULA(ISNUMBER(SEARCH(prs!$A$6:$A$12,$I10))),0)),"""")"),"")</f>
        <v/>
      </c>
      <c r="N10" s="128" t="n"/>
      <c r="O10" s="137" t="n"/>
      <c r="P10" s="125" t="n"/>
      <c r="Q10" s="145" t="n"/>
      <c r="R10" s="145" t="n"/>
      <c r="S10" s="145" t="n"/>
      <c r="T10" s="127">
        <f>IFERROR(__xludf.DUMMYFUNCTION("IFERROR($S10/INDEX(prs!$D$6:$D$12,MATCH(TRUE,ARRAYFORMULA(ISNUMBER(SEARCH(prs!$A$6:$A$12,$P10))),0)),"""")"),"")</f>
        <v/>
      </c>
      <c r="U10" s="128" t="n"/>
      <c r="V10" s="137" t="n"/>
      <c r="W10" s="125" t="n"/>
      <c r="X10" s="145" t="n"/>
      <c r="Y10" s="145" t="n"/>
      <c r="Z10" s="145" t="n"/>
      <c r="AA10" s="127">
        <f>IFERROR(__xludf.DUMMYFUNCTION("IFERROR($Z10/INDEX(prs!$D$6:$D$12,MATCH(TRUE,ARRAYFORMULA(ISNUMBER(SEARCH(prs!$A$6:$A$12,$W10))),0)),"""")"),"")</f>
        <v/>
      </c>
      <c r="AB10" s="128" t="n"/>
      <c r="AC10" s="137" t="n"/>
    </row>
    <row r="11" ht="21" customHeight="1" s="98">
      <c r="A11" s="137" t="n"/>
      <c r="B11" s="125" t="n"/>
      <c r="C11" s="145" t="n"/>
      <c r="D11" s="145" t="n"/>
      <c r="E11" s="145" t="n"/>
      <c r="F11" s="127">
        <f>IFERROR(__xludf.DUMMYFUNCTION("IFERROR($E11/INDEX(prs!$D$6:$D$12,MATCH(TRUE,ARRAYFORMULA(ISNUMBER(SEARCH(prs!$A$6:$A$12,$B11))),0)),"""")"),"")</f>
        <v/>
      </c>
      <c r="G11" s="128" t="n"/>
      <c r="H11" s="137" t="n"/>
      <c r="I11" s="125" t="n"/>
      <c r="J11" s="145" t="n"/>
      <c r="K11" s="145" t="n"/>
      <c r="L11" s="145" t="n"/>
      <c r="M11" s="127">
        <f>IFERROR(__xludf.DUMMYFUNCTION("IFERROR($L11/INDEX(prs!$D$6:$D$12,MATCH(TRUE,ARRAYFORMULA(ISNUMBER(SEARCH(prs!$A$6:$A$12,$I11))),0)),"""")"),"")</f>
        <v/>
      </c>
      <c r="N11" s="128" t="n"/>
      <c r="O11" s="137" t="n"/>
      <c r="P11" s="125" t="n"/>
      <c r="Q11" s="145" t="n"/>
      <c r="R11" s="145" t="n"/>
      <c r="S11" s="145" t="n"/>
      <c r="T11" s="127">
        <f>IFERROR(__xludf.DUMMYFUNCTION("IFERROR($S11/INDEX(prs!$D$6:$D$12,MATCH(TRUE,ARRAYFORMULA(ISNUMBER(SEARCH(prs!$A$6:$A$12,$P11))),0)),"""")"),"")</f>
        <v/>
      </c>
      <c r="U11" s="128" t="n"/>
      <c r="V11" s="137" t="n"/>
      <c r="W11" s="125" t="n"/>
      <c r="X11" s="145" t="n"/>
      <c r="Y11" s="145" t="n"/>
      <c r="Z11" s="145" t="n"/>
      <c r="AA11" s="127">
        <f>IFERROR(__xludf.DUMMYFUNCTION("IFERROR($Z11/INDEX(prs!$D$6:$D$12,MATCH(TRUE,ARRAYFORMULA(ISNUMBER(SEARCH(prs!$A$6:$A$12,$W11))),0)),"""")"),"")</f>
        <v/>
      </c>
      <c r="AB11" s="128" t="n"/>
      <c r="AC11" s="137" t="n"/>
    </row>
    <row r="12" ht="21" customHeight="1" s="98">
      <c r="A12" s="137" t="n"/>
      <c r="B12" s="125" t="n"/>
      <c r="C12" s="145" t="n"/>
      <c r="D12" s="145" t="n"/>
      <c r="E12" s="145" t="n"/>
      <c r="F12" s="127">
        <f>IFERROR(__xludf.DUMMYFUNCTION("IFERROR($E12/INDEX(prs!$D$6:$D$12,MATCH(TRUE,ARRAYFORMULA(ISNUMBER(SEARCH(prs!$A$6:$A$12,$B12))),0)),"""")"),"")</f>
        <v/>
      </c>
      <c r="G12" s="128" t="n"/>
      <c r="H12" s="137" t="n"/>
      <c r="I12" s="125" t="n"/>
      <c r="J12" s="145" t="n"/>
      <c r="K12" s="145" t="n"/>
      <c r="L12" s="145" t="n"/>
      <c r="M12" s="127">
        <f>IFERROR(__xludf.DUMMYFUNCTION("IFERROR($L12/INDEX(prs!$D$6:$D$12,MATCH(TRUE,ARRAYFORMULA(ISNUMBER(SEARCH(prs!$A$6:$A$12,$I12))),0)),"""")"),"")</f>
        <v/>
      </c>
      <c r="N12" s="128" t="n"/>
      <c r="O12" s="137" t="n"/>
      <c r="P12" s="125" t="n"/>
      <c r="Q12" s="145" t="n"/>
      <c r="R12" s="145" t="n"/>
      <c r="S12" s="145" t="n"/>
      <c r="T12" s="127">
        <f>IFERROR(__xludf.DUMMYFUNCTION("IFERROR($S12/INDEX(prs!$D$6:$D$12,MATCH(TRUE,ARRAYFORMULA(ISNUMBER(SEARCH(prs!$A$6:$A$12,$P12))),0)),"""")"),"")</f>
        <v/>
      </c>
      <c r="U12" s="128" t="n"/>
      <c r="V12" s="137" t="n"/>
      <c r="W12" s="125" t="n"/>
      <c r="X12" s="145" t="n"/>
      <c r="Y12" s="145" t="n"/>
      <c r="Z12" s="145" t="n"/>
      <c r="AA12" s="127">
        <f>IFERROR(__xludf.DUMMYFUNCTION("IFERROR($Z12/INDEX(prs!$D$6:$D$12,MATCH(TRUE,ARRAYFORMULA(ISNUMBER(SEARCH(prs!$A$6:$A$12,$W12))),0)),"""")"),"")</f>
        <v/>
      </c>
      <c r="AB12" s="128" t="n"/>
      <c r="AC12" s="137" t="n"/>
    </row>
    <row r="13" ht="21" customHeight="1" s="98">
      <c r="A13" s="137" t="n"/>
      <c r="B13" s="125" t="n"/>
      <c r="C13" s="145" t="n"/>
      <c r="D13" s="145" t="n"/>
      <c r="E13" s="145" t="n"/>
      <c r="F13" s="127">
        <f>IFERROR(__xludf.DUMMYFUNCTION("IFERROR($E13/INDEX(prs!$D$6:$D$12,MATCH(TRUE,ARRAYFORMULA(ISNUMBER(SEARCH(prs!$A$6:$A$12,$B13))),0)),"""")"),"")</f>
        <v/>
      </c>
      <c r="G13" s="128" t="n"/>
      <c r="H13" s="137" t="n"/>
      <c r="I13" s="125" t="n"/>
      <c r="J13" s="145" t="n"/>
      <c r="K13" s="145" t="n"/>
      <c r="L13" s="145" t="n"/>
      <c r="M13" s="127">
        <f>IFERROR(__xludf.DUMMYFUNCTION("IFERROR($L13/INDEX(prs!$D$6:$D$12,MATCH(TRUE,ARRAYFORMULA(ISNUMBER(SEARCH(prs!$A$6:$A$12,$I13))),0)),"""")"),"")</f>
        <v/>
      </c>
      <c r="N13" s="128" t="n"/>
      <c r="O13" s="137" t="n"/>
      <c r="P13" s="125" t="n"/>
      <c r="Q13" s="145" t="n"/>
      <c r="R13" s="145" t="n"/>
      <c r="S13" s="145" t="n"/>
      <c r="T13" s="127">
        <f>IFERROR(__xludf.DUMMYFUNCTION("IFERROR($S13/INDEX(prs!$D$6:$D$12,MATCH(TRUE,ARRAYFORMULA(ISNUMBER(SEARCH(prs!$A$6:$A$12,$P13))),0)),"""")"),"")</f>
        <v/>
      </c>
      <c r="U13" s="128" t="n"/>
      <c r="V13" s="137" t="n"/>
      <c r="W13" s="125" t="n"/>
      <c r="X13" s="145" t="n"/>
      <c r="Y13" s="145" t="n"/>
      <c r="Z13" s="145" t="n"/>
      <c r="AA13" s="127">
        <f>IFERROR(__xludf.DUMMYFUNCTION("IFERROR($Z13/INDEX(prs!$D$6:$D$12,MATCH(TRUE,ARRAYFORMULA(ISNUMBER(SEARCH(prs!$A$6:$A$12,$W13))),0)),"""")"),"")</f>
        <v/>
      </c>
      <c r="AB13" s="128" t="n"/>
      <c r="AC13" s="137" t="n"/>
    </row>
    <row r="14" ht="21" customHeight="1" s="98">
      <c r="A14" s="137" t="n"/>
      <c r="B14" s="125" t="n"/>
      <c r="C14" s="145" t="n"/>
      <c r="D14" s="145" t="n"/>
      <c r="E14" s="145" t="n"/>
      <c r="F14" s="127">
        <f>IFERROR(__xludf.DUMMYFUNCTION("IFERROR($E14/INDEX(prs!$D$6:$D$12,MATCH(TRUE,ARRAYFORMULA(ISNUMBER(SEARCH(prs!$A$6:$A$12,$B14))),0)),"""")"),"")</f>
        <v/>
      </c>
      <c r="G14" s="128" t="n"/>
      <c r="H14" s="137" t="n"/>
      <c r="I14" s="125" t="n"/>
      <c r="J14" s="145" t="n"/>
      <c r="K14" s="145" t="n"/>
      <c r="L14" s="145" t="n"/>
      <c r="M14" s="127">
        <f>IFERROR(__xludf.DUMMYFUNCTION("IFERROR($L14/INDEX(prs!$D$6:$D$12,MATCH(TRUE,ARRAYFORMULA(ISNUMBER(SEARCH(prs!$A$6:$A$12,$I14))),0)),"""")"),"")</f>
        <v/>
      </c>
      <c r="N14" s="128" t="n"/>
      <c r="O14" s="137" t="n"/>
      <c r="P14" s="125" t="n"/>
      <c r="Q14" s="145" t="n"/>
      <c r="R14" s="145" t="n"/>
      <c r="S14" s="145" t="n"/>
      <c r="T14" s="127">
        <f>IFERROR(__xludf.DUMMYFUNCTION("IFERROR($S14/INDEX(prs!$D$6:$D$12,MATCH(TRUE,ARRAYFORMULA(ISNUMBER(SEARCH(prs!$A$6:$A$12,$P14))),0)),"""")"),"")</f>
        <v/>
      </c>
      <c r="U14" s="128" t="n"/>
      <c r="V14" s="137" t="n"/>
      <c r="W14" s="125" t="n"/>
      <c r="X14" s="145" t="n"/>
      <c r="Y14" s="145" t="n"/>
      <c r="Z14" s="145" t="n"/>
      <c r="AA14" s="127">
        <f>IFERROR(__xludf.DUMMYFUNCTION("IFERROR($Z14/INDEX(prs!$D$6:$D$12,MATCH(TRUE,ARRAYFORMULA(ISNUMBER(SEARCH(prs!$A$6:$A$12,$W14))),0)),"""")"),"")</f>
        <v/>
      </c>
      <c r="AB14" s="128" t="n"/>
      <c r="AC14" s="137" t="n"/>
    </row>
    <row r="15" ht="21" customHeight="1" s="98">
      <c r="A15" s="137" t="n"/>
      <c r="B15" s="125" t="n"/>
      <c r="C15" s="145" t="n"/>
      <c r="D15" s="145" t="n"/>
      <c r="E15" s="145" t="n"/>
      <c r="F15" s="127">
        <f>IFERROR(__xludf.DUMMYFUNCTION("IFERROR($E15/INDEX(prs!$D$6:$D$12,MATCH(TRUE,ARRAYFORMULA(ISNUMBER(SEARCH(prs!$A$6:$A$12,$B15))),0)),"""")"),"")</f>
        <v/>
      </c>
      <c r="G15" s="128" t="n"/>
      <c r="H15" s="137" t="n"/>
      <c r="I15" s="125" t="n"/>
      <c r="J15" s="145" t="n"/>
      <c r="K15" s="145" t="n"/>
      <c r="L15" s="145" t="n"/>
      <c r="M15" s="127">
        <f>IFERROR(__xludf.DUMMYFUNCTION("IFERROR($L15/INDEX(prs!$D$6:$D$12,MATCH(TRUE,ARRAYFORMULA(ISNUMBER(SEARCH(prs!$A$6:$A$12,$I15))),0)),"""")"),"")</f>
        <v/>
      </c>
      <c r="N15" s="128" t="n"/>
      <c r="O15" s="137" t="n"/>
      <c r="P15" s="125" t="n"/>
      <c r="Q15" s="145" t="n"/>
      <c r="R15" s="145" t="n"/>
      <c r="S15" s="145" t="n"/>
      <c r="T15" s="127">
        <f>IFERROR(__xludf.DUMMYFUNCTION("IFERROR($S15/INDEX(prs!$D$6:$D$12,MATCH(TRUE,ARRAYFORMULA(ISNUMBER(SEARCH(prs!$A$6:$A$12,$P15))),0)),"""")"),"")</f>
        <v/>
      </c>
      <c r="U15" s="128" t="n"/>
      <c r="V15" s="137" t="n"/>
      <c r="W15" s="125" t="n"/>
      <c r="X15" s="145" t="n"/>
      <c r="Y15" s="145" t="n"/>
      <c r="Z15" s="145" t="n"/>
      <c r="AA15" s="127">
        <f>IFERROR(__xludf.DUMMYFUNCTION("IFERROR($Z15/INDEX(prs!$D$6:$D$12,MATCH(TRUE,ARRAYFORMULA(ISNUMBER(SEARCH(prs!$A$6:$A$12,$W15))),0)),"""")"),"")</f>
        <v/>
      </c>
      <c r="AB15" s="128" t="n"/>
      <c r="AC15" s="137" t="n"/>
    </row>
    <row r="16" ht="18" customHeight="1" s="98">
      <c r="A16" s="146" t="n"/>
      <c r="B16" s="147" t="n"/>
      <c r="C16" s="148" t="inlineStr">
        <is>
          <t>SEMANA 01</t>
        </is>
      </c>
      <c r="D16" s="129" t="n"/>
      <c r="E16" s="129" t="n"/>
      <c r="F16" s="129" t="n"/>
      <c r="G16" s="129" t="n"/>
      <c r="H16" s="137" t="n"/>
      <c r="I16" s="147" t="n"/>
      <c r="J16" s="148" t="inlineStr">
        <is>
          <t>SEMANA 02</t>
        </is>
      </c>
      <c r="K16" s="129" t="n"/>
      <c r="L16" s="129" t="n"/>
      <c r="M16" s="129" t="n"/>
      <c r="N16" s="129" t="n"/>
      <c r="O16" s="137" t="n"/>
      <c r="P16" s="147" t="n"/>
      <c r="Q16" s="148" t="inlineStr">
        <is>
          <t>SEMANA 03</t>
        </is>
      </c>
      <c r="R16" s="129" t="n"/>
      <c r="S16" s="129" t="n"/>
      <c r="T16" s="129" t="n"/>
      <c r="U16" s="129" t="n"/>
      <c r="V16" s="137" t="n"/>
      <c r="W16" s="147" t="n"/>
      <c r="X16" s="148" t="inlineStr">
        <is>
          <t>SEMANA 04</t>
        </is>
      </c>
      <c r="Y16" s="129" t="n"/>
      <c r="Z16" s="129" t="n"/>
      <c r="AA16" s="129" t="n"/>
      <c r="AB16" s="129" t="n"/>
      <c r="AC16" s="137" t="n"/>
    </row>
    <row r="17" ht="8" customHeight="1" s="98">
      <c r="A17" s="149" t="n"/>
      <c r="B17" s="149" t="n"/>
      <c r="C17" s="149" t="n"/>
      <c r="D17" s="149" t="n"/>
      <c r="H17" s="149" t="n"/>
      <c r="I17" s="149" t="n"/>
      <c r="J17" s="149" t="n"/>
      <c r="K17" s="149" t="n"/>
      <c r="O17" s="149" t="n"/>
      <c r="P17" s="149" t="n"/>
      <c r="Q17" s="149" t="n"/>
      <c r="R17" s="149" t="n"/>
      <c r="V17" s="149" t="n"/>
      <c r="W17" s="149" t="n"/>
      <c r="X17" s="149" t="n"/>
      <c r="Y17" s="149" t="n"/>
      <c r="AC17" s="149" t="n"/>
    </row>
    <row r="18" ht="26" customHeight="1" s="98">
      <c r="A18" s="138" t="inlineStr">
        <is>
          <t>TREINO 02</t>
        </is>
      </c>
      <c r="B18" s="139" t="n"/>
      <c r="C18" s="140" t="n"/>
      <c r="D18" s="141" t="n"/>
      <c r="E18" s="141" t="n"/>
      <c r="F18" s="141" t="n"/>
      <c r="G18" s="141" t="n"/>
      <c r="H18" s="118" t="n"/>
      <c r="I18" s="139" t="n"/>
      <c r="J18" s="140" t="n"/>
      <c r="K18" s="141" t="n"/>
      <c r="L18" s="141" t="n"/>
      <c r="M18" s="141" t="n"/>
      <c r="N18" s="141" t="n"/>
      <c r="O18" s="118" t="n"/>
      <c r="P18" s="139" t="n"/>
      <c r="Q18" s="140" t="n"/>
      <c r="R18" s="141" t="n"/>
      <c r="S18" s="141" t="n"/>
      <c r="T18" s="141" t="n"/>
      <c r="U18" s="141" t="n"/>
      <c r="V18" s="118" t="n"/>
      <c r="W18" s="139" t="n"/>
      <c r="X18" s="140" t="n"/>
      <c r="Y18" s="141" t="n"/>
      <c r="Z18" s="141" t="n"/>
      <c r="AA18" s="141" t="n"/>
      <c r="AB18" s="141" t="n"/>
      <c r="AC18" s="139" t="n"/>
    </row>
    <row r="19" ht="18" customHeight="1" s="98">
      <c r="A19" s="142" t="n"/>
      <c r="B19" s="143" t="n"/>
      <c r="C19" s="144" t="inlineStr">
        <is>
          <t>SETS</t>
        </is>
      </c>
      <c r="D19" s="144" t="inlineStr">
        <is>
          <t>REPS</t>
        </is>
      </c>
      <c r="E19" s="144" t="inlineStr">
        <is>
          <t>KG</t>
        </is>
      </c>
      <c r="F19" s="144" t="inlineStr">
        <is>
          <t>%1RM</t>
        </is>
      </c>
      <c r="G19" s="144" t="inlineStr">
        <is>
          <t>OBS</t>
        </is>
      </c>
      <c r="H19" s="137" t="n"/>
      <c r="I19" s="143" t="n"/>
      <c r="J19" s="144" t="inlineStr">
        <is>
          <t>SETS</t>
        </is>
      </c>
      <c r="K19" s="144" t="inlineStr">
        <is>
          <t>REPS</t>
        </is>
      </c>
      <c r="L19" s="144" t="inlineStr">
        <is>
          <t>KG</t>
        </is>
      </c>
      <c r="M19" s="144" t="inlineStr">
        <is>
          <t>%1RM</t>
        </is>
      </c>
      <c r="N19" s="144" t="inlineStr">
        <is>
          <t>OBS</t>
        </is>
      </c>
      <c r="O19" s="137" t="n"/>
      <c r="P19" s="143" t="n"/>
      <c r="Q19" s="144" t="inlineStr">
        <is>
          <t>SETS</t>
        </is>
      </c>
      <c r="R19" s="144" t="inlineStr">
        <is>
          <t>REPS</t>
        </is>
      </c>
      <c r="S19" s="144" t="inlineStr">
        <is>
          <t>KG</t>
        </is>
      </c>
      <c r="T19" s="144" t="inlineStr">
        <is>
          <t>%1RM</t>
        </is>
      </c>
      <c r="U19" s="144" t="inlineStr">
        <is>
          <t>OBS</t>
        </is>
      </c>
      <c r="V19" s="137" t="n"/>
      <c r="W19" s="143" t="n"/>
      <c r="X19" s="144" t="inlineStr">
        <is>
          <t>SETS</t>
        </is>
      </c>
      <c r="Y19" s="144" t="inlineStr">
        <is>
          <t>REPS</t>
        </is>
      </c>
      <c r="Z19" s="144" t="inlineStr">
        <is>
          <t>KG</t>
        </is>
      </c>
      <c r="AA19" s="144" t="inlineStr">
        <is>
          <t>%1RM</t>
        </is>
      </c>
      <c r="AB19" s="144" t="inlineStr">
        <is>
          <t>OBS</t>
        </is>
      </c>
      <c r="AC19" s="149" t="n"/>
    </row>
    <row r="20" ht="18" customHeight="1" s="98">
      <c r="A20" s="142" t="n"/>
      <c r="B20" s="120" t="inlineStr">
        <is>
          <t>exercícios</t>
        </is>
      </c>
      <c r="C20" s="116" t="n"/>
      <c r="D20" s="116" t="n"/>
      <c r="E20" s="116" t="n"/>
      <c r="F20" s="116" t="inlineStr">
        <is>
          <t>pse</t>
        </is>
      </c>
      <c r="G20" s="116" t="n"/>
      <c r="H20" s="137" t="n"/>
      <c r="I20" s="120" t="inlineStr">
        <is>
          <t>exercícios</t>
        </is>
      </c>
      <c r="J20" s="116" t="n"/>
      <c r="K20" s="116" t="n"/>
      <c r="L20" s="116" t="n"/>
      <c r="M20" s="116" t="inlineStr">
        <is>
          <t>pse</t>
        </is>
      </c>
      <c r="N20" s="116" t="n"/>
      <c r="O20" s="137" t="n"/>
      <c r="P20" s="120" t="inlineStr">
        <is>
          <t>exercícios</t>
        </is>
      </c>
      <c r="Q20" s="116" t="n"/>
      <c r="R20" s="116" t="n"/>
      <c r="S20" s="116" t="n"/>
      <c r="T20" s="116" t="inlineStr">
        <is>
          <t>pse</t>
        </is>
      </c>
      <c r="U20" s="116" t="n"/>
      <c r="V20" s="137" t="n"/>
      <c r="W20" s="120" t="inlineStr">
        <is>
          <t>exercícios</t>
        </is>
      </c>
      <c r="X20" s="116" t="n"/>
      <c r="Y20" s="116" t="n"/>
      <c r="Z20" s="116" t="n"/>
      <c r="AA20" s="116" t="inlineStr">
        <is>
          <t>pse</t>
        </is>
      </c>
      <c r="AB20" s="116" t="n"/>
      <c r="AC20" s="149" t="n"/>
    </row>
    <row r="21" ht="21" customHeight="1" s="98">
      <c r="A21" s="149" t="n"/>
      <c r="B21" s="125" t="n"/>
      <c r="C21" s="145" t="n"/>
      <c r="D21" s="145" t="n"/>
      <c r="E21" s="145" t="n"/>
      <c r="F21" s="127">
        <f>IFERROR(__xludf.DUMMYFUNCTION("IFERROR($E21/INDEX(prs!$D$6:$D$12,MATCH(TRUE,ARRAYFORMULA(ISNUMBER(SEARCH(prs!$A$6:$A$12,$B21))),0)),"""")"),"")</f>
        <v/>
      </c>
      <c r="G21" s="128" t="n"/>
      <c r="H21" s="149" t="n"/>
      <c r="I21" s="125" t="n"/>
      <c r="J21" s="145" t="n"/>
      <c r="K21" s="145" t="n"/>
      <c r="L21" s="145" t="n"/>
      <c r="M21" s="127">
        <f>IFERROR(__xludf.DUMMYFUNCTION("IFERROR($L21/INDEX(prs!$D$6:$D$12,MATCH(TRUE,ARRAYFORMULA(ISNUMBER(SEARCH(prs!$A$6:$A$12,$I21))),0)),"""")"),"")</f>
        <v/>
      </c>
      <c r="N21" s="128" t="n"/>
      <c r="O21" s="149" t="n"/>
      <c r="P21" s="125" t="n"/>
      <c r="Q21" s="145" t="n"/>
      <c r="R21" s="145" t="n"/>
      <c r="S21" s="145" t="n"/>
      <c r="T21" s="127">
        <f>IFERROR(__xludf.DUMMYFUNCTION("IFERROR($S21/INDEX(prs!$D$6:$D$12,MATCH(TRUE,ARRAYFORMULA(ISNUMBER(SEARCH(prs!$A$6:$A$12,$P21))),0)),"""")"),"")</f>
        <v/>
      </c>
      <c r="U21" s="128" t="n"/>
      <c r="V21" s="149" t="n"/>
      <c r="W21" s="125" t="n"/>
      <c r="X21" s="145" t="n"/>
      <c r="Y21" s="145" t="n"/>
      <c r="Z21" s="145" t="n"/>
      <c r="AA21" s="127">
        <f>IFERROR(__xludf.DUMMYFUNCTION("IFERROR($Z21/INDEX(prs!$D$6:$D$12,MATCH(TRUE,ARRAYFORMULA(ISNUMBER(SEARCH(prs!$A$6:$A$12,$W21))),0)),"""")"),"")</f>
        <v/>
      </c>
      <c r="AB21" s="128" t="n"/>
      <c r="AC21" s="149" t="n"/>
    </row>
    <row r="22" ht="21" customHeight="1" s="98">
      <c r="A22" s="149" t="n"/>
      <c r="B22" s="125" t="n"/>
      <c r="C22" s="145" t="n"/>
      <c r="D22" s="145" t="n"/>
      <c r="E22" s="145" t="n"/>
      <c r="F22" s="127">
        <f>IFERROR(__xludf.DUMMYFUNCTION("IFERROR($E22/INDEX(prs!$D$6:$D$12,MATCH(TRUE,ARRAYFORMULA(ISNUMBER(SEARCH(prs!$A$6:$A$12,$B22))),0)),"""")"),"")</f>
        <v/>
      </c>
      <c r="G22" s="128" t="n"/>
      <c r="H22" s="149" t="n"/>
      <c r="I22" s="125" t="n"/>
      <c r="J22" s="145" t="n"/>
      <c r="K22" s="145" t="n"/>
      <c r="L22" s="145" t="n"/>
      <c r="M22" s="127">
        <f>IFERROR(__xludf.DUMMYFUNCTION("IFERROR($L22/INDEX(prs!$D$6:$D$12,MATCH(TRUE,ARRAYFORMULA(ISNUMBER(SEARCH(prs!$A$6:$A$12,$I22))),0)),"""")"),"")</f>
        <v/>
      </c>
      <c r="N22" s="128" t="n"/>
      <c r="O22" s="149" t="n"/>
      <c r="P22" s="125" t="n"/>
      <c r="Q22" s="145" t="n"/>
      <c r="R22" s="145" t="n"/>
      <c r="S22" s="145" t="n"/>
      <c r="T22" s="127">
        <f>IFERROR(__xludf.DUMMYFUNCTION("IFERROR($S22/INDEX(prs!$D$6:$D$12,MATCH(TRUE,ARRAYFORMULA(ISNUMBER(SEARCH(prs!$A$6:$A$12,$P22))),0)),"""")"),"")</f>
        <v/>
      </c>
      <c r="U22" s="128" t="n"/>
      <c r="V22" s="149" t="n"/>
      <c r="W22" s="125" t="n"/>
      <c r="X22" s="145" t="n"/>
      <c r="Y22" s="145" t="n"/>
      <c r="Z22" s="145" t="n"/>
      <c r="AA22" s="127">
        <f>IFERROR(__xludf.DUMMYFUNCTION("IFERROR($Z22/INDEX(prs!$D$6:$D$12,MATCH(TRUE,ARRAYFORMULA(ISNUMBER(SEARCH(prs!$A$6:$A$12,$W22))),0)),"""")"),"")</f>
        <v/>
      </c>
      <c r="AB22" s="128" t="n"/>
      <c r="AC22" s="149" t="n"/>
    </row>
    <row r="23" ht="21" customHeight="1" s="98">
      <c r="A23" s="149" t="n"/>
      <c r="B23" s="125" t="n"/>
      <c r="C23" s="145" t="n"/>
      <c r="D23" s="145" t="n"/>
      <c r="E23" s="145" t="n"/>
      <c r="F23" s="127">
        <f>IFERROR(__xludf.DUMMYFUNCTION("IFERROR($E23/INDEX(prs!$D$6:$D$12,MATCH(TRUE,ARRAYFORMULA(ISNUMBER(SEARCH(prs!$A$6:$A$12,$B23))),0)),"""")"),"")</f>
        <v/>
      </c>
      <c r="G23" s="128" t="n"/>
      <c r="H23" s="149" t="n"/>
      <c r="I23" s="125" t="n"/>
      <c r="J23" s="145" t="n"/>
      <c r="K23" s="145" t="n"/>
      <c r="L23" s="145" t="n"/>
      <c r="M23" s="127">
        <f>IFERROR(__xludf.DUMMYFUNCTION("IFERROR($L23/INDEX(prs!$D$6:$D$12,MATCH(TRUE,ARRAYFORMULA(ISNUMBER(SEARCH(prs!$A$6:$A$12,$I23))),0)),"""")"),"")</f>
        <v/>
      </c>
      <c r="N23" s="128" t="n"/>
      <c r="O23" s="149" t="n"/>
      <c r="P23" s="125" t="n"/>
      <c r="Q23" s="145" t="n"/>
      <c r="R23" s="145" t="n"/>
      <c r="S23" s="145" t="n"/>
      <c r="T23" s="127">
        <f>IFERROR(__xludf.DUMMYFUNCTION("IFERROR($S23/INDEX(prs!$D$6:$D$12,MATCH(TRUE,ARRAYFORMULA(ISNUMBER(SEARCH(prs!$A$6:$A$12,$P23))),0)),"""")"),"")</f>
        <v/>
      </c>
      <c r="U23" s="128" t="n"/>
      <c r="V23" s="149" t="n"/>
      <c r="W23" s="125" t="n"/>
      <c r="X23" s="145" t="n"/>
      <c r="Y23" s="145" t="n"/>
      <c r="Z23" s="145" t="n"/>
      <c r="AA23" s="127">
        <f>IFERROR(__xludf.DUMMYFUNCTION("IFERROR($Z23/INDEX(prs!$D$6:$D$12,MATCH(TRUE,ARRAYFORMULA(ISNUMBER(SEARCH(prs!$A$6:$A$12,$W23))),0)),"""")"),"")</f>
        <v/>
      </c>
      <c r="AB23" s="128" t="n"/>
      <c r="AC23" s="149" t="n"/>
    </row>
    <row r="24" ht="21" customHeight="1" s="98">
      <c r="A24" s="149" t="n"/>
      <c r="B24" s="125" t="n"/>
      <c r="C24" s="145" t="n"/>
      <c r="D24" s="145" t="n"/>
      <c r="E24" s="145" t="n"/>
      <c r="F24" s="127">
        <f>IFERROR(__xludf.DUMMYFUNCTION("IFERROR($E24/INDEX(prs!$D$6:$D$12,MATCH(TRUE,ARRAYFORMULA(ISNUMBER(SEARCH(prs!$A$6:$A$12,$B24))),0)),"""")"),"")</f>
        <v/>
      </c>
      <c r="G24" s="128" t="n"/>
      <c r="H24" s="149" t="n"/>
      <c r="I24" s="125" t="n"/>
      <c r="J24" s="145" t="n"/>
      <c r="K24" s="145" t="n"/>
      <c r="L24" s="145" t="n"/>
      <c r="M24" s="127">
        <f>IFERROR(__xludf.DUMMYFUNCTION("IFERROR($L24/INDEX(prs!$D$6:$D$12,MATCH(TRUE,ARRAYFORMULA(ISNUMBER(SEARCH(prs!$A$6:$A$12,$I24))),0)),"""")"),"")</f>
        <v/>
      </c>
      <c r="N24" s="128" t="n"/>
      <c r="O24" s="149" t="n"/>
      <c r="P24" s="125" t="n"/>
      <c r="Q24" s="145" t="n"/>
      <c r="R24" s="145" t="n"/>
      <c r="S24" s="145" t="n"/>
      <c r="T24" s="127">
        <f>IFERROR(__xludf.DUMMYFUNCTION("IFERROR($S24/INDEX(prs!$D$6:$D$12,MATCH(TRUE,ARRAYFORMULA(ISNUMBER(SEARCH(prs!$A$6:$A$12,$P24))),0)),"""")"),"")</f>
        <v/>
      </c>
      <c r="U24" s="128" t="n"/>
      <c r="V24" s="149" t="n"/>
      <c r="W24" s="125" t="n"/>
      <c r="X24" s="145" t="n"/>
      <c r="Y24" s="145" t="n"/>
      <c r="Z24" s="145" t="n"/>
      <c r="AA24" s="127">
        <f>IFERROR(__xludf.DUMMYFUNCTION("IFERROR($Z24/INDEX(prs!$D$6:$D$12,MATCH(TRUE,ARRAYFORMULA(ISNUMBER(SEARCH(prs!$A$6:$A$12,$W24))),0)),"""")"),"")</f>
        <v/>
      </c>
      <c r="AB24" s="128" t="n"/>
      <c r="AC24" s="149" t="n"/>
    </row>
    <row r="25" ht="21" customHeight="1" s="98">
      <c r="A25" s="149" t="n"/>
      <c r="B25" s="125" t="n"/>
      <c r="C25" s="145" t="n"/>
      <c r="D25" s="145" t="n"/>
      <c r="E25" s="145" t="n"/>
      <c r="F25" s="127">
        <f>IFERROR(__xludf.DUMMYFUNCTION("IFERROR($E25/INDEX(prs!$D$6:$D$12,MATCH(TRUE,ARRAYFORMULA(ISNUMBER(SEARCH(prs!$A$6:$A$12,$B25))),0)),"""")"),"")</f>
        <v/>
      </c>
      <c r="G25" s="128" t="n"/>
      <c r="H25" s="149" t="n"/>
      <c r="I25" s="125" t="n"/>
      <c r="J25" s="145" t="n"/>
      <c r="K25" s="145" t="n"/>
      <c r="L25" s="145" t="n"/>
      <c r="M25" s="127">
        <f>IFERROR(__xludf.DUMMYFUNCTION("IFERROR($L25/INDEX(prs!$D$6:$D$12,MATCH(TRUE,ARRAYFORMULA(ISNUMBER(SEARCH(prs!$A$6:$A$12,$I25))),0)),"""")"),"")</f>
        <v/>
      </c>
      <c r="N25" s="128" t="n"/>
      <c r="O25" s="149" t="n"/>
      <c r="P25" s="125" t="n"/>
      <c r="Q25" s="145" t="n"/>
      <c r="R25" s="145" t="n"/>
      <c r="S25" s="145" t="n"/>
      <c r="T25" s="127">
        <f>IFERROR(__xludf.DUMMYFUNCTION("IFERROR($S25/INDEX(prs!$D$6:$D$12,MATCH(TRUE,ARRAYFORMULA(ISNUMBER(SEARCH(prs!$A$6:$A$12,$P25))),0)),"""")"),"")</f>
        <v/>
      </c>
      <c r="U25" s="128" t="n"/>
      <c r="V25" s="149" t="n"/>
      <c r="W25" s="125" t="n"/>
      <c r="X25" s="145" t="n"/>
      <c r="Y25" s="145" t="n"/>
      <c r="Z25" s="145" t="n"/>
      <c r="AA25" s="127">
        <f>IFERROR(__xludf.DUMMYFUNCTION("IFERROR($Z25/INDEX(prs!$D$6:$D$12,MATCH(TRUE,ARRAYFORMULA(ISNUMBER(SEARCH(prs!$A$6:$A$12,$W25))),0)),"""")"),"")</f>
        <v/>
      </c>
      <c r="AB25" s="128" t="n"/>
      <c r="AC25" s="149" t="n"/>
    </row>
    <row r="26" ht="21" customHeight="1" s="98">
      <c r="A26" s="149" t="n"/>
      <c r="B26" s="125" t="n"/>
      <c r="C26" s="145" t="n"/>
      <c r="D26" s="145" t="n"/>
      <c r="E26" s="145" t="n"/>
      <c r="F26" s="127">
        <f>IFERROR(__xludf.DUMMYFUNCTION("IFERROR($E26/INDEX(prs!$D$6:$D$12,MATCH(TRUE,ARRAYFORMULA(ISNUMBER(SEARCH(prs!$A$6:$A$12,$B26))),0)),"""")"),"")</f>
        <v/>
      </c>
      <c r="G26" s="128" t="n"/>
      <c r="H26" s="149" t="n"/>
      <c r="I26" s="125" t="n"/>
      <c r="J26" s="145" t="n"/>
      <c r="K26" s="145" t="n"/>
      <c r="L26" s="145" t="n"/>
      <c r="M26" s="127">
        <f>IFERROR(__xludf.DUMMYFUNCTION("IFERROR($L26/INDEX(prs!$D$6:$D$12,MATCH(TRUE,ARRAYFORMULA(ISNUMBER(SEARCH(prs!$A$6:$A$12,$I26))),0)),"""")"),"")</f>
        <v/>
      </c>
      <c r="N26" s="128" t="n"/>
      <c r="O26" s="149" t="n"/>
      <c r="P26" s="125" t="n"/>
      <c r="Q26" s="145" t="n"/>
      <c r="R26" s="145" t="n"/>
      <c r="S26" s="145" t="n"/>
      <c r="T26" s="127">
        <f>IFERROR(__xludf.DUMMYFUNCTION("IFERROR($S26/INDEX(prs!$D$6:$D$12,MATCH(TRUE,ARRAYFORMULA(ISNUMBER(SEARCH(prs!$A$6:$A$12,$P26))),0)),"""")"),"")</f>
        <v/>
      </c>
      <c r="U26" s="128" t="n"/>
      <c r="V26" s="149" t="n"/>
      <c r="W26" s="125" t="n"/>
      <c r="X26" s="145" t="n"/>
      <c r="Y26" s="145" t="n"/>
      <c r="Z26" s="145" t="n"/>
      <c r="AA26" s="127">
        <f>IFERROR(__xludf.DUMMYFUNCTION("IFERROR($Z26/INDEX(prs!$D$6:$D$12,MATCH(TRUE,ARRAYFORMULA(ISNUMBER(SEARCH(prs!$A$6:$A$12,$W26))),0)),"""")"),"")</f>
        <v/>
      </c>
      <c r="AB26" s="128" t="n"/>
      <c r="AC26" s="149" t="n"/>
    </row>
    <row r="27" ht="21" customHeight="1" s="98">
      <c r="A27" s="149" t="n"/>
      <c r="B27" s="125" t="n"/>
      <c r="C27" s="145" t="n"/>
      <c r="D27" s="145" t="n"/>
      <c r="E27" s="145" t="n"/>
      <c r="F27" s="127">
        <f>IFERROR(__xludf.DUMMYFUNCTION("IFERROR($E27/INDEX(prs!$D$6:$D$12,MATCH(TRUE,ARRAYFORMULA(ISNUMBER(SEARCH(prs!$A$6:$A$12,$B27))),0)),"""")"),"")</f>
        <v/>
      </c>
      <c r="G27" s="128" t="n"/>
      <c r="H27" s="149" t="n"/>
      <c r="I27" s="125" t="n"/>
      <c r="J27" s="145" t="n"/>
      <c r="K27" s="145" t="n"/>
      <c r="L27" s="145" t="n"/>
      <c r="M27" s="127">
        <f>IFERROR(__xludf.DUMMYFUNCTION("IFERROR($L27/INDEX(prs!$D$6:$D$12,MATCH(TRUE,ARRAYFORMULA(ISNUMBER(SEARCH(prs!$A$6:$A$12,$I27))),0)),"""")"),"")</f>
        <v/>
      </c>
      <c r="N27" s="128" t="n"/>
      <c r="O27" s="149" t="n"/>
      <c r="P27" s="125" t="n"/>
      <c r="Q27" s="145" t="n"/>
      <c r="R27" s="145" t="n"/>
      <c r="S27" s="145" t="n"/>
      <c r="T27" s="127">
        <f>IFERROR(__xludf.DUMMYFUNCTION("IFERROR($S27/INDEX(prs!$D$6:$D$12,MATCH(TRUE,ARRAYFORMULA(ISNUMBER(SEARCH(prs!$A$6:$A$12,$P27))),0)),"""")"),"")</f>
        <v/>
      </c>
      <c r="U27" s="128" t="n"/>
      <c r="V27" s="149" t="n"/>
      <c r="W27" s="125" t="n"/>
      <c r="X27" s="145" t="n"/>
      <c r="Y27" s="145" t="n"/>
      <c r="Z27" s="145" t="n"/>
      <c r="AA27" s="127">
        <f>IFERROR(__xludf.DUMMYFUNCTION("IFERROR($Z27/INDEX(prs!$D$6:$D$12,MATCH(TRUE,ARRAYFORMULA(ISNUMBER(SEARCH(prs!$A$6:$A$12,$W27))),0)),"""")"),"")</f>
        <v/>
      </c>
      <c r="AB27" s="128" t="n"/>
      <c r="AC27" s="149" t="n"/>
    </row>
    <row r="28" ht="21" customHeight="1" s="98">
      <c r="A28" s="149" t="n"/>
      <c r="B28" s="125" t="n"/>
      <c r="C28" s="145" t="n"/>
      <c r="D28" s="145" t="n"/>
      <c r="E28" s="145" t="n"/>
      <c r="F28" s="127">
        <f>IFERROR(__xludf.DUMMYFUNCTION("IFERROR($E28/INDEX(prs!$D$6:$D$12,MATCH(TRUE,ARRAYFORMULA(ISNUMBER(SEARCH(prs!$A$6:$A$12,$B28))),0)),"""")"),"")</f>
        <v/>
      </c>
      <c r="G28" s="128" t="n"/>
      <c r="H28" s="149" t="n"/>
      <c r="I28" s="125" t="n"/>
      <c r="J28" s="145" t="n"/>
      <c r="K28" s="145" t="n"/>
      <c r="L28" s="145" t="n"/>
      <c r="M28" s="127">
        <f>IFERROR(__xludf.DUMMYFUNCTION("IFERROR($L28/INDEX(prs!$D$6:$D$12,MATCH(TRUE,ARRAYFORMULA(ISNUMBER(SEARCH(prs!$A$6:$A$12,$I28))),0)),"""")"),"")</f>
        <v/>
      </c>
      <c r="N28" s="128" t="n"/>
      <c r="O28" s="149" t="n"/>
      <c r="P28" s="125" t="n"/>
      <c r="Q28" s="145" t="n"/>
      <c r="R28" s="145" t="n"/>
      <c r="S28" s="145" t="n"/>
      <c r="T28" s="127">
        <f>IFERROR(__xludf.DUMMYFUNCTION("IFERROR($S28/INDEX(prs!$D$6:$D$12,MATCH(TRUE,ARRAYFORMULA(ISNUMBER(SEARCH(prs!$A$6:$A$12,$P28))),0)),"""")"),"")</f>
        <v/>
      </c>
      <c r="U28" s="128" t="n"/>
      <c r="V28" s="149" t="n"/>
      <c r="W28" s="125" t="n"/>
      <c r="X28" s="145" t="n"/>
      <c r="Y28" s="145" t="n"/>
      <c r="Z28" s="145" t="n"/>
      <c r="AA28" s="127">
        <f>IFERROR(__xludf.DUMMYFUNCTION("IFERROR($Z28/INDEX(prs!$D$6:$D$12,MATCH(TRUE,ARRAYFORMULA(ISNUMBER(SEARCH(prs!$A$6:$A$12,$W28))),0)),"""")"),"")</f>
        <v/>
      </c>
      <c r="AB28" s="128" t="n"/>
      <c r="AC28" s="149" t="n"/>
    </row>
    <row r="29" ht="21" customHeight="1" s="98">
      <c r="A29" s="149" t="n"/>
      <c r="B29" s="125" t="n"/>
      <c r="C29" s="145" t="n"/>
      <c r="D29" s="145" t="n"/>
      <c r="E29" s="145" t="n"/>
      <c r="F29" s="127">
        <f>IFERROR(__xludf.DUMMYFUNCTION("IFERROR($E29/INDEX(prs!$D$6:$D$12,MATCH(TRUE,ARRAYFORMULA(ISNUMBER(SEARCH(prs!$A$6:$A$12,$B29))),0)),"""")"),"")</f>
        <v/>
      </c>
      <c r="G29" s="128" t="n"/>
      <c r="H29" s="149" t="n"/>
      <c r="I29" s="125" t="n"/>
      <c r="J29" s="145" t="n"/>
      <c r="K29" s="145" t="n"/>
      <c r="L29" s="145" t="n"/>
      <c r="M29" s="127">
        <f>IFERROR(__xludf.DUMMYFUNCTION("IFERROR($L29/INDEX(prs!$D$6:$D$12,MATCH(TRUE,ARRAYFORMULA(ISNUMBER(SEARCH(prs!$A$6:$A$12,$I29))),0)),"""")"),"")</f>
        <v/>
      </c>
      <c r="N29" s="128" t="n"/>
      <c r="O29" s="149" t="n"/>
      <c r="P29" s="125" t="n"/>
      <c r="Q29" s="145" t="n"/>
      <c r="R29" s="145" t="n"/>
      <c r="S29" s="145" t="n"/>
      <c r="T29" s="127">
        <f>IFERROR(__xludf.DUMMYFUNCTION("IFERROR($S29/INDEX(prs!$D$6:$D$12,MATCH(TRUE,ARRAYFORMULA(ISNUMBER(SEARCH(prs!$A$6:$A$12,$P29))),0)),"""")"),"")</f>
        <v/>
      </c>
      <c r="U29" s="128" t="n"/>
      <c r="V29" s="149" t="n"/>
      <c r="W29" s="125" t="n"/>
      <c r="X29" s="145" t="n"/>
      <c r="Y29" s="145" t="n"/>
      <c r="Z29" s="145" t="n"/>
      <c r="AA29" s="127">
        <f>IFERROR(__xludf.DUMMYFUNCTION("IFERROR($Z29/INDEX(prs!$D$6:$D$12,MATCH(TRUE,ARRAYFORMULA(ISNUMBER(SEARCH(prs!$A$6:$A$12,$W29))),0)),"""")"),"")</f>
        <v/>
      </c>
      <c r="AB29" s="128" t="n"/>
      <c r="AC29" s="149" t="n"/>
    </row>
    <row r="30" ht="21" customHeight="1" s="98">
      <c r="A30" s="149" t="n"/>
      <c r="B30" s="125" t="n"/>
      <c r="C30" s="145" t="n"/>
      <c r="D30" s="145" t="n"/>
      <c r="E30" s="145" t="n"/>
      <c r="F30" s="127">
        <f>IFERROR(__xludf.DUMMYFUNCTION("IFERROR($E30/INDEX(prs!$D$6:$D$12,MATCH(TRUE,ARRAYFORMULA(ISNUMBER(SEARCH(prs!$A$6:$A$12,$B30))),0)),"""")"),"")</f>
        <v/>
      </c>
      <c r="G30" s="128" t="n"/>
      <c r="H30" s="149" t="n"/>
      <c r="I30" s="125" t="n"/>
      <c r="J30" s="145" t="n"/>
      <c r="K30" s="145" t="n"/>
      <c r="L30" s="145" t="n"/>
      <c r="M30" s="127">
        <f>IFERROR(__xludf.DUMMYFUNCTION("IFERROR($L30/INDEX(prs!$D$6:$D$12,MATCH(TRUE,ARRAYFORMULA(ISNUMBER(SEARCH(prs!$A$6:$A$12,$I30))),0)),"""")"),"")</f>
        <v/>
      </c>
      <c r="N30" s="128" t="n"/>
      <c r="O30" s="149" t="n"/>
      <c r="P30" s="125" t="n"/>
      <c r="Q30" s="145" t="n"/>
      <c r="R30" s="145" t="n"/>
      <c r="S30" s="145" t="n"/>
      <c r="T30" s="127">
        <f>IFERROR(__xludf.DUMMYFUNCTION("IFERROR($S30/INDEX(prs!$D$6:$D$12,MATCH(TRUE,ARRAYFORMULA(ISNUMBER(SEARCH(prs!$A$6:$A$12,$P30))),0)),"""")"),"")</f>
        <v/>
      </c>
      <c r="U30" s="128" t="n"/>
      <c r="V30" s="149" t="n"/>
      <c r="W30" s="125" t="n"/>
      <c r="X30" s="145" t="n"/>
      <c r="Y30" s="145" t="n"/>
      <c r="Z30" s="145" t="n"/>
      <c r="AA30" s="127">
        <f>IFERROR(__xludf.DUMMYFUNCTION("IFERROR($Z30/INDEX(prs!$D$6:$D$12,MATCH(TRUE,ARRAYFORMULA(ISNUMBER(SEARCH(prs!$A$6:$A$12,$W30))),0)),"""")"),"")</f>
        <v/>
      </c>
      <c r="AB30" s="128" t="n"/>
      <c r="AC30" s="149" t="n"/>
    </row>
    <row r="31" ht="18" customHeight="1" s="98">
      <c r="A31" s="146" t="n"/>
      <c r="B31" s="147" t="n"/>
      <c r="C31" s="148" t="inlineStr">
        <is>
          <t>SEMANA 01</t>
        </is>
      </c>
      <c r="D31" s="129" t="n"/>
      <c r="E31" s="129" t="n"/>
      <c r="F31" s="129" t="n"/>
      <c r="G31" s="129" t="n"/>
      <c r="H31" s="137" t="n"/>
      <c r="I31" s="147" t="n"/>
      <c r="J31" s="148" t="inlineStr">
        <is>
          <t>SEMANA 02</t>
        </is>
      </c>
      <c r="K31" s="129" t="n"/>
      <c r="L31" s="129" t="n"/>
      <c r="M31" s="129" t="n"/>
      <c r="N31" s="129" t="n"/>
      <c r="O31" s="137" t="n"/>
      <c r="P31" s="147" t="n"/>
      <c r="Q31" s="148" t="inlineStr">
        <is>
          <t>SEMANA 03</t>
        </is>
      </c>
      <c r="R31" s="129" t="n"/>
      <c r="S31" s="129" t="n"/>
      <c r="T31" s="129" t="n"/>
      <c r="U31" s="129" t="n"/>
      <c r="V31" s="137" t="n"/>
      <c r="W31" s="147" t="n"/>
      <c r="X31" s="148" t="inlineStr">
        <is>
          <t>SEMANA 04</t>
        </is>
      </c>
      <c r="Y31" s="129" t="n"/>
      <c r="Z31" s="129" t="n"/>
      <c r="AA31" s="129" t="n"/>
      <c r="AB31" s="129" t="n"/>
      <c r="AC31" s="149" t="n"/>
    </row>
    <row r="32" ht="8" customHeight="1" s="98">
      <c r="A32" s="137" t="n"/>
      <c r="B32" s="149" t="n"/>
      <c r="C32" s="137" t="n"/>
      <c r="D32" s="137" t="n"/>
      <c r="H32" s="137" t="n"/>
      <c r="I32" s="149" t="n"/>
      <c r="J32" s="137" t="n"/>
      <c r="K32" s="137" t="n"/>
      <c r="O32" s="137" t="n"/>
      <c r="P32" s="149" t="n"/>
      <c r="Q32" s="137" t="n"/>
      <c r="R32" s="137" t="n"/>
      <c r="V32" s="137" t="n"/>
      <c r="W32" s="149" t="n"/>
      <c r="X32" s="137" t="n"/>
      <c r="Y32" s="137" t="n"/>
      <c r="AC32" s="137" t="n"/>
    </row>
    <row r="33" ht="26" customHeight="1" s="98">
      <c r="A33" s="138" t="inlineStr">
        <is>
          <t>TREINO 03</t>
        </is>
      </c>
      <c r="B33" s="139" t="n"/>
      <c r="C33" s="118" t="n"/>
      <c r="D33" s="141" t="n"/>
      <c r="E33" s="141" t="n"/>
      <c r="F33" s="141" t="n"/>
      <c r="G33" s="141" t="n"/>
      <c r="H33" s="118" t="n"/>
      <c r="I33" s="139" t="n"/>
      <c r="J33" s="118" t="n"/>
      <c r="K33" s="141" t="n"/>
      <c r="L33" s="141" t="n"/>
      <c r="M33" s="141" t="n"/>
      <c r="N33" s="141" t="n"/>
      <c r="O33" s="118" t="n"/>
      <c r="P33" s="139" t="n"/>
      <c r="Q33" s="118" t="n"/>
      <c r="R33" s="141" t="n"/>
      <c r="S33" s="141" t="n"/>
      <c r="T33" s="141" t="n"/>
      <c r="U33" s="141" t="n"/>
      <c r="V33" s="118" t="n"/>
      <c r="W33" s="139" t="n"/>
      <c r="X33" s="118" t="n"/>
      <c r="Y33" s="141" t="n"/>
      <c r="Z33" s="141" t="n"/>
      <c r="AA33" s="141" t="n"/>
      <c r="AB33" s="141" t="n"/>
      <c r="AC33" s="118" t="n"/>
    </row>
    <row r="34" ht="18" customHeight="1" s="98">
      <c r="A34" s="142" t="n"/>
      <c r="B34" s="143" t="n"/>
      <c r="C34" s="144" t="inlineStr">
        <is>
          <t>SETS</t>
        </is>
      </c>
      <c r="D34" s="144" t="inlineStr">
        <is>
          <t>REPS</t>
        </is>
      </c>
      <c r="E34" s="144" t="inlineStr">
        <is>
          <t>KG</t>
        </is>
      </c>
      <c r="F34" s="144" t="inlineStr">
        <is>
          <t>%1RM</t>
        </is>
      </c>
      <c r="G34" s="144" t="inlineStr">
        <is>
          <t>OBS</t>
        </is>
      </c>
      <c r="H34" s="137" t="n"/>
      <c r="I34" s="143" t="n"/>
      <c r="J34" s="144" t="inlineStr">
        <is>
          <t>SETS</t>
        </is>
      </c>
      <c r="K34" s="144" t="inlineStr">
        <is>
          <t>REPS</t>
        </is>
      </c>
      <c r="L34" s="144" t="inlineStr">
        <is>
          <t>KG</t>
        </is>
      </c>
      <c r="M34" s="144" t="inlineStr">
        <is>
          <t>%1RM</t>
        </is>
      </c>
      <c r="N34" s="144" t="inlineStr">
        <is>
          <t>OBS</t>
        </is>
      </c>
      <c r="O34" s="137" t="n"/>
      <c r="P34" s="143" t="n"/>
      <c r="Q34" s="144" t="inlineStr">
        <is>
          <t>SETS</t>
        </is>
      </c>
      <c r="R34" s="144" t="inlineStr">
        <is>
          <t>REPS</t>
        </is>
      </c>
      <c r="S34" s="144" t="inlineStr">
        <is>
          <t>KG</t>
        </is>
      </c>
      <c r="T34" s="144" t="inlineStr">
        <is>
          <t>%1RM</t>
        </is>
      </c>
      <c r="U34" s="144" t="inlineStr">
        <is>
          <t>OBS</t>
        </is>
      </c>
      <c r="V34" s="137" t="n"/>
      <c r="W34" s="143" t="n"/>
      <c r="X34" s="144" t="inlineStr">
        <is>
          <t>SETS</t>
        </is>
      </c>
      <c r="Y34" s="144" t="inlineStr">
        <is>
          <t>REPS</t>
        </is>
      </c>
      <c r="Z34" s="144" t="inlineStr">
        <is>
          <t>KG</t>
        </is>
      </c>
      <c r="AA34" s="144" t="inlineStr">
        <is>
          <t>%1RM</t>
        </is>
      </c>
      <c r="AB34" s="144" t="inlineStr">
        <is>
          <t>OBS</t>
        </is>
      </c>
      <c r="AC34" s="137" t="n"/>
    </row>
    <row r="35" ht="18" customHeight="1" s="98">
      <c r="A35" s="142" t="n"/>
      <c r="B35" s="120" t="inlineStr">
        <is>
          <t>exercícios</t>
        </is>
      </c>
      <c r="C35" s="116" t="n"/>
      <c r="D35" s="116" t="n"/>
      <c r="E35" s="116" t="n"/>
      <c r="F35" s="116" t="inlineStr">
        <is>
          <t>pse</t>
        </is>
      </c>
      <c r="G35" s="116" t="n"/>
      <c r="H35" s="137" t="n"/>
      <c r="I35" s="120" t="inlineStr">
        <is>
          <t>exercícios</t>
        </is>
      </c>
      <c r="J35" s="116" t="n"/>
      <c r="K35" s="116" t="n"/>
      <c r="L35" s="116" t="n"/>
      <c r="M35" s="116" t="inlineStr">
        <is>
          <t>pse</t>
        </is>
      </c>
      <c r="N35" s="116" t="n"/>
      <c r="O35" s="137" t="n"/>
      <c r="P35" s="120" t="inlineStr">
        <is>
          <t>exercícios</t>
        </is>
      </c>
      <c r="Q35" s="116" t="n"/>
      <c r="R35" s="116" t="n"/>
      <c r="S35" s="116" t="n"/>
      <c r="T35" s="116" t="inlineStr">
        <is>
          <t>pse</t>
        </is>
      </c>
      <c r="U35" s="116" t="n"/>
      <c r="V35" s="137" t="n"/>
      <c r="W35" s="120" t="inlineStr">
        <is>
          <t>exercícios</t>
        </is>
      </c>
      <c r="X35" s="116" t="n"/>
      <c r="Y35" s="116" t="n"/>
      <c r="Z35" s="116" t="n"/>
      <c r="AA35" s="116" t="inlineStr">
        <is>
          <t>pse</t>
        </is>
      </c>
      <c r="AB35" s="116" t="n"/>
      <c r="AC35" s="137" t="n"/>
    </row>
    <row r="36" ht="21" customHeight="1" s="98">
      <c r="A36" s="137" t="n"/>
      <c r="B36" s="125" t="n"/>
      <c r="C36" s="145" t="n"/>
      <c r="D36" s="145" t="n"/>
      <c r="E36" s="145" t="n"/>
      <c r="F36" s="127">
        <f>IFERROR(__xludf.DUMMYFUNCTION("IFERROR($E36/INDEX(prs!$D$6:$D$12,MATCH(TRUE,ARRAYFORMULA(ISNUMBER(SEARCH(prs!$A$6:$A$12,$B36))),0)),"""")"),"")</f>
        <v/>
      </c>
      <c r="G36" s="128" t="n"/>
      <c r="H36" s="137" t="n"/>
      <c r="I36" s="125" t="n"/>
      <c r="J36" s="145" t="n"/>
      <c r="K36" s="145" t="n"/>
      <c r="L36" s="145" t="n"/>
      <c r="M36" s="127">
        <f>IFERROR(__xludf.DUMMYFUNCTION("IFERROR($L36/INDEX(prs!$D$6:$D$12,MATCH(TRUE,ARRAYFORMULA(ISNUMBER(SEARCH(prs!$A$6:$A$12,$I36))),0)),"""")"),"")</f>
        <v/>
      </c>
      <c r="N36" s="128" t="n"/>
      <c r="O36" s="137" t="n"/>
      <c r="P36" s="125" t="n"/>
      <c r="Q36" s="145" t="n"/>
      <c r="R36" s="145" t="n"/>
      <c r="S36" s="145" t="n"/>
      <c r="T36" s="127">
        <f>IFERROR(__xludf.DUMMYFUNCTION("IFERROR($S36/INDEX(prs!$D$6:$D$12,MATCH(TRUE,ARRAYFORMULA(ISNUMBER(SEARCH(prs!$A$6:$A$12,$P36))),0)),"""")"),"")</f>
        <v/>
      </c>
      <c r="U36" s="128" t="n"/>
      <c r="V36" s="137" t="n"/>
      <c r="W36" s="125" t="n"/>
      <c r="X36" s="145" t="n"/>
      <c r="Y36" s="145" t="n"/>
      <c r="Z36" s="145" t="n"/>
      <c r="AA36" s="127">
        <f>IFERROR(__xludf.DUMMYFUNCTION("IFERROR($Z36/INDEX(prs!$D$6:$D$12,MATCH(TRUE,ARRAYFORMULA(ISNUMBER(SEARCH(prs!$A$6:$A$12,$W36))),0)),"""")"),"")</f>
        <v/>
      </c>
      <c r="AB36" s="128" t="n"/>
      <c r="AC36" s="137" t="n"/>
    </row>
    <row r="37" ht="21" customHeight="1" s="98">
      <c r="A37" s="137" t="n"/>
      <c r="B37" s="125" t="n"/>
      <c r="C37" s="145" t="n"/>
      <c r="D37" s="145" t="n"/>
      <c r="E37" s="145" t="n"/>
      <c r="F37" s="127">
        <f>IFERROR(__xludf.DUMMYFUNCTION("IFERROR($E37/INDEX(prs!$D$6:$D$12,MATCH(TRUE,ARRAYFORMULA(ISNUMBER(SEARCH(prs!$A$6:$A$12,$B37))),0)),"""")"),"")</f>
        <v/>
      </c>
      <c r="G37" s="128" t="n"/>
      <c r="H37" s="137" t="n"/>
      <c r="I37" s="125" t="n"/>
      <c r="J37" s="145" t="n"/>
      <c r="K37" s="145" t="n"/>
      <c r="L37" s="145" t="n"/>
      <c r="M37" s="127">
        <f>IFERROR(__xludf.DUMMYFUNCTION("IFERROR($L37/INDEX(prs!$D$6:$D$12,MATCH(TRUE,ARRAYFORMULA(ISNUMBER(SEARCH(prs!$A$6:$A$12,$I37))),0)),"""")"),"")</f>
        <v/>
      </c>
      <c r="N37" s="128" t="n"/>
      <c r="O37" s="137" t="n"/>
      <c r="P37" s="125" t="n"/>
      <c r="Q37" s="145" t="n"/>
      <c r="R37" s="145" t="n"/>
      <c r="S37" s="145" t="n"/>
      <c r="T37" s="127">
        <f>IFERROR(__xludf.DUMMYFUNCTION("IFERROR($S37/INDEX(prs!$D$6:$D$12,MATCH(TRUE,ARRAYFORMULA(ISNUMBER(SEARCH(prs!$A$6:$A$12,$P37))),0)),"""")"),"")</f>
        <v/>
      </c>
      <c r="U37" s="128" t="n"/>
      <c r="V37" s="137" t="n"/>
      <c r="W37" s="125" t="n"/>
      <c r="X37" s="145" t="n"/>
      <c r="Y37" s="145" t="n"/>
      <c r="Z37" s="145" t="n"/>
      <c r="AA37" s="127">
        <f>IFERROR(__xludf.DUMMYFUNCTION("IFERROR($Z37/INDEX(prs!$D$6:$D$12,MATCH(TRUE,ARRAYFORMULA(ISNUMBER(SEARCH(prs!$A$6:$A$12,$W37))),0)),"""")"),"")</f>
        <v/>
      </c>
      <c r="AB37" s="128" t="n"/>
      <c r="AC37" s="137" t="n"/>
    </row>
    <row r="38" ht="21" customHeight="1" s="98">
      <c r="A38" s="137" t="n"/>
      <c r="B38" s="125" t="n"/>
      <c r="C38" s="145" t="n"/>
      <c r="D38" s="145" t="n"/>
      <c r="E38" s="145" t="n"/>
      <c r="F38" s="127">
        <f>IFERROR(__xludf.DUMMYFUNCTION("IFERROR($E38/INDEX(prs!$D$6:$D$12,MATCH(TRUE,ARRAYFORMULA(ISNUMBER(SEARCH(prs!$A$6:$A$12,$B38))),0)),"""")"),"")</f>
        <v/>
      </c>
      <c r="G38" s="128" t="n"/>
      <c r="H38" s="137" t="n"/>
      <c r="I38" s="125" t="n"/>
      <c r="J38" s="145" t="n"/>
      <c r="K38" s="145" t="n"/>
      <c r="L38" s="145" t="n"/>
      <c r="M38" s="127">
        <f>IFERROR(__xludf.DUMMYFUNCTION("IFERROR($L38/INDEX(prs!$D$6:$D$12,MATCH(TRUE,ARRAYFORMULA(ISNUMBER(SEARCH(prs!$A$6:$A$12,$I38))),0)),"""")"),"")</f>
        <v/>
      </c>
      <c r="N38" s="128" t="n"/>
      <c r="O38" s="137" t="n"/>
      <c r="P38" s="125" t="n"/>
      <c r="Q38" s="145" t="n"/>
      <c r="R38" s="145" t="n"/>
      <c r="S38" s="145" t="n"/>
      <c r="T38" s="127">
        <f>IFERROR(__xludf.DUMMYFUNCTION("IFERROR($S38/INDEX(prs!$D$6:$D$12,MATCH(TRUE,ARRAYFORMULA(ISNUMBER(SEARCH(prs!$A$6:$A$12,$P38))),0)),"""")"),"")</f>
        <v/>
      </c>
      <c r="U38" s="128" t="n"/>
      <c r="V38" s="137" t="n"/>
      <c r="W38" s="125" t="n"/>
      <c r="X38" s="145" t="n"/>
      <c r="Y38" s="145" t="n"/>
      <c r="Z38" s="145" t="n"/>
      <c r="AA38" s="127">
        <f>IFERROR(__xludf.DUMMYFUNCTION("IFERROR($Z38/INDEX(prs!$D$6:$D$12,MATCH(TRUE,ARRAYFORMULA(ISNUMBER(SEARCH(prs!$A$6:$A$12,$W38))),0)),"""")"),"")</f>
        <v/>
      </c>
      <c r="AB38" s="128" t="n"/>
      <c r="AC38" s="137" t="n"/>
    </row>
    <row r="39" ht="21" customHeight="1" s="98">
      <c r="A39" s="137" t="n"/>
      <c r="B39" s="125" t="n"/>
      <c r="C39" s="145" t="n"/>
      <c r="D39" s="145" t="n"/>
      <c r="E39" s="145" t="n"/>
      <c r="F39" s="127">
        <f>IFERROR(__xludf.DUMMYFUNCTION("IFERROR($E39/INDEX(prs!$D$6:$D$12,MATCH(TRUE,ARRAYFORMULA(ISNUMBER(SEARCH(prs!$A$6:$A$12,$B39))),0)),"""")"),"")</f>
        <v/>
      </c>
      <c r="G39" s="128" t="n"/>
      <c r="H39" s="137" t="n"/>
      <c r="I39" s="125" t="n"/>
      <c r="J39" s="145" t="n"/>
      <c r="K39" s="145" t="n"/>
      <c r="L39" s="145" t="n"/>
      <c r="M39" s="127">
        <f>IFERROR(__xludf.DUMMYFUNCTION("IFERROR($L39/INDEX(prs!$D$6:$D$12,MATCH(TRUE,ARRAYFORMULA(ISNUMBER(SEARCH(prs!$A$6:$A$12,$I39))),0)),"""")"),"")</f>
        <v/>
      </c>
      <c r="N39" s="128" t="n"/>
      <c r="O39" s="137" t="n"/>
      <c r="P39" s="125" t="n"/>
      <c r="Q39" s="145" t="n"/>
      <c r="R39" s="145" t="n"/>
      <c r="S39" s="145" t="n"/>
      <c r="T39" s="127">
        <f>IFERROR(__xludf.DUMMYFUNCTION("IFERROR($S39/INDEX(prs!$D$6:$D$12,MATCH(TRUE,ARRAYFORMULA(ISNUMBER(SEARCH(prs!$A$6:$A$12,$P39))),0)),"""")"),"")</f>
        <v/>
      </c>
      <c r="U39" s="128" t="n"/>
      <c r="V39" s="137" t="n"/>
      <c r="W39" s="125" t="n"/>
      <c r="X39" s="145" t="n"/>
      <c r="Y39" s="145" t="n"/>
      <c r="Z39" s="145" t="n"/>
      <c r="AA39" s="127">
        <f>IFERROR(__xludf.DUMMYFUNCTION("IFERROR($Z39/INDEX(prs!$D$6:$D$12,MATCH(TRUE,ARRAYFORMULA(ISNUMBER(SEARCH(prs!$A$6:$A$12,$W39))),0)),"""")"),"")</f>
        <v/>
      </c>
      <c r="AB39" s="128" t="n"/>
      <c r="AC39" s="137" t="n"/>
    </row>
    <row r="40" ht="21" customHeight="1" s="98">
      <c r="A40" s="137" t="n"/>
      <c r="B40" s="125" t="n"/>
      <c r="C40" s="145" t="n"/>
      <c r="D40" s="145" t="n"/>
      <c r="E40" s="145" t="n"/>
      <c r="F40" s="127">
        <f>IFERROR(__xludf.DUMMYFUNCTION("IFERROR($E40/INDEX(prs!$D$6:$D$12,MATCH(TRUE,ARRAYFORMULA(ISNUMBER(SEARCH(prs!$A$6:$A$12,$B40))),0)),"""")"),"")</f>
        <v/>
      </c>
      <c r="G40" s="128" t="n"/>
      <c r="H40" s="137" t="n"/>
      <c r="I40" s="125" t="n"/>
      <c r="J40" s="145" t="n"/>
      <c r="K40" s="145" t="n"/>
      <c r="L40" s="145" t="n"/>
      <c r="M40" s="127">
        <f>IFERROR(__xludf.DUMMYFUNCTION("IFERROR($L40/INDEX(prs!$D$6:$D$12,MATCH(TRUE,ARRAYFORMULA(ISNUMBER(SEARCH(prs!$A$6:$A$12,$I40))),0)),"""")"),"")</f>
        <v/>
      </c>
      <c r="N40" s="128" t="n"/>
      <c r="O40" s="137" t="n"/>
      <c r="P40" s="125" t="n"/>
      <c r="Q40" s="145" t="n"/>
      <c r="R40" s="145" t="n"/>
      <c r="S40" s="145" t="n"/>
      <c r="T40" s="127">
        <f>IFERROR(__xludf.DUMMYFUNCTION("IFERROR($S40/INDEX(prs!$D$6:$D$12,MATCH(TRUE,ARRAYFORMULA(ISNUMBER(SEARCH(prs!$A$6:$A$12,$P40))),0)),"""")"),"")</f>
        <v/>
      </c>
      <c r="U40" s="128" t="n"/>
      <c r="V40" s="137" t="n"/>
      <c r="W40" s="125" t="n"/>
      <c r="X40" s="145" t="n"/>
      <c r="Y40" s="145" t="n"/>
      <c r="Z40" s="145" t="n"/>
      <c r="AA40" s="127">
        <f>IFERROR(__xludf.DUMMYFUNCTION("IFERROR($Z40/INDEX(prs!$D$6:$D$12,MATCH(TRUE,ARRAYFORMULA(ISNUMBER(SEARCH(prs!$A$6:$A$12,$W40))),0)),"""")"),"")</f>
        <v/>
      </c>
      <c r="AB40" s="128" t="n"/>
      <c r="AC40" s="137" t="n"/>
    </row>
    <row r="41" ht="21" customHeight="1" s="98">
      <c r="A41" s="137" t="n"/>
      <c r="B41" s="125" t="n"/>
      <c r="C41" s="145" t="n"/>
      <c r="D41" s="145" t="n"/>
      <c r="E41" s="145" t="n"/>
      <c r="F41" s="127">
        <f>IFERROR(__xludf.DUMMYFUNCTION("IFERROR($E41/INDEX(prs!$D$6:$D$12,MATCH(TRUE,ARRAYFORMULA(ISNUMBER(SEARCH(prs!$A$6:$A$12,$B41))),0)),"""")"),"")</f>
        <v/>
      </c>
      <c r="G41" s="128" t="n"/>
      <c r="H41" s="137" t="n"/>
      <c r="I41" s="125" t="n"/>
      <c r="J41" s="145" t="n"/>
      <c r="K41" s="145" t="n"/>
      <c r="L41" s="145" t="n"/>
      <c r="M41" s="127">
        <f>IFERROR(__xludf.DUMMYFUNCTION("IFERROR($L41/INDEX(prs!$D$6:$D$12,MATCH(TRUE,ARRAYFORMULA(ISNUMBER(SEARCH(prs!$A$6:$A$12,$I41))),0)),"""")"),"")</f>
        <v/>
      </c>
      <c r="N41" s="128" t="n"/>
      <c r="O41" s="137" t="n"/>
      <c r="P41" s="125" t="n"/>
      <c r="Q41" s="145" t="n"/>
      <c r="R41" s="145" t="n"/>
      <c r="S41" s="145" t="n"/>
      <c r="T41" s="127">
        <f>IFERROR(__xludf.DUMMYFUNCTION("IFERROR($S41/INDEX(prs!$D$6:$D$12,MATCH(TRUE,ARRAYFORMULA(ISNUMBER(SEARCH(prs!$A$6:$A$12,$P41))),0)),"""")"),"")</f>
        <v/>
      </c>
      <c r="U41" s="128" t="n"/>
      <c r="V41" s="137" t="n"/>
      <c r="W41" s="125" t="n"/>
      <c r="X41" s="145" t="n"/>
      <c r="Y41" s="145" t="n"/>
      <c r="Z41" s="145" t="n"/>
      <c r="AA41" s="127">
        <f>IFERROR(__xludf.DUMMYFUNCTION("IFERROR($Z41/INDEX(prs!$D$6:$D$12,MATCH(TRUE,ARRAYFORMULA(ISNUMBER(SEARCH(prs!$A$6:$A$12,$W41))),0)),"""")"),"")</f>
        <v/>
      </c>
      <c r="AB41" s="128" t="n"/>
      <c r="AC41" s="137" t="n"/>
    </row>
    <row r="42" ht="21" customHeight="1" s="98">
      <c r="A42" s="137" t="n"/>
      <c r="B42" s="125" t="n"/>
      <c r="C42" s="145" t="n"/>
      <c r="D42" s="145" t="n"/>
      <c r="E42" s="145" t="n"/>
      <c r="F42" s="127">
        <f>IFERROR(__xludf.DUMMYFUNCTION("IFERROR($E42/INDEX(prs!$D$6:$D$12,MATCH(TRUE,ARRAYFORMULA(ISNUMBER(SEARCH(prs!$A$6:$A$12,$B42))),0)),"""")"),"")</f>
        <v/>
      </c>
      <c r="G42" s="128" t="n"/>
      <c r="H42" s="137" t="n"/>
      <c r="I42" s="125" t="n"/>
      <c r="J42" s="145" t="n"/>
      <c r="K42" s="145" t="n"/>
      <c r="L42" s="145" t="n"/>
      <c r="M42" s="127">
        <f>IFERROR(__xludf.DUMMYFUNCTION("IFERROR($L42/INDEX(prs!$D$6:$D$12,MATCH(TRUE,ARRAYFORMULA(ISNUMBER(SEARCH(prs!$A$6:$A$12,$I42))),0)),"""")"),"")</f>
        <v/>
      </c>
      <c r="N42" s="128" t="n"/>
      <c r="O42" s="137" t="n"/>
      <c r="P42" s="125" t="n"/>
      <c r="Q42" s="145" t="n"/>
      <c r="R42" s="145" t="n"/>
      <c r="S42" s="145" t="n"/>
      <c r="T42" s="127">
        <f>IFERROR(__xludf.DUMMYFUNCTION("IFERROR($S42/INDEX(prs!$D$6:$D$12,MATCH(TRUE,ARRAYFORMULA(ISNUMBER(SEARCH(prs!$A$6:$A$12,$P42))),0)),"""")"),"")</f>
        <v/>
      </c>
      <c r="U42" s="128" t="n"/>
      <c r="V42" s="137" t="n"/>
      <c r="W42" s="125" t="n"/>
      <c r="X42" s="145" t="n"/>
      <c r="Y42" s="145" t="n"/>
      <c r="Z42" s="145" t="n"/>
      <c r="AA42" s="127">
        <f>IFERROR(__xludf.DUMMYFUNCTION("IFERROR($Z42/INDEX(prs!$D$6:$D$12,MATCH(TRUE,ARRAYFORMULA(ISNUMBER(SEARCH(prs!$A$6:$A$12,$W42))),0)),"""")"),"")</f>
        <v/>
      </c>
      <c r="AB42" s="128" t="n"/>
      <c r="AC42" s="137" t="n"/>
    </row>
    <row r="43" ht="21" customHeight="1" s="98">
      <c r="A43" s="137" t="n"/>
      <c r="B43" s="125" t="n"/>
      <c r="C43" s="145" t="n"/>
      <c r="D43" s="145" t="n"/>
      <c r="E43" s="145" t="n"/>
      <c r="F43" s="127">
        <f>IFERROR(__xludf.DUMMYFUNCTION("IFERROR($E43/INDEX(prs!$D$6:$D$12,MATCH(TRUE,ARRAYFORMULA(ISNUMBER(SEARCH(prs!$A$6:$A$12,$B43))),0)),"""")"),"")</f>
        <v/>
      </c>
      <c r="G43" s="128" t="n"/>
      <c r="H43" s="137" t="n"/>
      <c r="I43" s="125" t="n"/>
      <c r="J43" s="145" t="n"/>
      <c r="K43" s="145" t="n"/>
      <c r="L43" s="145" t="n"/>
      <c r="M43" s="127">
        <f>IFERROR(__xludf.DUMMYFUNCTION("IFERROR($L43/INDEX(prs!$D$6:$D$12,MATCH(TRUE,ARRAYFORMULA(ISNUMBER(SEARCH(prs!$A$6:$A$12,$I43))),0)),"""")"),"")</f>
        <v/>
      </c>
      <c r="N43" s="128" t="n"/>
      <c r="O43" s="137" t="n"/>
      <c r="P43" s="125" t="n"/>
      <c r="Q43" s="145" t="n"/>
      <c r="R43" s="145" t="n"/>
      <c r="S43" s="145" t="n"/>
      <c r="T43" s="127">
        <f>IFERROR(__xludf.DUMMYFUNCTION("IFERROR($S43/INDEX(prs!$D$6:$D$12,MATCH(TRUE,ARRAYFORMULA(ISNUMBER(SEARCH(prs!$A$6:$A$12,$P43))),0)),"""")"),"")</f>
        <v/>
      </c>
      <c r="U43" s="128" t="n"/>
      <c r="V43" s="137" t="n"/>
      <c r="W43" s="125" t="n"/>
      <c r="X43" s="145" t="n"/>
      <c r="Y43" s="145" t="n"/>
      <c r="Z43" s="145" t="n"/>
      <c r="AA43" s="127">
        <f>IFERROR(__xludf.DUMMYFUNCTION("IFERROR($Z43/INDEX(prs!$D$6:$D$12,MATCH(TRUE,ARRAYFORMULA(ISNUMBER(SEARCH(prs!$A$6:$A$12,$W43))),0)),"""")"),"")</f>
        <v/>
      </c>
      <c r="AB43" s="128" t="n"/>
      <c r="AC43" s="137" t="n"/>
    </row>
    <row r="44" ht="21" customHeight="1" s="98">
      <c r="A44" s="137" t="n"/>
      <c r="B44" s="125" t="n"/>
      <c r="C44" s="145" t="n"/>
      <c r="D44" s="145" t="n"/>
      <c r="E44" s="145" t="n"/>
      <c r="F44" s="127">
        <f>IFERROR(__xludf.DUMMYFUNCTION("IFERROR($E44/INDEX(prs!$D$6:$D$12,MATCH(TRUE,ARRAYFORMULA(ISNUMBER(SEARCH(prs!$A$6:$A$12,$B44))),0)),"""")"),"")</f>
        <v/>
      </c>
      <c r="G44" s="128" t="n"/>
      <c r="H44" s="137" t="n"/>
      <c r="I44" s="125" t="n"/>
      <c r="J44" s="145" t="n"/>
      <c r="K44" s="145" t="n"/>
      <c r="L44" s="145" t="n"/>
      <c r="M44" s="127">
        <f>IFERROR(__xludf.DUMMYFUNCTION("IFERROR($L44/INDEX(prs!$D$6:$D$12,MATCH(TRUE,ARRAYFORMULA(ISNUMBER(SEARCH(prs!$A$6:$A$12,$I44))),0)),"""")"),"")</f>
        <v/>
      </c>
      <c r="N44" s="128" t="n"/>
      <c r="O44" s="137" t="n"/>
      <c r="P44" s="125" t="n"/>
      <c r="Q44" s="145" t="n"/>
      <c r="R44" s="145" t="n"/>
      <c r="S44" s="145" t="n"/>
      <c r="T44" s="127">
        <f>IFERROR(__xludf.DUMMYFUNCTION("IFERROR($S44/INDEX(prs!$D$6:$D$12,MATCH(TRUE,ARRAYFORMULA(ISNUMBER(SEARCH(prs!$A$6:$A$12,$P44))),0)),"""")"),"")</f>
        <v/>
      </c>
      <c r="U44" s="128" t="n"/>
      <c r="V44" s="137" t="n"/>
      <c r="W44" s="125" t="n"/>
      <c r="X44" s="145" t="n"/>
      <c r="Y44" s="145" t="n"/>
      <c r="Z44" s="145" t="n"/>
      <c r="AA44" s="127">
        <f>IFERROR(__xludf.DUMMYFUNCTION("IFERROR($Z44/INDEX(prs!$D$6:$D$12,MATCH(TRUE,ARRAYFORMULA(ISNUMBER(SEARCH(prs!$A$6:$A$12,$W44))),0)),"""")"),"")</f>
        <v/>
      </c>
      <c r="AB44" s="128" t="n"/>
      <c r="AC44" s="137" t="n"/>
    </row>
    <row r="45" ht="21" customHeight="1" s="98">
      <c r="A45" s="137" t="n"/>
      <c r="B45" s="125" t="n"/>
      <c r="C45" s="145" t="n"/>
      <c r="D45" s="145" t="n"/>
      <c r="E45" s="145" t="n"/>
      <c r="F45" s="127">
        <f>IFERROR(__xludf.DUMMYFUNCTION("IFERROR($E45/INDEX(prs!$D$6:$D$12,MATCH(TRUE,ARRAYFORMULA(ISNUMBER(SEARCH(prs!$A$6:$A$12,$B45))),0)),"""")"),"")</f>
        <v/>
      </c>
      <c r="G45" s="128" t="n"/>
      <c r="H45" s="137" t="n"/>
      <c r="I45" s="125" t="n"/>
      <c r="J45" s="145" t="n"/>
      <c r="K45" s="145" t="n"/>
      <c r="L45" s="145" t="n"/>
      <c r="M45" s="127">
        <f>IFERROR(__xludf.DUMMYFUNCTION("IFERROR($L45/INDEX(prs!$D$6:$D$12,MATCH(TRUE,ARRAYFORMULA(ISNUMBER(SEARCH(prs!$A$6:$A$12,$I45))),0)),"""")"),"")</f>
        <v/>
      </c>
      <c r="N45" s="128" t="n"/>
      <c r="O45" s="137" t="n"/>
      <c r="P45" s="125" t="n"/>
      <c r="Q45" s="145" t="n"/>
      <c r="R45" s="145" t="n"/>
      <c r="S45" s="145" t="n"/>
      <c r="T45" s="127">
        <f>IFERROR(__xludf.DUMMYFUNCTION("IFERROR($S45/INDEX(prs!$D$6:$D$12,MATCH(TRUE,ARRAYFORMULA(ISNUMBER(SEARCH(prs!$A$6:$A$12,$P45))),0)),"""")"),"")</f>
        <v/>
      </c>
      <c r="U45" s="128" t="n"/>
      <c r="V45" s="137" t="n"/>
      <c r="W45" s="125" t="n"/>
      <c r="X45" s="145" t="n"/>
      <c r="Y45" s="145" t="n"/>
      <c r="Z45" s="145" t="n"/>
      <c r="AA45" s="127">
        <f>IFERROR(__xludf.DUMMYFUNCTION("IFERROR($Z45/INDEX(prs!$D$6:$D$12,MATCH(TRUE,ARRAYFORMULA(ISNUMBER(SEARCH(prs!$A$6:$A$12,$W45))),0)),"""")"),"")</f>
        <v/>
      </c>
      <c r="AB45" s="128" t="n"/>
      <c r="AC45" s="137" t="n"/>
    </row>
    <row r="46" ht="18" customHeight="1" s="98">
      <c r="A46" s="146" t="n"/>
      <c r="B46" s="147" t="n"/>
      <c r="C46" s="148" t="inlineStr">
        <is>
          <t>SEMANA 01</t>
        </is>
      </c>
      <c r="D46" s="129" t="n"/>
      <c r="E46" s="129" t="n"/>
      <c r="F46" s="129" t="n"/>
      <c r="G46" s="129" t="n"/>
      <c r="H46" s="137" t="n"/>
      <c r="I46" s="147" t="n"/>
      <c r="J46" s="148" t="inlineStr">
        <is>
          <t>SEMANA 02</t>
        </is>
      </c>
      <c r="K46" s="129" t="n"/>
      <c r="L46" s="129" t="n"/>
      <c r="M46" s="129" t="n"/>
      <c r="N46" s="129" t="n"/>
      <c r="O46" s="137" t="n"/>
      <c r="P46" s="147" t="n"/>
      <c r="Q46" s="148" t="inlineStr">
        <is>
          <t>SEMANA 03</t>
        </is>
      </c>
      <c r="R46" s="129" t="n"/>
      <c r="S46" s="129" t="n"/>
      <c r="T46" s="129" t="n"/>
      <c r="U46" s="129" t="n"/>
      <c r="V46" s="137" t="n"/>
      <c r="W46" s="147" t="n"/>
      <c r="X46" s="148" t="inlineStr">
        <is>
          <t>SEMANA 04</t>
        </is>
      </c>
      <c r="Y46" s="129" t="n"/>
      <c r="Z46" s="129" t="n"/>
      <c r="AA46" s="129" t="n"/>
      <c r="AB46" s="129" t="n"/>
      <c r="AC46" s="137" t="n"/>
    </row>
    <row r="47" ht="8" customHeight="1" s="98">
      <c r="A47" s="149" t="n"/>
      <c r="B47" s="149" t="n"/>
      <c r="C47" s="149" t="n"/>
      <c r="D47" s="149" t="n"/>
      <c r="H47" s="149" t="n"/>
      <c r="I47" s="149" t="n"/>
      <c r="J47" s="149" t="n"/>
      <c r="K47" s="149" t="n"/>
      <c r="O47" s="149" t="n"/>
      <c r="P47" s="149" t="n"/>
      <c r="Q47" s="149" t="n"/>
      <c r="R47" s="149" t="n"/>
      <c r="V47" s="149" t="n"/>
      <c r="W47" s="149" t="n"/>
      <c r="X47" s="149" t="n"/>
      <c r="Y47" s="149" t="n"/>
      <c r="AC47" s="149" t="n"/>
    </row>
    <row r="48" ht="21" customHeight="1" s="98">
      <c r="A48" s="150" t="n"/>
      <c r="B48" s="150" t="n"/>
      <c r="C48" s="150" t="n"/>
      <c r="D48" s="150" t="n"/>
      <c r="E48" s="150" t="n"/>
      <c r="F48" s="150" t="n"/>
      <c r="G48" s="150" t="n"/>
      <c r="H48" s="150" t="n"/>
      <c r="I48" s="150" t="n"/>
      <c r="J48" s="150" t="n"/>
      <c r="K48" s="150" t="n"/>
      <c r="L48" s="150" t="n"/>
      <c r="M48" s="150" t="n"/>
      <c r="N48" s="150" t="n"/>
      <c r="O48" s="150" t="n"/>
      <c r="P48" s="150" t="n"/>
      <c r="Q48" s="150" t="n"/>
      <c r="R48" s="150" t="n"/>
      <c r="S48" s="150" t="n"/>
      <c r="T48" s="150" t="n"/>
      <c r="U48" s="150" t="n"/>
      <c r="V48" s="150" t="n"/>
      <c r="W48" s="150" t="n"/>
      <c r="X48" s="150" t="n"/>
      <c r="Y48" s="150" t="n"/>
      <c r="Z48" s="150" t="n"/>
      <c r="AA48" s="150" t="n"/>
      <c r="AB48" s="150" t="n"/>
      <c r="AC48" s="150" t="n"/>
    </row>
    <row r="49" ht="21" customHeight="1" s="98">
      <c r="A49" s="150" t="n"/>
      <c r="B49" s="150" t="n"/>
      <c r="C49" s="150" t="n"/>
      <c r="D49" s="150" t="n"/>
      <c r="E49" s="150" t="n"/>
      <c r="F49" s="150" t="n"/>
      <c r="G49" s="150" t="n"/>
      <c r="H49" s="150" t="n"/>
      <c r="I49" s="150" t="n"/>
      <c r="J49" s="150" t="n"/>
      <c r="K49" s="150" t="n"/>
      <c r="L49" s="150" t="n"/>
      <c r="M49" s="150" t="n"/>
      <c r="N49" s="150" t="n"/>
      <c r="O49" s="150" t="n"/>
      <c r="P49" s="150" t="n"/>
      <c r="Q49" s="150" t="n"/>
      <c r="R49" s="150" t="n"/>
      <c r="S49" s="150" t="n"/>
      <c r="T49" s="150" t="n"/>
      <c r="U49" s="150" t="n"/>
      <c r="V49" s="150" t="n"/>
      <c r="W49" s="150" t="n"/>
      <c r="X49" s="150" t="n"/>
      <c r="Y49" s="150" t="n"/>
      <c r="Z49" s="150" t="n"/>
      <c r="AA49" s="150" t="n"/>
      <c r="AB49" s="150" t="n"/>
      <c r="AC49" s="150" t="n"/>
    </row>
    <row r="50" ht="21" customHeight="1" s="98">
      <c r="A50" s="150" t="n"/>
      <c r="B50" s="150" t="n"/>
      <c r="C50" s="150" t="n"/>
      <c r="D50" s="150" t="n"/>
      <c r="E50" s="150" t="n"/>
      <c r="F50" s="150" t="n"/>
      <c r="G50" s="150" t="n"/>
      <c r="H50" s="150" t="n"/>
      <c r="I50" s="150" t="n"/>
      <c r="J50" s="150" t="n"/>
      <c r="K50" s="150" t="n"/>
      <c r="L50" s="150" t="n"/>
      <c r="M50" s="150" t="n"/>
      <c r="N50" s="150" t="n"/>
      <c r="O50" s="150" t="n"/>
      <c r="P50" s="150" t="n"/>
      <c r="Q50" s="150" t="n"/>
      <c r="R50" s="150" t="n"/>
      <c r="S50" s="150" t="n"/>
      <c r="T50" s="150" t="n"/>
      <c r="U50" s="150" t="n"/>
      <c r="V50" s="150" t="n"/>
      <c r="W50" s="150" t="n"/>
      <c r="X50" s="150" t="n"/>
      <c r="Y50" s="150" t="n"/>
      <c r="Z50" s="150" t="n"/>
      <c r="AA50" s="150" t="n"/>
      <c r="AB50" s="150" t="n"/>
      <c r="AC50" s="150" t="n"/>
    </row>
    <row r="51" ht="21" customHeight="1" s="98">
      <c r="A51" s="150" t="n"/>
      <c r="B51" s="150" t="n"/>
      <c r="C51" s="150" t="n"/>
      <c r="D51" s="150" t="n"/>
      <c r="E51" s="150" t="n"/>
      <c r="F51" s="150" t="n"/>
      <c r="G51" s="150" t="n"/>
      <c r="H51" s="150" t="n"/>
      <c r="I51" s="150" t="n"/>
      <c r="J51" s="150" t="n"/>
      <c r="K51" s="150" t="n"/>
      <c r="L51" s="150" t="n"/>
      <c r="M51" s="150" t="n"/>
      <c r="N51" s="150" t="n"/>
      <c r="O51" s="150" t="n"/>
      <c r="P51" s="150" t="n"/>
      <c r="Q51" s="150" t="n"/>
      <c r="R51" s="150" t="n"/>
      <c r="S51" s="150" t="n"/>
      <c r="T51" s="150" t="n"/>
      <c r="U51" s="150" t="n"/>
      <c r="V51" s="150" t="n"/>
      <c r="W51" s="150" t="n"/>
      <c r="X51" s="150" t="n"/>
      <c r="Y51" s="150" t="n"/>
      <c r="Z51" s="150" t="n"/>
      <c r="AA51" s="150" t="n"/>
      <c r="AB51" s="150" t="n"/>
      <c r="AC51" s="150" t="n"/>
    </row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40">
    <mergeCell ref="R17:U17"/>
    <mergeCell ref="Q16:U16"/>
    <mergeCell ref="K17:N17"/>
    <mergeCell ref="Q3:U3"/>
    <mergeCell ref="C33:G33"/>
    <mergeCell ref="X46:AB46"/>
    <mergeCell ref="Q33:U33"/>
    <mergeCell ref="Q18:U18"/>
    <mergeCell ref="R2:U2"/>
    <mergeCell ref="Y32:AB32"/>
    <mergeCell ref="X16:AB16"/>
    <mergeCell ref="C16:G16"/>
    <mergeCell ref="Y47:AB47"/>
    <mergeCell ref="C31:G31"/>
    <mergeCell ref="X18:AB18"/>
    <mergeCell ref="X3:AB3"/>
    <mergeCell ref="Q31:U31"/>
    <mergeCell ref="X33:AB33"/>
    <mergeCell ref="C46:G46"/>
    <mergeCell ref="J16:N16"/>
    <mergeCell ref="K47:N47"/>
    <mergeCell ref="Q46:U46"/>
    <mergeCell ref="Y2:AB2"/>
    <mergeCell ref="K32:N32"/>
    <mergeCell ref="D2:G2"/>
    <mergeCell ref="J31:N31"/>
    <mergeCell ref="D32:G32"/>
    <mergeCell ref="D17:G17"/>
    <mergeCell ref="J3:N3"/>
    <mergeCell ref="Y17:AB17"/>
    <mergeCell ref="J46:N46"/>
    <mergeCell ref="D47:G47"/>
    <mergeCell ref="J18:N18"/>
    <mergeCell ref="K2:N2"/>
    <mergeCell ref="J33:N33"/>
    <mergeCell ref="X31:AB31"/>
    <mergeCell ref="R47:U47"/>
    <mergeCell ref="C18:G18"/>
    <mergeCell ref="R32:U32"/>
    <mergeCell ref="C3:G3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4.xml><?xml version="1.0" encoding="utf-8"?>
<worksheet xmlns="http://schemas.openxmlformats.org/spreadsheetml/2006/main">
  <sheetPr>
    <tabColor rgb="008A877F"/>
    <outlinePr summaryBelow="0" summaryRight="0"/>
    <pageSetUpPr fitToPage="1"/>
  </sheetPr>
  <dimension ref="A1:G223"/>
  <sheetViews>
    <sheetView showGridLines="0" workbookViewId="0">
      <selection activeCell="A1" sqref="A1"/>
    </sheetView>
  </sheetViews>
  <sheetFormatPr baseColWidth="8" defaultColWidth="12.63" defaultRowHeight="15" customHeight="1"/>
  <cols>
    <col width="25.13" customWidth="1" style="98" min="1" max="1"/>
    <col width="12.63" customWidth="1" style="98" min="2" max="7"/>
  </cols>
  <sheetData>
    <row r="1" ht="30" customHeight="1" s="98">
      <c r="A1" s="8" t="n"/>
      <c r="B1" s="112" t="inlineStr">
        <is>
          <t>PLANILHA DE TREINAMENTO</t>
        </is>
      </c>
    </row>
    <row r="2" ht="21" customHeight="1" s="98">
      <c r="B2" s="113" t="inlineStr">
        <is>
          <t>NOME</t>
        </is>
      </c>
      <c r="C2" s="114">
        <f>'aluno 01'!C2</f>
        <v/>
      </c>
    </row>
    <row r="3" ht="21" customHeight="1" s="98">
      <c r="B3" s="113" t="inlineStr">
        <is>
          <t>OBJETIVO</t>
        </is>
      </c>
      <c r="C3" s="114">
        <f>'aluno 01'!C3</f>
        <v/>
      </c>
    </row>
    <row r="4" ht="8" customHeight="1" s="98">
      <c r="A4" s="115" t="n"/>
      <c r="B4" s="115" t="n"/>
      <c r="C4" s="115" t="n"/>
      <c r="D4" s="115" t="n"/>
      <c r="E4" s="115" t="n"/>
      <c r="F4" s="115" t="n"/>
      <c r="G4" s="115" t="n"/>
    </row>
    <row r="5" ht="18" customHeight="1" s="98">
      <c r="A5" s="116" t="n"/>
      <c r="B5" s="116" t="inlineStr">
        <is>
          <t>SEGUNDA</t>
        </is>
      </c>
      <c r="C5" s="116" t="inlineStr">
        <is>
          <t>TERÇA</t>
        </is>
      </c>
      <c r="D5" s="116" t="inlineStr">
        <is>
          <t>QUARTA</t>
        </is>
      </c>
      <c r="E5" s="116" t="inlineStr">
        <is>
          <t>QUINTA</t>
        </is>
      </c>
      <c r="F5" s="116" t="inlineStr">
        <is>
          <t>SEXTA</t>
        </is>
      </c>
      <c r="G5" s="116" t="n"/>
    </row>
    <row r="6" ht="21" customHeight="1" s="98">
      <c r="A6" s="117" t="n"/>
      <c r="B6" s="151">
        <f>'aluno 01'!B6</f>
        <v/>
      </c>
      <c r="C6" s="151">
        <f>'aluno 01'!C6</f>
        <v/>
      </c>
      <c r="D6" s="151">
        <f>'aluno 01'!D6</f>
        <v/>
      </c>
      <c r="E6" s="151">
        <f>'aluno 01'!E6</f>
        <v/>
      </c>
      <c r="F6" s="151">
        <f>'aluno 01'!F6</f>
        <v/>
      </c>
      <c r="G6" s="117" t="n"/>
    </row>
    <row r="7" ht="8" customHeight="1" s="98">
      <c r="A7" s="117" t="n"/>
      <c r="B7" s="117" t="n"/>
      <c r="C7" s="117" t="n"/>
      <c r="D7" s="117" t="n"/>
      <c r="E7" s="117" t="n"/>
      <c r="F7" s="117" t="n"/>
      <c r="G7" s="117" t="n"/>
    </row>
    <row r="8" ht="26" customHeight="1" s="98">
      <c r="A8" s="118" t="inlineStr">
        <is>
          <t>OBS</t>
        </is>
      </c>
    </row>
    <row r="9" ht="21" customHeight="1" s="98">
      <c r="A9" s="126">
        <f>'aluno 01'!A9</f>
        <v/>
      </c>
      <c r="B9" s="129" t="n"/>
      <c r="C9" s="129" t="n"/>
      <c r="D9" s="129" t="n"/>
      <c r="E9" s="129" t="n"/>
      <c r="F9" s="129" t="n"/>
      <c r="G9" s="129" t="n"/>
    </row>
    <row r="10" ht="21" customHeight="1" s="98"/>
    <row r="11" ht="26" customHeight="1" s="98">
      <c r="A11" s="118" t="inlineStr">
        <is>
          <t>AQC</t>
        </is>
      </c>
    </row>
    <row r="12" ht="18" customHeight="1" s="98">
      <c r="A12" s="120" t="n"/>
      <c r="B12" s="120" t="inlineStr">
        <is>
          <t>SETS</t>
        </is>
      </c>
      <c r="C12" s="120" t="inlineStr">
        <is>
          <t>REPS / TEMPO</t>
        </is>
      </c>
      <c r="D12" s="116" t="inlineStr">
        <is>
          <t>KG</t>
        </is>
      </c>
      <c r="E12" s="116" t="inlineStr">
        <is>
          <t>OBS</t>
        </is>
      </c>
    </row>
    <row r="13" ht="21" customHeight="1" s="98">
      <c r="A13" s="121" t="n"/>
      <c r="B13" s="122" t="n"/>
      <c r="C13" s="122" t="n"/>
      <c r="D13" s="122" t="n"/>
      <c r="E13" s="119" t="n"/>
    </row>
    <row r="14" ht="21" customHeight="1" s="98">
      <c r="A14" s="121" t="n"/>
      <c r="B14" s="122" t="n"/>
      <c r="C14" s="122" t="n"/>
      <c r="D14" s="122" t="n"/>
      <c r="E14" s="119" t="n"/>
    </row>
    <row r="15" ht="21" customHeight="1" s="98">
      <c r="A15" s="121" t="n"/>
      <c r="B15" s="122" t="n"/>
      <c r="C15" s="122" t="n"/>
      <c r="D15" s="122" t="n"/>
      <c r="E15" s="119" t="n"/>
    </row>
    <row r="16" ht="16" customHeight="1" s="98">
      <c r="A16" s="123">
        <f>'bloco 02'!C3</f>
        <v/>
      </c>
    </row>
    <row r="17" ht="30" customHeight="1" s="98">
      <c r="A17" s="124" t="inlineStr">
        <is>
          <t>SEMANA 01</t>
        </is>
      </c>
    </row>
    <row r="18" ht="26" customHeight="1" s="98">
      <c r="A18" s="118" t="inlineStr">
        <is>
          <t>TREINO 01</t>
        </is>
      </c>
    </row>
    <row r="19" ht="18" customHeight="1" s="98">
      <c r="A19" s="120" t="n"/>
      <c r="B19" s="120" t="inlineStr">
        <is>
          <t>SETS</t>
        </is>
      </c>
      <c r="C19" s="116" t="inlineStr">
        <is>
          <t>REPS</t>
        </is>
      </c>
      <c r="D19" s="116" t="inlineStr">
        <is>
          <t>KG</t>
        </is>
      </c>
      <c r="E19" s="116" t="inlineStr">
        <is>
          <t>%1RM / PSE</t>
        </is>
      </c>
      <c r="F19" s="116" t="inlineStr">
        <is>
          <t>OBS</t>
        </is>
      </c>
    </row>
    <row r="20" ht="21" customHeight="1" s="98">
      <c r="A20" s="125">
        <f>'bloco 02'!$B6</f>
        <v/>
      </c>
      <c r="B20" s="126">
        <f>'bloco 02'!C6</f>
        <v/>
      </c>
      <c r="C20" s="126">
        <f>'bloco 02'!D6</f>
        <v/>
      </c>
      <c r="D20" s="126">
        <f>'bloco 02'!E6</f>
        <v/>
      </c>
      <c r="E20" s="127">
        <f>IFERROR(('bloco 02'!F6),"")</f>
        <v/>
      </c>
      <c r="F20" s="128">
        <f>'bloco 02'!G6</f>
        <v/>
      </c>
      <c r="G20" s="129" t="n"/>
    </row>
    <row r="21" ht="21" customHeight="1" s="98">
      <c r="A21" s="125">
        <f>'bloco 02'!$B7</f>
        <v/>
      </c>
      <c r="B21" s="126">
        <f>'bloco 02'!C7</f>
        <v/>
      </c>
      <c r="C21" s="126">
        <f>'bloco 02'!D7</f>
        <v/>
      </c>
      <c r="D21" s="126">
        <f>'bloco 02'!E7</f>
        <v/>
      </c>
      <c r="E21" s="127">
        <f>IFERROR(('bloco 02'!F7),"")</f>
        <v/>
      </c>
      <c r="F21" s="128">
        <f>'bloco 02'!G7</f>
        <v/>
      </c>
      <c r="G21" s="129" t="n"/>
    </row>
    <row r="22" ht="21" customHeight="1" s="98">
      <c r="A22" s="125">
        <f>'bloco 02'!$B8</f>
        <v/>
      </c>
      <c r="B22" s="126">
        <f>'bloco 02'!C8</f>
        <v/>
      </c>
      <c r="C22" s="126">
        <f>'bloco 02'!D8</f>
        <v/>
      </c>
      <c r="D22" s="126">
        <f>'bloco 02'!E8</f>
        <v/>
      </c>
      <c r="E22" s="127">
        <f>IFERROR(('bloco 02'!F8),"")</f>
        <v/>
      </c>
      <c r="F22" s="128">
        <f>'bloco 02'!G8</f>
        <v/>
      </c>
      <c r="G22" s="129" t="n"/>
    </row>
    <row r="23" ht="21" customHeight="1" s="98">
      <c r="A23" s="125">
        <f>'bloco 02'!$B9</f>
        <v/>
      </c>
      <c r="B23" s="126">
        <f>'bloco 02'!C9</f>
        <v/>
      </c>
      <c r="C23" s="126">
        <f>'bloco 02'!D9</f>
        <v/>
      </c>
      <c r="D23" s="126">
        <f>'bloco 02'!E9</f>
        <v/>
      </c>
      <c r="E23" s="127">
        <f>IFERROR(('bloco 02'!F9),"")</f>
        <v/>
      </c>
      <c r="F23" s="128">
        <f>'bloco 02'!G9</f>
        <v/>
      </c>
      <c r="G23" s="129" t="n"/>
    </row>
    <row r="24" ht="21" customHeight="1" s="98">
      <c r="A24" s="125">
        <f>'bloco 02'!$B10</f>
        <v/>
      </c>
      <c r="B24" s="126">
        <f>'bloco 02'!C10</f>
        <v/>
      </c>
      <c r="C24" s="126">
        <f>'bloco 02'!D10</f>
        <v/>
      </c>
      <c r="D24" s="126">
        <f>'bloco 02'!E10</f>
        <v/>
      </c>
      <c r="E24" s="127">
        <f>IFERROR(('bloco 02'!F10),"")</f>
        <v/>
      </c>
      <c r="F24" s="128">
        <f>'bloco 02'!G10</f>
        <v/>
      </c>
      <c r="G24" s="129" t="n"/>
    </row>
    <row r="25" ht="21" customHeight="1" s="98">
      <c r="A25" s="125">
        <f>'bloco 02'!$B11</f>
        <v/>
      </c>
      <c r="B25" s="126">
        <f>'bloco 02'!C11</f>
        <v/>
      </c>
      <c r="C25" s="126">
        <f>'bloco 02'!D11</f>
        <v/>
      </c>
      <c r="D25" s="126">
        <f>'bloco 02'!E11</f>
        <v/>
      </c>
      <c r="E25" s="127">
        <f>IFERROR(('bloco 02'!F11),"")</f>
        <v/>
      </c>
      <c r="F25" s="128">
        <f>'bloco 02'!G11</f>
        <v/>
      </c>
      <c r="G25" s="129" t="n"/>
    </row>
    <row r="26" ht="21" customHeight="1" s="98">
      <c r="A26" s="125">
        <f>'bloco 02'!$B12</f>
        <v/>
      </c>
      <c r="B26" s="126">
        <f>'bloco 02'!C12</f>
        <v/>
      </c>
      <c r="C26" s="126">
        <f>'bloco 02'!D12</f>
        <v/>
      </c>
      <c r="D26" s="126">
        <f>'bloco 02'!E12</f>
        <v/>
      </c>
      <c r="E26" s="127">
        <f>IFERROR(('bloco 02'!F12),"")</f>
        <v/>
      </c>
      <c r="F26" s="128">
        <f>'bloco 02'!G12</f>
        <v/>
      </c>
      <c r="G26" s="129" t="n"/>
    </row>
    <row r="27" ht="21" customHeight="1" s="98">
      <c r="A27" s="125">
        <f>'bloco 02'!$B13</f>
        <v/>
      </c>
      <c r="B27" s="126">
        <f>'bloco 02'!C13</f>
        <v/>
      </c>
      <c r="C27" s="126">
        <f>'bloco 02'!D13</f>
        <v/>
      </c>
      <c r="D27" s="126">
        <f>'bloco 02'!E13</f>
        <v/>
      </c>
      <c r="E27" s="127">
        <f>IFERROR(('bloco 02'!F13),"")</f>
        <v/>
      </c>
      <c r="F27" s="128">
        <f>'bloco 02'!G13</f>
        <v/>
      </c>
      <c r="G27" s="129" t="n"/>
    </row>
    <row r="28" ht="21" customHeight="1" s="98">
      <c r="A28" s="125">
        <f>'bloco 02'!$B14</f>
        <v/>
      </c>
      <c r="B28" s="126">
        <f>'bloco 02'!C14</f>
        <v/>
      </c>
      <c r="C28" s="126">
        <f>'bloco 02'!D14</f>
        <v/>
      </c>
      <c r="D28" s="126">
        <f>'bloco 02'!E14</f>
        <v/>
      </c>
      <c r="E28" s="127">
        <f>IFERROR(('bloco 02'!F14),"")</f>
        <v/>
      </c>
      <c r="F28" s="128">
        <f>'bloco 02'!G14</f>
        <v/>
      </c>
      <c r="G28" s="129" t="n"/>
    </row>
    <row r="29" ht="21" customHeight="1" s="98">
      <c r="A29" s="125">
        <f>'bloco 02'!$B15</f>
        <v/>
      </c>
      <c r="B29" s="126">
        <f>'bloco 02'!C15</f>
        <v/>
      </c>
      <c r="C29" s="126">
        <f>'bloco 02'!D15</f>
        <v/>
      </c>
      <c r="D29" s="126">
        <f>'bloco 02'!E15</f>
        <v/>
      </c>
      <c r="E29" s="127">
        <f>IFERROR(('bloco 02'!F15),"")</f>
        <v/>
      </c>
      <c r="F29" s="128">
        <f>'bloco 02'!G15</f>
        <v/>
      </c>
      <c r="G29" s="129" t="n"/>
    </row>
    <row r="30" ht="26" customHeight="1" s="98">
      <c r="A30" s="118" t="inlineStr">
        <is>
          <t>TREINO 02</t>
        </is>
      </c>
    </row>
    <row r="31" ht="18" customHeight="1" s="98">
      <c r="A31" s="120" t="n"/>
      <c r="B31" s="120" t="inlineStr">
        <is>
          <t>SETS</t>
        </is>
      </c>
      <c r="C31" s="116" t="inlineStr">
        <is>
          <t>REPS</t>
        </is>
      </c>
      <c r="D31" s="116" t="inlineStr">
        <is>
          <t>KG</t>
        </is>
      </c>
      <c r="E31" s="116" t="inlineStr">
        <is>
          <t>%1RM / PSE</t>
        </is>
      </c>
      <c r="F31" s="116" t="inlineStr">
        <is>
          <t>OBS</t>
        </is>
      </c>
    </row>
    <row r="32" ht="21" customHeight="1" s="98">
      <c r="A32" s="125">
        <f>'bloco 02'!$B21</f>
        <v/>
      </c>
      <c r="B32" s="126">
        <f>'bloco 02'!C21</f>
        <v/>
      </c>
      <c r="C32" s="126">
        <f>'bloco 02'!D21</f>
        <v/>
      </c>
      <c r="D32" s="126">
        <f>'bloco 02'!E21</f>
        <v/>
      </c>
      <c r="E32" s="127">
        <f>IFERROR(('bloco 02'!F21),"")</f>
        <v/>
      </c>
      <c r="F32" s="128">
        <f>'bloco 02'!G21</f>
        <v/>
      </c>
      <c r="G32" s="129" t="n"/>
    </row>
    <row r="33" ht="21" customHeight="1" s="98">
      <c r="A33" s="125">
        <f>'bloco 02'!$B22</f>
        <v/>
      </c>
      <c r="B33" s="126">
        <f>'bloco 02'!C22</f>
        <v/>
      </c>
      <c r="C33" s="126">
        <f>'bloco 02'!D22</f>
        <v/>
      </c>
      <c r="D33" s="126">
        <f>'bloco 02'!E22</f>
        <v/>
      </c>
      <c r="E33" s="127">
        <f>IFERROR(('bloco 02'!F22),"")</f>
        <v/>
      </c>
      <c r="F33" s="128">
        <f>'bloco 02'!G22</f>
        <v/>
      </c>
      <c r="G33" s="129" t="n"/>
    </row>
    <row r="34" ht="21" customHeight="1" s="98">
      <c r="A34" s="125">
        <f>'bloco 02'!$B23</f>
        <v/>
      </c>
      <c r="B34" s="126">
        <f>'bloco 02'!C23</f>
        <v/>
      </c>
      <c r="C34" s="126">
        <f>'bloco 02'!D23</f>
        <v/>
      </c>
      <c r="D34" s="126">
        <f>'bloco 02'!E23</f>
        <v/>
      </c>
      <c r="E34" s="127">
        <f>IFERROR(('bloco 02'!F23),"")</f>
        <v/>
      </c>
      <c r="F34" s="128">
        <f>'bloco 02'!G23</f>
        <v/>
      </c>
      <c r="G34" s="129" t="n"/>
    </row>
    <row r="35" ht="21" customHeight="1" s="98">
      <c r="A35" s="125">
        <f>'bloco 02'!$B24</f>
        <v/>
      </c>
      <c r="B35" s="126">
        <f>'bloco 02'!C24</f>
        <v/>
      </c>
      <c r="C35" s="126">
        <f>'bloco 02'!D24</f>
        <v/>
      </c>
      <c r="D35" s="126">
        <f>'bloco 02'!E24</f>
        <v/>
      </c>
      <c r="E35" s="127">
        <f>IFERROR(('bloco 02'!F24),"")</f>
        <v/>
      </c>
      <c r="F35" s="128">
        <f>'bloco 02'!G24</f>
        <v/>
      </c>
      <c r="G35" s="129" t="n"/>
    </row>
    <row r="36" ht="21" customHeight="1" s="98">
      <c r="A36" s="125">
        <f>'bloco 02'!$B25</f>
        <v/>
      </c>
      <c r="B36" s="126">
        <f>'bloco 02'!C25</f>
        <v/>
      </c>
      <c r="C36" s="126">
        <f>'bloco 02'!D25</f>
        <v/>
      </c>
      <c r="D36" s="126">
        <f>'bloco 02'!E25</f>
        <v/>
      </c>
      <c r="E36" s="127">
        <f>IFERROR(('bloco 02'!F25),"")</f>
        <v/>
      </c>
      <c r="F36" s="128">
        <f>'bloco 02'!G25</f>
        <v/>
      </c>
      <c r="G36" s="129" t="n"/>
    </row>
    <row r="37" ht="21" customHeight="1" s="98">
      <c r="A37" s="125">
        <f>'bloco 02'!$B26</f>
        <v/>
      </c>
      <c r="B37" s="126">
        <f>'bloco 02'!C26</f>
        <v/>
      </c>
      <c r="C37" s="126">
        <f>'bloco 02'!D26</f>
        <v/>
      </c>
      <c r="D37" s="126">
        <f>'bloco 02'!E26</f>
        <v/>
      </c>
      <c r="E37" s="127">
        <f>IFERROR(('bloco 02'!F26),"")</f>
        <v/>
      </c>
      <c r="F37" s="128">
        <f>'bloco 02'!G26</f>
        <v/>
      </c>
      <c r="G37" s="129" t="n"/>
    </row>
    <row r="38" ht="21" customHeight="1" s="98">
      <c r="A38" s="125">
        <f>'bloco 02'!$B27</f>
        <v/>
      </c>
      <c r="B38" s="126">
        <f>'bloco 02'!C27</f>
        <v/>
      </c>
      <c r="C38" s="126">
        <f>'bloco 02'!D27</f>
        <v/>
      </c>
      <c r="D38" s="126">
        <f>'bloco 02'!E27</f>
        <v/>
      </c>
      <c r="E38" s="127">
        <f>IFERROR(('bloco 02'!F27),"")</f>
        <v/>
      </c>
      <c r="F38" s="128">
        <f>'bloco 02'!G27</f>
        <v/>
      </c>
      <c r="G38" s="129" t="n"/>
    </row>
    <row r="39" ht="21" customHeight="1" s="98">
      <c r="A39" s="125">
        <f>'bloco 02'!$B28</f>
        <v/>
      </c>
      <c r="B39" s="126">
        <f>'bloco 02'!C28</f>
        <v/>
      </c>
      <c r="C39" s="126">
        <f>'bloco 02'!D28</f>
        <v/>
      </c>
      <c r="D39" s="126">
        <f>'bloco 02'!E28</f>
        <v/>
      </c>
      <c r="E39" s="127">
        <f>IFERROR(('bloco 02'!F28),"")</f>
        <v/>
      </c>
      <c r="F39" s="128">
        <f>'bloco 02'!G28</f>
        <v/>
      </c>
      <c r="G39" s="129" t="n"/>
    </row>
    <row r="40" ht="21" customHeight="1" s="98">
      <c r="A40" s="125">
        <f>'bloco 02'!$B29</f>
        <v/>
      </c>
      <c r="B40" s="126">
        <f>'bloco 02'!C29</f>
        <v/>
      </c>
      <c r="C40" s="126">
        <f>'bloco 02'!D29</f>
        <v/>
      </c>
      <c r="D40" s="126">
        <f>'bloco 02'!E29</f>
        <v/>
      </c>
      <c r="E40" s="127">
        <f>IFERROR(('bloco 02'!F29),"")</f>
        <v/>
      </c>
      <c r="F40" s="128">
        <f>'bloco 02'!G29</f>
        <v/>
      </c>
      <c r="G40" s="129" t="n"/>
    </row>
    <row r="41" ht="21" customHeight="1" s="98">
      <c r="A41" s="125">
        <f>'bloco 02'!$B30</f>
        <v/>
      </c>
      <c r="B41" s="126">
        <f>'bloco 02'!C30</f>
        <v/>
      </c>
      <c r="C41" s="126">
        <f>'bloco 02'!D30</f>
        <v/>
      </c>
      <c r="D41" s="126">
        <f>'bloco 02'!E30</f>
        <v/>
      </c>
      <c r="E41" s="127">
        <f>IFERROR(('bloco 02'!F30),"")</f>
        <v/>
      </c>
      <c r="F41" s="128">
        <f>'bloco 02'!G30</f>
        <v/>
      </c>
      <c r="G41" s="129" t="n"/>
    </row>
    <row r="42" ht="26" customHeight="1" s="98">
      <c r="A42" s="118" t="inlineStr">
        <is>
          <t>TREINO 03</t>
        </is>
      </c>
    </row>
    <row r="43" ht="18" customHeight="1" s="98">
      <c r="A43" s="120" t="n"/>
      <c r="B43" s="120" t="inlineStr">
        <is>
          <t>SETS</t>
        </is>
      </c>
      <c r="C43" s="116" t="inlineStr">
        <is>
          <t>REPS</t>
        </is>
      </c>
      <c r="D43" s="116" t="inlineStr">
        <is>
          <t>KG</t>
        </is>
      </c>
      <c r="E43" s="116" t="inlineStr">
        <is>
          <t>%1RM / PSE</t>
        </is>
      </c>
      <c r="F43" s="116" t="inlineStr">
        <is>
          <t>OBS</t>
        </is>
      </c>
    </row>
    <row r="44" ht="21" customHeight="1" s="98">
      <c r="A44" s="125">
        <f>'bloco 02'!$B36</f>
        <v/>
      </c>
      <c r="B44" s="126">
        <f>'bloco 02'!C36</f>
        <v/>
      </c>
      <c r="C44" s="126">
        <f>'bloco 02'!D36</f>
        <v/>
      </c>
      <c r="D44" s="126">
        <f>'bloco 02'!E36</f>
        <v/>
      </c>
      <c r="E44" s="127">
        <f>IFERROR(('bloco 02'!F36),"")</f>
        <v/>
      </c>
      <c r="F44" s="128">
        <f>'bloco 02'!G36</f>
        <v/>
      </c>
      <c r="G44" s="129" t="n"/>
    </row>
    <row r="45" ht="21" customHeight="1" s="98">
      <c r="A45" s="125">
        <f>'bloco 02'!$B37</f>
        <v/>
      </c>
      <c r="B45" s="126">
        <f>'bloco 02'!C37</f>
        <v/>
      </c>
      <c r="C45" s="126">
        <f>'bloco 02'!D37</f>
        <v/>
      </c>
      <c r="D45" s="126">
        <f>'bloco 02'!E37</f>
        <v/>
      </c>
      <c r="E45" s="127">
        <f>IFERROR(('bloco 02'!F37),"")</f>
        <v/>
      </c>
      <c r="F45" s="128">
        <f>'bloco 02'!G37</f>
        <v/>
      </c>
      <c r="G45" s="129" t="n"/>
    </row>
    <row r="46" ht="21" customHeight="1" s="98">
      <c r="A46" s="125">
        <f>'bloco 02'!$B38</f>
        <v/>
      </c>
      <c r="B46" s="126">
        <f>'bloco 02'!C38</f>
        <v/>
      </c>
      <c r="C46" s="126">
        <f>'bloco 02'!D38</f>
        <v/>
      </c>
      <c r="D46" s="126">
        <f>'bloco 02'!E38</f>
        <v/>
      </c>
      <c r="E46" s="127">
        <f>IFERROR(('bloco 02'!F38),"")</f>
        <v/>
      </c>
      <c r="F46" s="128">
        <f>'bloco 02'!G38</f>
        <v/>
      </c>
      <c r="G46" s="129" t="n"/>
    </row>
    <row r="47" ht="21" customHeight="1" s="98">
      <c r="A47" s="125">
        <f>'bloco 02'!$B39</f>
        <v/>
      </c>
      <c r="B47" s="126">
        <f>'bloco 02'!C39</f>
        <v/>
      </c>
      <c r="C47" s="126">
        <f>'bloco 02'!D39</f>
        <v/>
      </c>
      <c r="D47" s="126">
        <f>'bloco 02'!E39</f>
        <v/>
      </c>
      <c r="E47" s="127">
        <f>IFERROR(('bloco 02'!F39),"")</f>
        <v/>
      </c>
      <c r="F47" s="128">
        <f>'bloco 02'!G39</f>
        <v/>
      </c>
      <c r="G47" s="129" t="n"/>
    </row>
    <row r="48" ht="21" customHeight="1" s="98">
      <c r="A48" s="125">
        <f>'bloco 02'!$B40</f>
        <v/>
      </c>
      <c r="B48" s="126">
        <f>'bloco 02'!C40</f>
        <v/>
      </c>
      <c r="C48" s="126">
        <f>'bloco 02'!D40</f>
        <v/>
      </c>
      <c r="D48" s="126">
        <f>'bloco 02'!E40</f>
        <v/>
      </c>
      <c r="E48" s="127">
        <f>IFERROR(('bloco 02'!F40),"")</f>
        <v/>
      </c>
      <c r="F48" s="128">
        <f>'bloco 02'!G40</f>
        <v/>
      </c>
      <c r="G48" s="129" t="n"/>
    </row>
    <row r="49" ht="21" customHeight="1" s="98">
      <c r="A49" s="125">
        <f>'bloco 02'!$B41</f>
        <v/>
      </c>
      <c r="B49" s="126">
        <f>'bloco 02'!C41</f>
        <v/>
      </c>
      <c r="C49" s="126">
        <f>'bloco 02'!D41</f>
        <v/>
      </c>
      <c r="D49" s="126">
        <f>'bloco 02'!E41</f>
        <v/>
      </c>
      <c r="E49" s="127">
        <f>IFERROR(('bloco 02'!F41),"")</f>
        <v/>
      </c>
      <c r="F49" s="128">
        <f>'bloco 02'!G41</f>
        <v/>
      </c>
      <c r="G49" s="129" t="n"/>
    </row>
    <row r="50" ht="21" customHeight="1" s="98">
      <c r="A50" s="125">
        <f>'bloco 02'!$B42</f>
        <v/>
      </c>
      <c r="B50" s="126">
        <f>'bloco 02'!C42</f>
        <v/>
      </c>
      <c r="C50" s="126">
        <f>'bloco 02'!D42</f>
        <v/>
      </c>
      <c r="D50" s="126">
        <f>'bloco 02'!E42</f>
        <v/>
      </c>
      <c r="E50" s="127">
        <f>IFERROR(('bloco 02'!F42),"")</f>
        <v/>
      </c>
      <c r="F50" s="128">
        <f>'bloco 02'!G42</f>
        <v/>
      </c>
      <c r="G50" s="129" t="n"/>
    </row>
    <row r="51" ht="21" customHeight="1" s="98">
      <c r="A51" s="125">
        <f>'bloco 02'!$B43</f>
        <v/>
      </c>
      <c r="B51" s="126">
        <f>'bloco 02'!C43</f>
        <v/>
      </c>
      <c r="C51" s="126">
        <f>'bloco 02'!D43</f>
        <v/>
      </c>
      <c r="D51" s="126">
        <f>'bloco 02'!E43</f>
        <v/>
      </c>
      <c r="E51" s="127">
        <f>IFERROR(('bloco 02'!F43),"")</f>
        <v/>
      </c>
      <c r="F51" s="128">
        <f>'bloco 02'!G43</f>
        <v/>
      </c>
      <c r="G51" s="129" t="n"/>
    </row>
    <row r="52" ht="21" customHeight="1" s="98">
      <c r="A52" s="125">
        <f>'bloco 02'!$B44</f>
        <v/>
      </c>
      <c r="B52" s="126">
        <f>'bloco 02'!C44</f>
        <v/>
      </c>
      <c r="C52" s="126">
        <f>'bloco 02'!D44</f>
        <v/>
      </c>
      <c r="D52" s="126">
        <f>'bloco 02'!E44</f>
        <v/>
      </c>
      <c r="E52" s="127">
        <f>IFERROR(('bloco 02'!F44),"")</f>
        <v/>
      </c>
      <c r="F52" s="128">
        <f>'bloco 02'!G44</f>
        <v/>
      </c>
      <c r="G52" s="129" t="n"/>
    </row>
    <row r="53" ht="21" customHeight="1" s="98">
      <c r="A53" s="125">
        <f>'bloco 02'!$B45</f>
        <v/>
      </c>
      <c r="B53" s="126">
        <f>'bloco 02'!C45</f>
        <v/>
      </c>
      <c r="C53" s="126">
        <f>'bloco 02'!D45</f>
        <v/>
      </c>
      <c r="D53" s="126">
        <f>'bloco 02'!E45</f>
        <v/>
      </c>
      <c r="E53" s="127">
        <f>IFERROR(('bloco 02'!F45),"")</f>
        <v/>
      </c>
      <c r="F53" s="128">
        <f>'bloco 02'!G45</f>
        <v/>
      </c>
      <c r="G53" s="129" t="n"/>
    </row>
    <row r="54" ht="16" customHeight="1" s="98">
      <c r="A54" s="123">
        <f>'bloco 02'!J3</f>
        <v/>
      </c>
    </row>
    <row r="55" ht="30" customHeight="1" s="98">
      <c r="A55" s="124" t="inlineStr">
        <is>
          <t>SEMANA 02</t>
        </is>
      </c>
    </row>
    <row r="56" ht="26" customHeight="1" s="98">
      <c r="A56" s="118" t="inlineStr">
        <is>
          <t>TREINO 01</t>
        </is>
      </c>
    </row>
    <row r="57" ht="18" customHeight="1" s="98">
      <c r="A57" s="120" t="n"/>
      <c r="B57" s="120" t="inlineStr">
        <is>
          <t>SETS</t>
        </is>
      </c>
      <c r="C57" s="116" t="inlineStr">
        <is>
          <t>REPS</t>
        </is>
      </c>
      <c r="D57" s="116" t="inlineStr">
        <is>
          <t>KG</t>
        </is>
      </c>
      <c r="E57" s="116" t="inlineStr">
        <is>
          <t>%1RM / PSE</t>
        </is>
      </c>
      <c r="F57" s="116" t="inlineStr">
        <is>
          <t>OBS</t>
        </is>
      </c>
    </row>
    <row r="58" ht="21" customHeight="1" s="98">
      <c r="A58" s="125">
        <f>'bloco 02'!$I6</f>
        <v/>
      </c>
      <c r="B58" s="126">
        <f>'bloco 02'!J6</f>
        <v/>
      </c>
      <c r="C58" s="126">
        <f>'bloco 02'!K6</f>
        <v/>
      </c>
      <c r="D58" s="126">
        <f>'bloco 02'!L6</f>
        <v/>
      </c>
      <c r="E58" s="127">
        <f>IFERROR(('bloco 02'!M6),"")</f>
        <v/>
      </c>
      <c r="F58" s="128">
        <f>'bloco 02'!N6</f>
        <v/>
      </c>
      <c r="G58" s="129" t="n"/>
    </row>
    <row r="59" ht="21" customHeight="1" s="98">
      <c r="A59" s="125">
        <f>'bloco 02'!$I7</f>
        <v/>
      </c>
      <c r="B59" s="126">
        <f>'bloco 02'!J7</f>
        <v/>
      </c>
      <c r="C59" s="126">
        <f>'bloco 02'!K7</f>
        <v/>
      </c>
      <c r="D59" s="126">
        <f>'bloco 02'!L7</f>
        <v/>
      </c>
      <c r="E59" s="127">
        <f>IFERROR(('bloco 02'!M7),"")</f>
        <v/>
      </c>
      <c r="F59" s="128">
        <f>'bloco 02'!N7</f>
        <v/>
      </c>
      <c r="G59" s="129" t="n"/>
    </row>
    <row r="60" ht="21" customHeight="1" s="98">
      <c r="A60" s="125">
        <f>'bloco 02'!$I8</f>
        <v/>
      </c>
      <c r="B60" s="126">
        <f>'bloco 02'!J8</f>
        <v/>
      </c>
      <c r="C60" s="126">
        <f>'bloco 02'!K8</f>
        <v/>
      </c>
      <c r="D60" s="126">
        <f>'bloco 02'!L8</f>
        <v/>
      </c>
      <c r="E60" s="127">
        <f>IFERROR(('bloco 02'!M8),"")</f>
        <v/>
      </c>
      <c r="F60" s="128">
        <f>'bloco 02'!N8</f>
        <v/>
      </c>
      <c r="G60" s="129" t="n"/>
    </row>
    <row r="61" ht="21" customHeight="1" s="98">
      <c r="A61" s="125">
        <f>'bloco 02'!$I9</f>
        <v/>
      </c>
      <c r="B61" s="126">
        <f>'bloco 02'!J9</f>
        <v/>
      </c>
      <c r="C61" s="126">
        <f>'bloco 02'!K9</f>
        <v/>
      </c>
      <c r="D61" s="126">
        <f>'bloco 02'!L9</f>
        <v/>
      </c>
      <c r="E61" s="127">
        <f>IFERROR(('bloco 02'!M9),"")</f>
        <v/>
      </c>
      <c r="F61" s="128">
        <f>'bloco 02'!N9</f>
        <v/>
      </c>
      <c r="G61" s="129" t="n"/>
    </row>
    <row r="62" ht="21" customHeight="1" s="98">
      <c r="A62" s="125">
        <f>'bloco 02'!$I10</f>
        <v/>
      </c>
      <c r="B62" s="126">
        <f>'bloco 02'!J10</f>
        <v/>
      </c>
      <c r="C62" s="126">
        <f>'bloco 02'!K10</f>
        <v/>
      </c>
      <c r="D62" s="126">
        <f>'bloco 02'!L10</f>
        <v/>
      </c>
      <c r="E62" s="127">
        <f>IFERROR(('bloco 02'!M10),"")</f>
        <v/>
      </c>
      <c r="F62" s="128">
        <f>'bloco 02'!N10</f>
        <v/>
      </c>
      <c r="G62" s="129" t="n"/>
    </row>
    <row r="63" ht="21" customHeight="1" s="98">
      <c r="A63" s="125">
        <f>'bloco 02'!$I11</f>
        <v/>
      </c>
      <c r="B63" s="126">
        <f>'bloco 02'!J11</f>
        <v/>
      </c>
      <c r="C63" s="126">
        <f>'bloco 02'!K11</f>
        <v/>
      </c>
      <c r="D63" s="126">
        <f>'bloco 02'!L11</f>
        <v/>
      </c>
      <c r="E63" s="127">
        <f>IFERROR(('bloco 02'!M11),"")</f>
        <v/>
      </c>
      <c r="F63" s="128">
        <f>'bloco 02'!N11</f>
        <v/>
      </c>
      <c r="G63" s="129" t="n"/>
    </row>
    <row r="64" ht="21" customHeight="1" s="98">
      <c r="A64" s="125">
        <f>'bloco 02'!$I12</f>
        <v/>
      </c>
      <c r="B64" s="126">
        <f>'bloco 02'!J12</f>
        <v/>
      </c>
      <c r="C64" s="126">
        <f>'bloco 02'!K12</f>
        <v/>
      </c>
      <c r="D64" s="126">
        <f>'bloco 02'!L12</f>
        <v/>
      </c>
      <c r="E64" s="127">
        <f>IFERROR(('bloco 02'!M12),"")</f>
        <v/>
      </c>
      <c r="F64" s="128">
        <f>'bloco 02'!N12</f>
        <v/>
      </c>
      <c r="G64" s="129" t="n"/>
    </row>
    <row r="65" ht="21" customHeight="1" s="98">
      <c r="A65" s="125">
        <f>'bloco 02'!$I13</f>
        <v/>
      </c>
      <c r="B65" s="126">
        <f>'bloco 02'!J13</f>
        <v/>
      </c>
      <c r="C65" s="126">
        <f>'bloco 02'!K13</f>
        <v/>
      </c>
      <c r="D65" s="126">
        <f>'bloco 02'!L13</f>
        <v/>
      </c>
      <c r="E65" s="127">
        <f>IFERROR(('bloco 02'!M13),"")</f>
        <v/>
      </c>
      <c r="F65" s="128">
        <f>'bloco 02'!N13</f>
        <v/>
      </c>
      <c r="G65" s="129" t="n"/>
    </row>
    <row r="66" ht="21" customHeight="1" s="98">
      <c r="A66" s="125">
        <f>'bloco 02'!$I14</f>
        <v/>
      </c>
      <c r="B66" s="126">
        <f>'bloco 02'!J14</f>
        <v/>
      </c>
      <c r="C66" s="126">
        <f>'bloco 02'!K14</f>
        <v/>
      </c>
      <c r="D66" s="126">
        <f>'bloco 02'!L14</f>
        <v/>
      </c>
      <c r="E66" s="127">
        <f>IFERROR(('bloco 02'!M14),"")</f>
        <v/>
      </c>
      <c r="F66" s="128">
        <f>'bloco 02'!N14</f>
        <v/>
      </c>
      <c r="G66" s="129" t="n"/>
    </row>
    <row r="67" ht="21" customHeight="1" s="98">
      <c r="A67" s="125">
        <f>'bloco 02'!$I15</f>
        <v/>
      </c>
      <c r="B67" s="126">
        <f>'bloco 02'!J15</f>
        <v/>
      </c>
      <c r="C67" s="126">
        <f>'bloco 02'!K15</f>
        <v/>
      </c>
      <c r="D67" s="126">
        <f>'bloco 02'!L15</f>
        <v/>
      </c>
      <c r="E67" s="127">
        <f>IFERROR(('bloco 02'!M15),"")</f>
        <v/>
      </c>
      <c r="F67" s="128">
        <f>'bloco 02'!N15</f>
        <v/>
      </c>
      <c r="G67" s="129" t="n"/>
    </row>
    <row r="68" ht="26" customHeight="1" s="98">
      <c r="A68" s="118" t="inlineStr">
        <is>
          <t>TREINO 02</t>
        </is>
      </c>
    </row>
    <row r="69" ht="18" customHeight="1" s="98">
      <c r="A69" s="120" t="n"/>
      <c r="B69" s="120" t="inlineStr">
        <is>
          <t>SETS</t>
        </is>
      </c>
      <c r="C69" s="116" t="inlineStr">
        <is>
          <t>REPS</t>
        </is>
      </c>
      <c r="D69" s="116" t="inlineStr">
        <is>
          <t>KG</t>
        </is>
      </c>
      <c r="E69" s="116" t="inlineStr">
        <is>
          <t>%1RM / PSE</t>
        </is>
      </c>
      <c r="F69" s="116" t="inlineStr">
        <is>
          <t>OBS</t>
        </is>
      </c>
    </row>
    <row r="70" ht="21" customHeight="1" s="98">
      <c r="A70" s="125">
        <f>'bloco 02'!$I21</f>
        <v/>
      </c>
      <c r="B70" s="126">
        <f>'bloco 02'!J21</f>
        <v/>
      </c>
      <c r="C70" s="126">
        <f>'bloco 02'!K21</f>
        <v/>
      </c>
      <c r="D70" s="126">
        <f>'bloco 02'!L21</f>
        <v/>
      </c>
      <c r="E70" s="127">
        <f>IFERROR(('bloco 02'!M21),"")</f>
        <v/>
      </c>
      <c r="F70" s="128">
        <f>'bloco 02'!N21</f>
        <v/>
      </c>
      <c r="G70" s="129" t="n"/>
    </row>
    <row r="71" ht="21" customHeight="1" s="98">
      <c r="A71" s="125">
        <f>'bloco 02'!$I22</f>
        <v/>
      </c>
      <c r="B71" s="126">
        <f>'bloco 02'!J22</f>
        <v/>
      </c>
      <c r="C71" s="126">
        <f>'bloco 02'!K22</f>
        <v/>
      </c>
      <c r="D71" s="126">
        <f>'bloco 02'!L22</f>
        <v/>
      </c>
      <c r="E71" s="127">
        <f>IFERROR(('bloco 02'!M22),"")</f>
        <v/>
      </c>
      <c r="F71" s="128">
        <f>'bloco 02'!N22</f>
        <v/>
      </c>
      <c r="G71" s="129" t="n"/>
    </row>
    <row r="72" ht="21" customHeight="1" s="98">
      <c r="A72" s="125">
        <f>'bloco 02'!$I23</f>
        <v/>
      </c>
      <c r="B72" s="126">
        <f>'bloco 02'!J23</f>
        <v/>
      </c>
      <c r="C72" s="126">
        <f>'bloco 02'!K23</f>
        <v/>
      </c>
      <c r="D72" s="126">
        <f>'bloco 02'!L23</f>
        <v/>
      </c>
      <c r="E72" s="127">
        <f>IFERROR(('bloco 02'!M23),"")</f>
        <v/>
      </c>
      <c r="F72" s="128">
        <f>'bloco 02'!N23</f>
        <v/>
      </c>
      <c r="G72" s="129" t="n"/>
    </row>
    <row r="73" ht="21" customHeight="1" s="98">
      <c r="A73" s="125">
        <f>'bloco 02'!$I24</f>
        <v/>
      </c>
      <c r="B73" s="126">
        <f>'bloco 02'!J24</f>
        <v/>
      </c>
      <c r="C73" s="126">
        <f>'bloco 02'!K24</f>
        <v/>
      </c>
      <c r="D73" s="126">
        <f>'bloco 02'!L24</f>
        <v/>
      </c>
      <c r="E73" s="127">
        <f>IFERROR(('bloco 02'!M24),"")</f>
        <v/>
      </c>
      <c r="F73" s="128">
        <f>'bloco 02'!N24</f>
        <v/>
      </c>
      <c r="G73" s="129" t="n"/>
    </row>
    <row r="74" ht="21" customHeight="1" s="98">
      <c r="A74" s="125">
        <f>'bloco 02'!$I25</f>
        <v/>
      </c>
      <c r="B74" s="126">
        <f>'bloco 02'!J25</f>
        <v/>
      </c>
      <c r="C74" s="126">
        <f>'bloco 02'!K25</f>
        <v/>
      </c>
      <c r="D74" s="126">
        <f>'bloco 02'!L25</f>
        <v/>
      </c>
      <c r="E74" s="127">
        <f>IFERROR(('bloco 02'!M25),"")</f>
        <v/>
      </c>
      <c r="F74" s="128">
        <f>'bloco 02'!N25</f>
        <v/>
      </c>
      <c r="G74" s="129" t="n"/>
    </row>
    <row r="75" ht="21" customHeight="1" s="98">
      <c r="A75" s="125">
        <f>'bloco 02'!$I26</f>
        <v/>
      </c>
      <c r="B75" s="126">
        <f>'bloco 02'!J26</f>
        <v/>
      </c>
      <c r="C75" s="126">
        <f>'bloco 02'!K26</f>
        <v/>
      </c>
      <c r="D75" s="126">
        <f>'bloco 02'!L26</f>
        <v/>
      </c>
      <c r="E75" s="127">
        <f>IFERROR(('bloco 02'!M26),"")</f>
        <v/>
      </c>
      <c r="F75" s="128">
        <f>'bloco 02'!N26</f>
        <v/>
      </c>
      <c r="G75" s="129" t="n"/>
    </row>
    <row r="76" ht="21" customHeight="1" s="98">
      <c r="A76" s="125">
        <f>'bloco 02'!$I27</f>
        <v/>
      </c>
      <c r="B76" s="126">
        <f>'bloco 02'!J27</f>
        <v/>
      </c>
      <c r="C76" s="126">
        <f>'bloco 02'!K27</f>
        <v/>
      </c>
      <c r="D76" s="126">
        <f>'bloco 02'!L27</f>
        <v/>
      </c>
      <c r="E76" s="127">
        <f>IFERROR(('bloco 02'!M27),"")</f>
        <v/>
      </c>
      <c r="F76" s="128">
        <f>'bloco 02'!N27</f>
        <v/>
      </c>
      <c r="G76" s="129" t="n"/>
    </row>
    <row r="77" ht="21" customHeight="1" s="98">
      <c r="A77" s="125">
        <f>'bloco 02'!$I28</f>
        <v/>
      </c>
      <c r="B77" s="126">
        <f>'bloco 02'!J28</f>
        <v/>
      </c>
      <c r="C77" s="126">
        <f>'bloco 02'!K28</f>
        <v/>
      </c>
      <c r="D77" s="126">
        <f>'bloco 02'!L28</f>
        <v/>
      </c>
      <c r="E77" s="127">
        <f>IFERROR(('bloco 02'!M28),"")</f>
        <v/>
      </c>
      <c r="F77" s="128">
        <f>'bloco 02'!N28</f>
        <v/>
      </c>
      <c r="G77" s="129" t="n"/>
    </row>
    <row r="78" ht="21" customHeight="1" s="98">
      <c r="A78" s="125">
        <f>'bloco 02'!$I29</f>
        <v/>
      </c>
      <c r="B78" s="126">
        <f>'bloco 02'!J29</f>
        <v/>
      </c>
      <c r="C78" s="126">
        <f>'bloco 02'!K29</f>
        <v/>
      </c>
      <c r="D78" s="126">
        <f>'bloco 02'!L29</f>
        <v/>
      </c>
      <c r="E78" s="127">
        <f>IFERROR(('bloco 02'!M29),"")</f>
        <v/>
      </c>
      <c r="F78" s="128">
        <f>'bloco 02'!N29</f>
        <v/>
      </c>
      <c r="G78" s="129" t="n"/>
    </row>
    <row r="79" ht="21" customHeight="1" s="98">
      <c r="A79" s="125">
        <f>'bloco 02'!$I30</f>
        <v/>
      </c>
      <c r="B79" s="126">
        <f>'bloco 02'!J30</f>
        <v/>
      </c>
      <c r="C79" s="126">
        <f>'bloco 02'!K30</f>
        <v/>
      </c>
      <c r="D79" s="126">
        <f>'bloco 02'!L30</f>
        <v/>
      </c>
      <c r="E79" s="127">
        <f>IFERROR(('bloco 02'!M30),"")</f>
        <v/>
      </c>
      <c r="F79" s="128">
        <f>'bloco 02'!N30</f>
        <v/>
      </c>
      <c r="G79" s="129" t="n"/>
    </row>
    <row r="80" ht="26" customHeight="1" s="98">
      <c r="A80" s="118" t="inlineStr">
        <is>
          <t>TREINO 03</t>
        </is>
      </c>
    </row>
    <row r="81" ht="18" customHeight="1" s="98">
      <c r="A81" s="120" t="n"/>
      <c r="B81" s="120" t="inlineStr">
        <is>
          <t>SETS</t>
        </is>
      </c>
      <c r="C81" s="116" t="inlineStr">
        <is>
          <t>REPS</t>
        </is>
      </c>
      <c r="D81" s="116" t="inlineStr">
        <is>
          <t>KG</t>
        </is>
      </c>
      <c r="E81" s="116" t="inlineStr">
        <is>
          <t>%1RM / PSE</t>
        </is>
      </c>
      <c r="F81" s="116" t="inlineStr">
        <is>
          <t>OBS</t>
        </is>
      </c>
    </row>
    <row r="82" ht="21" customHeight="1" s="98">
      <c r="A82" s="125">
        <f>'bloco 02'!$I36</f>
        <v/>
      </c>
      <c r="B82" s="126">
        <f>'bloco 02'!J36</f>
        <v/>
      </c>
      <c r="C82" s="126">
        <f>'bloco 02'!K36</f>
        <v/>
      </c>
      <c r="D82" s="126">
        <f>'bloco 02'!L36</f>
        <v/>
      </c>
      <c r="E82" s="127">
        <f>IFERROR(('bloco 02'!M36),"")</f>
        <v/>
      </c>
      <c r="F82" s="128">
        <f>'bloco 02'!N36</f>
        <v/>
      </c>
      <c r="G82" s="129" t="n"/>
    </row>
    <row r="83" ht="21" customHeight="1" s="98">
      <c r="A83" s="125">
        <f>'bloco 02'!$I37</f>
        <v/>
      </c>
      <c r="B83" s="126">
        <f>'bloco 02'!J37</f>
        <v/>
      </c>
      <c r="C83" s="126">
        <f>'bloco 02'!K37</f>
        <v/>
      </c>
      <c r="D83" s="126">
        <f>'bloco 02'!L37</f>
        <v/>
      </c>
      <c r="E83" s="127">
        <f>IFERROR(('bloco 02'!M37),"")</f>
        <v/>
      </c>
      <c r="F83" s="128">
        <f>'bloco 02'!N37</f>
        <v/>
      </c>
      <c r="G83" s="129" t="n"/>
    </row>
    <row r="84" ht="21" customHeight="1" s="98">
      <c r="A84" s="125">
        <f>'bloco 02'!$I38</f>
        <v/>
      </c>
      <c r="B84" s="126">
        <f>'bloco 02'!J38</f>
        <v/>
      </c>
      <c r="C84" s="126">
        <f>'bloco 02'!K38</f>
        <v/>
      </c>
      <c r="D84" s="126">
        <f>'bloco 02'!L38</f>
        <v/>
      </c>
      <c r="E84" s="127">
        <f>IFERROR(('bloco 02'!M38),"")</f>
        <v/>
      </c>
      <c r="F84" s="128">
        <f>'bloco 02'!N38</f>
        <v/>
      </c>
      <c r="G84" s="129" t="n"/>
    </row>
    <row r="85" ht="21" customHeight="1" s="98">
      <c r="A85" s="125">
        <f>'bloco 02'!$I39</f>
        <v/>
      </c>
      <c r="B85" s="126">
        <f>'bloco 02'!J39</f>
        <v/>
      </c>
      <c r="C85" s="126">
        <f>'bloco 02'!K39</f>
        <v/>
      </c>
      <c r="D85" s="126">
        <f>'bloco 02'!L39</f>
        <v/>
      </c>
      <c r="E85" s="127">
        <f>IFERROR(('bloco 02'!M39),"")</f>
        <v/>
      </c>
      <c r="F85" s="128">
        <f>'bloco 02'!N39</f>
        <v/>
      </c>
      <c r="G85" s="129" t="n"/>
    </row>
    <row r="86" ht="21" customHeight="1" s="98">
      <c r="A86" s="125">
        <f>'bloco 02'!$I40</f>
        <v/>
      </c>
      <c r="B86" s="126">
        <f>'bloco 02'!J40</f>
        <v/>
      </c>
      <c r="C86" s="126">
        <f>'bloco 02'!K40</f>
        <v/>
      </c>
      <c r="D86" s="126">
        <f>'bloco 02'!L40</f>
        <v/>
      </c>
      <c r="E86" s="127">
        <f>IFERROR(('bloco 02'!M40),"")</f>
        <v/>
      </c>
      <c r="F86" s="128">
        <f>'bloco 02'!N40</f>
        <v/>
      </c>
      <c r="G86" s="129" t="n"/>
    </row>
    <row r="87" ht="21" customHeight="1" s="98">
      <c r="A87" s="125">
        <f>'bloco 02'!$I41</f>
        <v/>
      </c>
      <c r="B87" s="126">
        <f>'bloco 02'!J41</f>
        <v/>
      </c>
      <c r="C87" s="126">
        <f>'bloco 02'!K41</f>
        <v/>
      </c>
      <c r="D87" s="126">
        <f>'bloco 02'!L41</f>
        <v/>
      </c>
      <c r="E87" s="127">
        <f>IFERROR(('bloco 02'!M41),"")</f>
        <v/>
      </c>
      <c r="F87" s="128">
        <f>'bloco 02'!N41</f>
        <v/>
      </c>
      <c r="G87" s="129" t="n"/>
    </row>
    <row r="88" ht="21" customHeight="1" s="98">
      <c r="A88" s="125">
        <f>'bloco 02'!$I42</f>
        <v/>
      </c>
      <c r="B88" s="126">
        <f>'bloco 02'!J42</f>
        <v/>
      </c>
      <c r="C88" s="126">
        <f>'bloco 02'!K42</f>
        <v/>
      </c>
      <c r="D88" s="126">
        <f>'bloco 02'!L42</f>
        <v/>
      </c>
      <c r="E88" s="127">
        <f>IFERROR(('bloco 02'!M42),"")</f>
        <v/>
      </c>
      <c r="F88" s="128">
        <f>'bloco 02'!N42</f>
        <v/>
      </c>
      <c r="G88" s="129" t="n"/>
    </row>
    <row r="89" ht="21" customHeight="1" s="98">
      <c r="A89" s="125">
        <f>'bloco 02'!$I43</f>
        <v/>
      </c>
      <c r="B89" s="126">
        <f>'bloco 02'!J43</f>
        <v/>
      </c>
      <c r="C89" s="126">
        <f>'bloco 02'!K43</f>
        <v/>
      </c>
      <c r="D89" s="126">
        <f>'bloco 02'!L43</f>
        <v/>
      </c>
      <c r="E89" s="127">
        <f>IFERROR(('bloco 02'!M43),"")</f>
        <v/>
      </c>
      <c r="F89" s="128">
        <f>'bloco 02'!N43</f>
        <v/>
      </c>
      <c r="G89" s="129" t="n"/>
    </row>
    <row r="90" ht="21" customHeight="1" s="98">
      <c r="A90" s="125">
        <f>'bloco 02'!$I44</f>
        <v/>
      </c>
      <c r="B90" s="126">
        <f>'bloco 02'!J44</f>
        <v/>
      </c>
      <c r="C90" s="126">
        <f>'bloco 02'!K44</f>
        <v/>
      </c>
      <c r="D90" s="126">
        <f>'bloco 02'!L44</f>
        <v/>
      </c>
      <c r="E90" s="127">
        <f>IFERROR(('bloco 02'!M44),"")</f>
        <v/>
      </c>
      <c r="F90" s="128">
        <f>'bloco 02'!N44</f>
        <v/>
      </c>
      <c r="G90" s="129" t="n"/>
    </row>
    <row r="91" ht="21" customHeight="1" s="98">
      <c r="A91" s="125">
        <f>'bloco 02'!$I45</f>
        <v/>
      </c>
      <c r="B91" s="126">
        <f>'bloco 02'!J45</f>
        <v/>
      </c>
      <c r="C91" s="126">
        <f>'bloco 02'!K45</f>
        <v/>
      </c>
      <c r="D91" s="126">
        <f>'bloco 02'!L45</f>
        <v/>
      </c>
      <c r="E91" s="127">
        <f>IFERROR(('bloco 02'!M45),"")</f>
        <v/>
      </c>
      <c r="F91" s="128">
        <f>'bloco 02'!N45</f>
        <v/>
      </c>
      <c r="G91" s="129" t="n"/>
    </row>
    <row r="92" ht="21" customHeight="1" s="98">
      <c r="A92" s="119" t="n"/>
    </row>
    <row r="93" ht="21" customHeight="1" s="98"/>
    <row r="94" ht="21" customHeight="1" s="98"/>
    <row r="95" ht="21" customHeight="1" s="98"/>
    <row r="96" ht="21" customHeight="1" s="98"/>
    <row r="97" ht="21" customHeight="1" s="98"/>
    <row r="98" ht="21" customHeight="1" s="98"/>
    <row r="99" ht="21" customHeight="1" s="98"/>
    <row r="100" ht="21" customHeight="1" s="98"/>
    <row r="101" ht="21" customHeight="1" s="98"/>
    <row r="102" ht="21" customHeight="1" s="98"/>
    <row r="103" ht="21" customHeight="1" s="98"/>
    <row r="104" ht="21" customHeight="1" s="98"/>
    <row r="105" ht="21" customHeight="1" s="98"/>
    <row r="106" ht="21" customHeight="1" s="98"/>
    <row r="107" ht="21" customHeight="1" s="98"/>
    <row r="108" ht="21" customHeight="1" s="98"/>
    <row r="109" ht="16" customHeight="1" s="98">
      <c r="A109" s="123">
        <f>'bloco 02'!Q3</f>
        <v/>
      </c>
    </row>
    <row r="110" ht="30" customHeight="1" s="98">
      <c r="A110" s="124" t="inlineStr">
        <is>
          <t>SEMANA 03</t>
        </is>
      </c>
    </row>
    <row r="111" ht="26" customHeight="1" s="98">
      <c r="A111" s="118" t="inlineStr">
        <is>
          <t>TREINO 01</t>
        </is>
      </c>
    </row>
    <row r="112" ht="18" customHeight="1" s="98">
      <c r="A112" s="120" t="n"/>
      <c r="B112" s="120" t="inlineStr">
        <is>
          <t>SETS</t>
        </is>
      </c>
      <c r="C112" s="116" t="inlineStr">
        <is>
          <t>REPS</t>
        </is>
      </c>
      <c r="D112" s="116" t="inlineStr">
        <is>
          <t>KG</t>
        </is>
      </c>
      <c r="E112" s="116" t="inlineStr">
        <is>
          <t>%1RM / PSE</t>
        </is>
      </c>
      <c r="F112" s="116" t="inlineStr">
        <is>
          <t>OBS</t>
        </is>
      </c>
    </row>
    <row r="113" ht="21" customHeight="1" s="98">
      <c r="A113" s="125">
        <f>'bloco 02'!$P6</f>
        <v/>
      </c>
      <c r="B113" s="126">
        <f>'bloco 02'!Q6</f>
        <v/>
      </c>
      <c r="C113" s="126">
        <f>'bloco 02'!R6</f>
        <v/>
      </c>
      <c r="D113" s="126">
        <f>'bloco 02'!S6</f>
        <v/>
      </c>
      <c r="E113" s="127">
        <f>IFERROR(('bloco 02'!T6),"")</f>
        <v/>
      </c>
      <c r="F113" s="128">
        <f>'bloco 02'!U6</f>
        <v/>
      </c>
      <c r="G113" s="129" t="n"/>
    </row>
    <row r="114" ht="21" customHeight="1" s="98">
      <c r="A114" s="125">
        <f>'bloco 02'!$P7</f>
        <v/>
      </c>
      <c r="B114" s="126">
        <f>'bloco 02'!Q7</f>
        <v/>
      </c>
      <c r="C114" s="126">
        <f>'bloco 02'!R7</f>
        <v/>
      </c>
      <c r="D114" s="126">
        <f>'bloco 02'!S7</f>
        <v/>
      </c>
      <c r="E114" s="127">
        <f>IFERROR(('bloco 02'!T7),"")</f>
        <v/>
      </c>
      <c r="F114" s="128">
        <f>'bloco 02'!U7</f>
        <v/>
      </c>
      <c r="G114" s="129" t="n"/>
    </row>
    <row r="115" ht="21" customHeight="1" s="98">
      <c r="A115" s="125">
        <f>'bloco 02'!$P8</f>
        <v/>
      </c>
      <c r="B115" s="126">
        <f>'bloco 02'!Q8</f>
        <v/>
      </c>
      <c r="C115" s="126">
        <f>'bloco 02'!R8</f>
        <v/>
      </c>
      <c r="D115" s="126">
        <f>'bloco 02'!S8</f>
        <v/>
      </c>
      <c r="E115" s="127">
        <f>IFERROR(('bloco 02'!T8),"")</f>
        <v/>
      </c>
      <c r="F115" s="128">
        <f>'bloco 02'!U8</f>
        <v/>
      </c>
      <c r="G115" s="129" t="n"/>
    </row>
    <row r="116" ht="21" customHeight="1" s="98">
      <c r="A116" s="125">
        <f>'bloco 02'!$P9</f>
        <v/>
      </c>
      <c r="B116" s="126">
        <f>'bloco 02'!Q9</f>
        <v/>
      </c>
      <c r="C116" s="126">
        <f>'bloco 02'!R9</f>
        <v/>
      </c>
      <c r="D116" s="126">
        <f>'bloco 02'!S9</f>
        <v/>
      </c>
      <c r="E116" s="127">
        <f>IFERROR(('bloco 02'!T9),"")</f>
        <v/>
      </c>
      <c r="F116" s="128">
        <f>'bloco 02'!U9</f>
        <v/>
      </c>
      <c r="G116" s="129" t="n"/>
    </row>
    <row r="117" ht="21" customHeight="1" s="98">
      <c r="A117" s="125">
        <f>'bloco 02'!$P10</f>
        <v/>
      </c>
      <c r="B117" s="126">
        <f>'bloco 02'!Q10</f>
        <v/>
      </c>
      <c r="C117" s="126">
        <f>'bloco 02'!R10</f>
        <v/>
      </c>
      <c r="D117" s="126">
        <f>'bloco 02'!S10</f>
        <v/>
      </c>
      <c r="E117" s="127">
        <f>IFERROR(('bloco 02'!T10),"")</f>
        <v/>
      </c>
      <c r="F117" s="128">
        <f>'bloco 02'!U10</f>
        <v/>
      </c>
      <c r="G117" s="129" t="n"/>
    </row>
    <row r="118" ht="21" customHeight="1" s="98">
      <c r="A118" s="125">
        <f>'bloco 02'!$P11</f>
        <v/>
      </c>
      <c r="B118" s="126">
        <f>'bloco 02'!Q11</f>
        <v/>
      </c>
      <c r="C118" s="126">
        <f>'bloco 02'!R11</f>
        <v/>
      </c>
      <c r="D118" s="126">
        <f>'bloco 02'!S11</f>
        <v/>
      </c>
      <c r="E118" s="127">
        <f>IFERROR(('bloco 02'!T11),"")</f>
        <v/>
      </c>
      <c r="F118" s="128">
        <f>'bloco 02'!U11</f>
        <v/>
      </c>
      <c r="G118" s="129" t="n"/>
    </row>
    <row r="119" ht="21" customHeight="1" s="98">
      <c r="A119" s="125">
        <f>'bloco 02'!$P12</f>
        <v/>
      </c>
      <c r="B119" s="126">
        <f>'bloco 02'!Q12</f>
        <v/>
      </c>
      <c r="C119" s="126">
        <f>'bloco 02'!R12</f>
        <v/>
      </c>
      <c r="D119" s="126">
        <f>'bloco 02'!S12</f>
        <v/>
      </c>
      <c r="E119" s="127">
        <f>IFERROR(('bloco 02'!T12),"")</f>
        <v/>
      </c>
      <c r="F119" s="128">
        <f>'bloco 02'!U12</f>
        <v/>
      </c>
      <c r="G119" s="129" t="n"/>
    </row>
    <row r="120" ht="21" customHeight="1" s="98">
      <c r="A120" s="125">
        <f>'bloco 02'!$P13</f>
        <v/>
      </c>
      <c r="B120" s="126">
        <f>'bloco 02'!Q13</f>
        <v/>
      </c>
      <c r="C120" s="126">
        <f>'bloco 02'!R13</f>
        <v/>
      </c>
      <c r="D120" s="126">
        <f>'bloco 02'!S13</f>
        <v/>
      </c>
      <c r="E120" s="127">
        <f>IFERROR(('bloco 02'!T13),"")</f>
        <v/>
      </c>
      <c r="F120" s="128">
        <f>'bloco 02'!U13</f>
        <v/>
      </c>
      <c r="G120" s="129" t="n"/>
    </row>
    <row r="121" ht="21" customHeight="1" s="98">
      <c r="A121" s="125">
        <f>'bloco 02'!$P14</f>
        <v/>
      </c>
      <c r="B121" s="126">
        <f>'bloco 02'!Q14</f>
        <v/>
      </c>
      <c r="C121" s="126">
        <f>'bloco 02'!R14</f>
        <v/>
      </c>
      <c r="D121" s="126">
        <f>'bloco 02'!S14</f>
        <v/>
      </c>
      <c r="E121" s="127">
        <f>IFERROR(('bloco 02'!T14),"")</f>
        <v/>
      </c>
      <c r="F121" s="128">
        <f>'bloco 02'!U14</f>
        <v/>
      </c>
      <c r="G121" s="129" t="n"/>
    </row>
    <row r="122" ht="21" customHeight="1" s="98">
      <c r="A122" s="125">
        <f>'bloco 02'!$P15</f>
        <v/>
      </c>
      <c r="B122" s="126">
        <f>'bloco 02'!Q15</f>
        <v/>
      </c>
      <c r="C122" s="126">
        <f>'bloco 02'!R15</f>
        <v/>
      </c>
      <c r="D122" s="126">
        <f>'bloco 02'!S15</f>
        <v/>
      </c>
      <c r="E122" s="127">
        <f>IFERROR(('bloco 02'!T15),"")</f>
        <v/>
      </c>
      <c r="F122" s="128">
        <f>'bloco 02'!U15</f>
        <v/>
      </c>
      <c r="G122" s="129" t="n"/>
    </row>
    <row r="123" ht="26" customHeight="1" s="98">
      <c r="A123" s="118" t="inlineStr">
        <is>
          <t>TREINO 02</t>
        </is>
      </c>
    </row>
    <row r="124" ht="18" customHeight="1" s="98">
      <c r="A124" s="120" t="n"/>
      <c r="B124" s="120" t="inlineStr">
        <is>
          <t>SETS</t>
        </is>
      </c>
      <c r="C124" s="116" t="inlineStr">
        <is>
          <t>REPS</t>
        </is>
      </c>
      <c r="D124" s="116" t="inlineStr">
        <is>
          <t>KG</t>
        </is>
      </c>
      <c r="E124" s="116" t="inlineStr">
        <is>
          <t>%1RM / PSE</t>
        </is>
      </c>
      <c r="F124" s="116" t="inlineStr">
        <is>
          <t>OBS</t>
        </is>
      </c>
    </row>
    <row r="125" ht="21" customHeight="1" s="98">
      <c r="A125" s="125">
        <f>'bloco 02'!$P21</f>
        <v/>
      </c>
      <c r="B125" s="126">
        <f>'bloco 02'!Q21</f>
        <v/>
      </c>
      <c r="C125" s="126">
        <f>'bloco 02'!R21</f>
        <v/>
      </c>
      <c r="D125" s="126">
        <f>'bloco 02'!S21</f>
        <v/>
      </c>
      <c r="E125" s="127">
        <f>IFERROR(('bloco 02'!T21),"")</f>
        <v/>
      </c>
      <c r="F125" s="128">
        <f>'bloco 02'!U21</f>
        <v/>
      </c>
      <c r="G125" s="129" t="n"/>
    </row>
    <row r="126" ht="21" customHeight="1" s="98">
      <c r="A126" s="125">
        <f>'bloco 02'!$P22</f>
        <v/>
      </c>
      <c r="B126" s="126">
        <f>'bloco 02'!Q22</f>
        <v/>
      </c>
      <c r="C126" s="126">
        <f>'bloco 02'!R22</f>
        <v/>
      </c>
      <c r="D126" s="126">
        <f>'bloco 02'!S22</f>
        <v/>
      </c>
      <c r="E126" s="127">
        <f>IFERROR(('bloco 02'!T22),"")</f>
        <v/>
      </c>
      <c r="F126" s="128">
        <f>'bloco 02'!U22</f>
        <v/>
      </c>
      <c r="G126" s="129" t="n"/>
    </row>
    <row r="127" ht="21" customHeight="1" s="98">
      <c r="A127" s="125">
        <f>'bloco 02'!$P23</f>
        <v/>
      </c>
      <c r="B127" s="126">
        <f>'bloco 02'!Q23</f>
        <v/>
      </c>
      <c r="C127" s="126">
        <f>'bloco 02'!R23</f>
        <v/>
      </c>
      <c r="D127" s="126">
        <f>'bloco 02'!S23</f>
        <v/>
      </c>
      <c r="E127" s="127">
        <f>IFERROR(('bloco 02'!T23),"")</f>
        <v/>
      </c>
      <c r="F127" s="128">
        <f>'bloco 02'!U23</f>
        <v/>
      </c>
      <c r="G127" s="129" t="n"/>
    </row>
    <row r="128" ht="21" customHeight="1" s="98">
      <c r="A128" s="125">
        <f>'bloco 02'!$P24</f>
        <v/>
      </c>
      <c r="B128" s="126">
        <f>'bloco 02'!Q24</f>
        <v/>
      </c>
      <c r="C128" s="126">
        <f>'bloco 02'!R24</f>
        <v/>
      </c>
      <c r="D128" s="126">
        <f>'bloco 02'!S24</f>
        <v/>
      </c>
      <c r="E128" s="127">
        <f>IFERROR(('bloco 02'!T24),"")</f>
        <v/>
      </c>
      <c r="F128" s="128">
        <f>'bloco 02'!U24</f>
        <v/>
      </c>
      <c r="G128" s="129" t="n"/>
    </row>
    <row r="129" ht="21" customHeight="1" s="98">
      <c r="A129" s="125">
        <f>'bloco 02'!$P25</f>
        <v/>
      </c>
      <c r="B129" s="126">
        <f>'bloco 02'!Q25</f>
        <v/>
      </c>
      <c r="C129" s="126">
        <f>'bloco 02'!R25</f>
        <v/>
      </c>
      <c r="D129" s="126">
        <f>'bloco 02'!S25</f>
        <v/>
      </c>
      <c r="E129" s="127">
        <f>IFERROR(('bloco 02'!T25),"")</f>
        <v/>
      </c>
      <c r="F129" s="128">
        <f>'bloco 02'!U25</f>
        <v/>
      </c>
      <c r="G129" s="129" t="n"/>
    </row>
    <row r="130" ht="21" customHeight="1" s="98">
      <c r="A130" s="125">
        <f>'bloco 02'!$P26</f>
        <v/>
      </c>
      <c r="B130" s="126">
        <f>'bloco 02'!Q26</f>
        <v/>
      </c>
      <c r="C130" s="126">
        <f>'bloco 02'!R26</f>
        <v/>
      </c>
      <c r="D130" s="126">
        <f>'bloco 02'!S26</f>
        <v/>
      </c>
      <c r="E130" s="127">
        <f>IFERROR(('bloco 02'!T26),"")</f>
        <v/>
      </c>
      <c r="F130" s="128">
        <f>'bloco 02'!U26</f>
        <v/>
      </c>
      <c r="G130" s="129" t="n"/>
    </row>
    <row r="131" ht="21" customHeight="1" s="98">
      <c r="A131" s="125">
        <f>'bloco 02'!$P27</f>
        <v/>
      </c>
      <c r="B131" s="126">
        <f>'bloco 02'!Q27</f>
        <v/>
      </c>
      <c r="C131" s="126">
        <f>'bloco 02'!R27</f>
        <v/>
      </c>
      <c r="D131" s="126">
        <f>'bloco 02'!S27</f>
        <v/>
      </c>
      <c r="E131" s="127">
        <f>IFERROR(('bloco 02'!T27),"")</f>
        <v/>
      </c>
      <c r="F131" s="128">
        <f>'bloco 02'!U27</f>
        <v/>
      </c>
      <c r="G131" s="129" t="n"/>
    </row>
    <row r="132" ht="21" customHeight="1" s="98">
      <c r="A132" s="125">
        <f>'bloco 02'!$P28</f>
        <v/>
      </c>
      <c r="B132" s="126">
        <f>'bloco 02'!Q28</f>
        <v/>
      </c>
      <c r="C132" s="126">
        <f>'bloco 02'!R28</f>
        <v/>
      </c>
      <c r="D132" s="126">
        <f>'bloco 02'!S28</f>
        <v/>
      </c>
      <c r="E132" s="127">
        <f>IFERROR(('bloco 02'!T28),"")</f>
        <v/>
      </c>
      <c r="F132" s="128">
        <f>'bloco 02'!U28</f>
        <v/>
      </c>
      <c r="G132" s="129" t="n"/>
    </row>
    <row r="133" ht="21" customHeight="1" s="98">
      <c r="A133" s="125">
        <f>'bloco 02'!$P29</f>
        <v/>
      </c>
      <c r="B133" s="126">
        <f>'bloco 02'!Q29</f>
        <v/>
      </c>
      <c r="C133" s="126">
        <f>'bloco 02'!R29</f>
        <v/>
      </c>
      <c r="D133" s="126">
        <f>'bloco 02'!S29</f>
        <v/>
      </c>
      <c r="E133" s="127">
        <f>IFERROR(('bloco 02'!T29),"")</f>
        <v/>
      </c>
      <c r="F133" s="128">
        <f>'bloco 02'!U29</f>
        <v/>
      </c>
      <c r="G133" s="129" t="n"/>
    </row>
    <row r="134" ht="21" customHeight="1" s="98">
      <c r="A134" s="125">
        <f>'bloco 02'!$P30</f>
        <v/>
      </c>
      <c r="B134" s="126">
        <f>'bloco 02'!Q30</f>
        <v/>
      </c>
      <c r="C134" s="126">
        <f>'bloco 02'!R30</f>
        <v/>
      </c>
      <c r="D134" s="126">
        <f>'bloco 02'!S30</f>
        <v/>
      </c>
      <c r="E134" s="127">
        <f>IFERROR(('bloco 02'!T30),"")</f>
        <v/>
      </c>
      <c r="F134" s="128">
        <f>'bloco 02'!U30</f>
        <v/>
      </c>
      <c r="G134" s="129" t="n"/>
    </row>
    <row r="135" ht="26" customHeight="1" s="98">
      <c r="A135" s="118" t="inlineStr">
        <is>
          <t>TREINO 03</t>
        </is>
      </c>
    </row>
    <row r="136" ht="18" customHeight="1" s="98">
      <c r="A136" s="120" t="n"/>
      <c r="B136" s="120" t="inlineStr">
        <is>
          <t>SETS</t>
        </is>
      </c>
      <c r="C136" s="116" t="inlineStr">
        <is>
          <t>REPS</t>
        </is>
      </c>
      <c r="D136" s="116" t="inlineStr">
        <is>
          <t>KG</t>
        </is>
      </c>
      <c r="E136" s="116" t="inlineStr">
        <is>
          <t>%1RM / PSE</t>
        </is>
      </c>
      <c r="F136" s="116" t="inlineStr">
        <is>
          <t>OBS</t>
        </is>
      </c>
    </row>
    <row r="137" ht="21" customHeight="1" s="98">
      <c r="A137" s="125">
        <f>'bloco 02'!$P36</f>
        <v/>
      </c>
      <c r="B137" s="126">
        <f>'bloco 02'!Q36</f>
        <v/>
      </c>
      <c r="C137" s="126">
        <f>'bloco 02'!R36</f>
        <v/>
      </c>
      <c r="D137" s="126">
        <f>'bloco 02'!S36</f>
        <v/>
      </c>
      <c r="E137" s="127">
        <f>IFERROR(('bloco 02'!T36),"")</f>
        <v/>
      </c>
      <c r="F137" s="128">
        <f>'bloco 02'!U36</f>
        <v/>
      </c>
      <c r="G137" s="129" t="n"/>
    </row>
    <row r="138" ht="21" customHeight="1" s="98">
      <c r="A138" s="125">
        <f>'bloco 02'!$P37</f>
        <v/>
      </c>
      <c r="B138" s="126">
        <f>'bloco 02'!Q37</f>
        <v/>
      </c>
      <c r="C138" s="126">
        <f>'bloco 02'!R37</f>
        <v/>
      </c>
      <c r="D138" s="126">
        <f>'bloco 02'!S37</f>
        <v/>
      </c>
      <c r="E138" s="127">
        <f>IFERROR(('bloco 02'!T37),"")</f>
        <v/>
      </c>
      <c r="F138" s="128">
        <f>'bloco 02'!U37</f>
        <v/>
      </c>
      <c r="G138" s="129" t="n"/>
    </row>
    <row r="139" ht="21" customHeight="1" s="98">
      <c r="A139" s="125">
        <f>'bloco 02'!$P38</f>
        <v/>
      </c>
      <c r="B139" s="126">
        <f>'bloco 02'!Q38</f>
        <v/>
      </c>
      <c r="C139" s="126">
        <f>'bloco 02'!R38</f>
        <v/>
      </c>
      <c r="D139" s="126">
        <f>'bloco 02'!S38</f>
        <v/>
      </c>
      <c r="E139" s="127">
        <f>IFERROR(('bloco 02'!T38),"")</f>
        <v/>
      </c>
      <c r="F139" s="128">
        <f>'bloco 02'!U38</f>
        <v/>
      </c>
      <c r="G139" s="129" t="n"/>
    </row>
    <row r="140" ht="21" customHeight="1" s="98">
      <c r="A140" s="125">
        <f>'bloco 02'!$P39</f>
        <v/>
      </c>
      <c r="B140" s="126">
        <f>'bloco 02'!Q39</f>
        <v/>
      </c>
      <c r="C140" s="126">
        <f>'bloco 02'!R39</f>
        <v/>
      </c>
      <c r="D140" s="126">
        <f>'bloco 02'!S39</f>
        <v/>
      </c>
      <c r="E140" s="127">
        <f>IFERROR(('bloco 02'!T39),"")</f>
        <v/>
      </c>
      <c r="F140" s="128">
        <f>'bloco 02'!U39</f>
        <v/>
      </c>
      <c r="G140" s="129" t="n"/>
    </row>
    <row r="141" ht="21" customHeight="1" s="98">
      <c r="A141" s="125">
        <f>'bloco 02'!$P40</f>
        <v/>
      </c>
      <c r="B141" s="126">
        <f>'bloco 02'!Q40</f>
        <v/>
      </c>
      <c r="C141" s="126">
        <f>'bloco 02'!R40</f>
        <v/>
      </c>
      <c r="D141" s="126">
        <f>'bloco 02'!S40</f>
        <v/>
      </c>
      <c r="E141" s="127">
        <f>IFERROR(('bloco 02'!T40),"")</f>
        <v/>
      </c>
      <c r="F141" s="128">
        <f>'bloco 02'!U40</f>
        <v/>
      </c>
      <c r="G141" s="129" t="n"/>
    </row>
    <row r="142" ht="21" customHeight="1" s="98">
      <c r="A142" s="125">
        <f>'bloco 02'!$P41</f>
        <v/>
      </c>
      <c r="B142" s="126">
        <f>'bloco 02'!Q41</f>
        <v/>
      </c>
      <c r="C142" s="126">
        <f>'bloco 02'!R41</f>
        <v/>
      </c>
      <c r="D142" s="126">
        <f>'bloco 02'!S41</f>
        <v/>
      </c>
      <c r="E142" s="127">
        <f>IFERROR(('bloco 02'!T41),"")</f>
        <v/>
      </c>
      <c r="F142" s="128">
        <f>'bloco 02'!U41</f>
        <v/>
      </c>
      <c r="G142" s="129" t="n"/>
    </row>
    <row r="143" ht="21" customHeight="1" s="98">
      <c r="A143" s="125">
        <f>'bloco 02'!$P42</f>
        <v/>
      </c>
      <c r="B143" s="126">
        <f>'bloco 02'!Q42</f>
        <v/>
      </c>
      <c r="C143" s="126">
        <f>'bloco 02'!R42</f>
        <v/>
      </c>
      <c r="D143" s="126">
        <f>'bloco 02'!S42</f>
        <v/>
      </c>
      <c r="E143" s="127">
        <f>IFERROR(('bloco 02'!T42),"")</f>
        <v/>
      </c>
      <c r="F143" s="128">
        <f>'bloco 02'!U42</f>
        <v/>
      </c>
      <c r="G143" s="129" t="n"/>
    </row>
    <row r="144" ht="21" customHeight="1" s="98">
      <c r="A144" s="125">
        <f>'bloco 02'!$P43</f>
        <v/>
      </c>
      <c r="B144" s="126">
        <f>'bloco 02'!Q43</f>
        <v/>
      </c>
      <c r="C144" s="126">
        <f>'bloco 02'!R43</f>
        <v/>
      </c>
      <c r="D144" s="126">
        <f>'bloco 02'!S43</f>
        <v/>
      </c>
      <c r="E144" s="127">
        <f>IFERROR(('bloco 02'!T43),"")</f>
        <v/>
      </c>
      <c r="F144" s="128">
        <f>'bloco 02'!U43</f>
        <v/>
      </c>
      <c r="G144" s="129" t="n"/>
    </row>
    <row r="145" ht="21" customHeight="1" s="98">
      <c r="A145" s="125">
        <f>'bloco 02'!$P44</f>
        <v/>
      </c>
      <c r="B145" s="126">
        <f>'bloco 02'!Q44</f>
        <v/>
      </c>
      <c r="C145" s="126">
        <f>'bloco 02'!R44</f>
        <v/>
      </c>
      <c r="D145" s="126">
        <f>'bloco 02'!S44</f>
        <v/>
      </c>
      <c r="E145" s="127">
        <f>IFERROR(('bloco 02'!T44),"")</f>
        <v/>
      </c>
      <c r="F145" s="128">
        <f>'bloco 02'!U44</f>
        <v/>
      </c>
      <c r="G145" s="129" t="n"/>
    </row>
    <row r="146" ht="21" customHeight="1" s="98">
      <c r="A146" s="125">
        <f>'bloco 02'!$P45</f>
        <v/>
      </c>
      <c r="B146" s="126">
        <f>'bloco 02'!Q45</f>
        <v/>
      </c>
      <c r="C146" s="126">
        <f>'bloco 02'!R45</f>
        <v/>
      </c>
      <c r="D146" s="126">
        <f>'bloco 02'!S45</f>
        <v/>
      </c>
      <c r="E146" s="127">
        <f>IFERROR(('bloco 02'!T45),"")</f>
        <v/>
      </c>
      <c r="F146" s="128">
        <f>'bloco 02'!U45</f>
        <v/>
      </c>
      <c r="G146" s="129" t="n"/>
    </row>
    <row r="147" ht="21" customHeight="1" s="98">
      <c r="A147" s="119" t="n"/>
    </row>
    <row r="148" ht="21" customHeight="1" s="98"/>
    <row r="149" ht="21" customHeight="1" s="98"/>
    <row r="150" ht="21" customHeight="1" s="98"/>
    <row r="151" ht="21" customHeight="1" s="98"/>
    <row r="152" ht="21" customHeight="1" s="98"/>
    <row r="153" ht="21" customHeight="1" s="98"/>
    <row r="154" ht="21" customHeight="1" s="98"/>
    <row r="155" ht="21" customHeight="1" s="98"/>
    <row r="156" ht="21" customHeight="1" s="98"/>
    <row r="157" ht="21" customHeight="1" s="98"/>
    <row r="158" ht="21" customHeight="1" s="98"/>
    <row r="159" ht="21" customHeight="1" s="98"/>
    <row r="160" ht="21" customHeight="1" s="98"/>
    <row r="161" ht="21" customHeight="1" s="98"/>
    <row r="162" ht="21" customHeight="1" s="98"/>
    <row r="163" ht="21" customHeight="1" s="98"/>
    <row r="164" ht="16" customHeight="1" s="98">
      <c r="A164" s="123">
        <f>'bloco 02'!X3</f>
        <v/>
      </c>
    </row>
    <row r="165" ht="30" customHeight="1" s="98">
      <c r="A165" s="124" t="inlineStr">
        <is>
          <t>SEMANA 04</t>
        </is>
      </c>
    </row>
    <row r="166" ht="26" customHeight="1" s="98">
      <c r="A166" s="118" t="inlineStr">
        <is>
          <t>TREINO 01</t>
        </is>
      </c>
    </row>
    <row r="167" ht="18" customHeight="1" s="98">
      <c r="A167" s="120" t="n"/>
      <c r="B167" s="120" t="inlineStr">
        <is>
          <t>SETS</t>
        </is>
      </c>
      <c r="C167" s="116" t="inlineStr">
        <is>
          <t>REPS</t>
        </is>
      </c>
      <c r="D167" s="116" t="inlineStr">
        <is>
          <t>KG</t>
        </is>
      </c>
      <c r="E167" s="116" t="inlineStr">
        <is>
          <t>%1RM / PSE</t>
        </is>
      </c>
      <c r="F167" s="116" t="inlineStr">
        <is>
          <t>OBS</t>
        </is>
      </c>
    </row>
    <row r="168" ht="21" customHeight="1" s="98">
      <c r="A168" s="125">
        <f>'bloco 02'!$W6</f>
        <v/>
      </c>
      <c r="B168" s="126">
        <f>'bloco 02'!X6</f>
        <v/>
      </c>
      <c r="C168" s="126">
        <f>'bloco 02'!Y6</f>
        <v/>
      </c>
      <c r="D168" s="126">
        <f>'bloco 02'!Z6</f>
        <v/>
      </c>
      <c r="E168" s="127">
        <f>IFERROR(('bloco 02'!AA6),"")</f>
        <v/>
      </c>
      <c r="F168" s="128">
        <f>'bloco 02'!AB6</f>
        <v/>
      </c>
      <c r="G168" s="129" t="n"/>
    </row>
    <row r="169" ht="21" customHeight="1" s="98">
      <c r="A169" s="125">
        <f>'bloco 02'!$W7</f>
        <v/>
      </c>
      <c r="B169" s="126">
        <f>'bloco 02'!X7</f>
        <v/>
      </c>
      <c r="C169" s="126">
        <f>'bloco 02'!Y7</f>
        <v/>
      </c>
      <c r="D169" s="126">
        <f>'bloco 02'!Z7</f>
        <v/>
      </c>
      <c r="E169" s="127">
        <f>IFERROR(('bloco 02'!AA7),"")</f>
        <v/>
      </c>
      <c r="F169" s="128">
        <f>'bloco 02'!AB7</f>
        <v/>
      </c>
      <c r="G169" s="129" t="n"/>
    </row>
    <row r="170" ht="21" customHeight="1" s="98">
      <c r="A170" s="125">
        <f>'bloco 02'!$W8</f>
        <v/>
      </c>
      <c r="B170" s="126">
        <f>'bloco 02'!X8</f>
        <v/>
      </c>
      <c r="C170" s="126">
        <f>'bloco 02'!Y8</f>
        <v/>
      </c>
      <c r="D170" s="126">
        <f>'bloco 02'!Z8</f>
        <v/>
      </c>
      <c r="E170" s="127">
        <f>IFERROR(('bloco 02'!AA8),"")</f>
        <v/>
      </c>
      <c r="F170" s="128">
        <f>'bloco 02'!AB8</f>
        <v/>
      </c>
      <c r="G170" s="129" t="n"/>
    </row>
    <row r="171" ht="21" customHeight="1" s="98">
      <c r="A171" s="125">
        <f>'bloco 02'!$W9</f>
        <v/>
      </c>
      <c r="B171" s="126">
        <f>'bloco 02'!X9</f>
        <v/>
      </c>
      <c r="C171" s="126">
        <f>'bloco 02'!Y9</f>
        <v/>
      </c>
      <c r="D171" s="126">
        <f>'bloco 02'!Z9</f>
        <v/>
      </c>
      <c r="E171" s="127">
        <f>IFERROR(('bloco 02'!AA9),"")</f>
        <v/>
      </c>
      <c r="F171" s="128">
        <f>'bloco 02'!AB9</f>
        <v/>
      </c>
      <c r="G171" s="129" t="n"/>
    </row>
    <row r="172" ht="21" customHeight="1" s="98">
      <c r="A172" s="125">
        <f>'bloco 02'!$W10</f>
        <v/>
      </c>
      <c r="B172" s="126">
        <f>'bloco 02'!X10</f>
        <v/>
      </c>
      <c r="C172" s="126">
        <f>'bloco 02'!Y10</f>
        <v/>
      </c>
      <c r="D172" s="126">
        <f>'bloco 02'!Z10</f>
        <v/>
      </c>
      <c r="E172" s="127">
        <f>IFERROR(('bloco 02'!AA10),"")</f>
        <v/>
      </c>
      <c r="F172" s="128">
        <f>'bloco 02'!AB10</f>
        <v/>
      </c>
      <c r="G172" s="129" t="n"/>
    </row>
    <row r="173" ht="21" customHeight="1" s="98">
      <c r="A173" s="125">
        <f>'bloco 02'!$W11</f>
        <v/>
      </c>
      <c r="B173" s="126">
        <f>'bloco 02'!X11</f>
        <v/>
      </c>
      <c r="C173" s="126">
        <f>'bloco 02'!Y11</f>
        <v/>
      </c>
      <c r="D173" s="126">
        <f>'bloco 02'!Z11</f>
        <v/>
      </c>
      <c r="E173" s="127">
        <f>IFERROR(('bloco 02'!AA11),"")</f>
        <v/>
      </c>
      <c r="F173" s="128">
        <f>'bloco 02'!AB11</f>
        <v/>
      </c>
      <c r="G173" s="129" t="n"/>
    </row>
    <row r="174" ht="21" customHeight="1" s="98">
      <c r="A174" s="125">
        <f>'bloco 02'!$W12</f>
        <v/>
      </c>
      <c r="B174" s="126">
        <f>'bloco 02'!X12</f>
        <v/>
      </c>
      <c r="C174" s="126">
        <f>'bloco 02'!Y12</f>
        <v/>
      </c>
      <c r="D174" s="126">
        <f>'bloco 02'!Z12</f>
        <v/>
      </c>
      <c r="E174" s="127">
        <f>IFERROR(('bloco 02'!AA12),"")</f>
        <v/>
      </c>
      <c r="F174" s="128">
        <f>'bloco 02'!AB12</f>
        <v/>
      </c>
      <c r="G174" s="129" t="n"/>
    </row>
    <row r="175" ht="21" customHeight="1" s="98">
      <c r="A175" s="125">
        <f>'bloco 02'!$W13</f>
        <v/>
      </c>
      <c r="B175" s="126">
        <f>'bloco 02'!X13</f>
        <v/>
      </c>
      <c r="C175" s="126">
        <f>'bloco 02'!Y13</f>
        <v/>
      </c>
      <c r="D175" s="126">
        <f>'bloco 02'!Z13</f>
        <v/>
      </c>
      <c r="E175" s="127">
        <f>IFERROR(('bloco 02'!AA13),"")</f>
        <v/>
      </c>
      <c r="F175" s="128">
        <f>'bloco 02'!AB13</f>
        <v/>
      </c>
      <c r="G175" s="129" t="n"/>
    </row>
    <row r="176" ht="21" customHeight="1" s="98">
      <c r="A176" s="125">
        <f>'bloco 02'!$W14</f>
        <v/>
      </c>
      <c r="B176" s="126">
        <f>'bloco 02'!X14</f>
        <v/>
      </c>
      <c r="C176" s="126">
        <f>'bloco 02'!Y14</f>
        <v/>
      </c>
      <c r="D176" s="126">
        <f>'bloco 02'!Z14</f>
        <v/>
      </c>
      <c r="E176" s="127">
        <f>IFERROR(('bloco 02'!AA14),"")</f>
        <v/>
      </c>
      <c r="F176" s="128">
        <f>'bloco 02'!AB14</f>
        <v/>
      </c>
      <c r="G176" s="129" t="n"/>
    </row>
    <row r="177" ht="21" customHeight="1" s="98">
      <c r="A177" s="125">
        <f>'bloco 02'!$W15</f>
        <v/>
      </c>
      <c r="B177" s="126">
        <f>'bloco 02'!X15</f>
        <v/>
      </c>
      <c r="C177" s="126">
        <f>'bloco 02'!Y15</f>
        <v/>
      </c>
      <c r="D177" s="126">
        <f>'bloco 02'!Z15</f>
        <v/>
      </c>
      <c r="E177" s="127">
        <f>IFERROR(('bloco 02'!AA15),"")</f>
        <v/>
      </c>
      <c r="F177" s="128">
        <f>'bloco 02'!AB15</f>
        <v/>
      </c>
      <c r="G177" s="129" t="n"/>
    </row>
    <row r="178" ht="26" customHeight="1" s="98">
      <c r="A178" s="118" t="inlineStr">
        <is>
          <t>TREINO 02</t>
        </is>
      </c>
    </row>
    <row r="179" ht="18" customHeight="1" s="98">
      <c r="A179" s="120" t="n"/>
      <c r="B179" s="120" t="inlineStr">
        <is>
          <t>SETS</t>
        </is>
      </c>
      <c r="C179" s="116" t="inlineStr">
        <is>
          <t>REPS</t>
        </is>
      </c>
      <c r="D179" s="116" t="inlineStr">
        <is>
          <t>KG</t>
        </is>
      </c>
      <c r="E179" s="116" t="inlineStr">
        <is>
          <t>%1RM / PSE</t>
        </is>
      </c>
      <c r="F179" s="116" t="inlineStr">
        <is>
          <t>OBS</t>
        </is>
      </c>
    </row>
    <row r="180" ht="21" customHeight="1" s="98">
      <c r="A180" s="125">
        <f>'bloco 02'!$W21</f>
        <v/>
      </c>
      <c r="B180" s="126">
        <f>'bloco 02'!X21</f>
        <v/>
      </c>
      <c r="C180" s="126">
        <f>'bloco 02'!Y21</f>
        <v/>
      </c>
      <c r="D180" s="126">
        <f>'bloco 02'!Z21</f>
        <v/>
      </c>
      <c r="E180" s="127">
        <f>IFERROR(('bloco 02'!AA21),"")</f>
        <v/>
      </c>
      <c r="F180" s="128">
        <f>'bloco 02'!AB21</f>
        <v/>
      </c>
      <c r="G180" s="129" t="n"/>
    </row>
    <row r="181" ht="21" customHeight="1" s="98">
      <c r="A181" s="125">
        <f>'bloco 02'!$W22</f>
        <v/>
      </c>
      <c r="B181" s="126">
        <f>'bloco 02'!X22</f>
        <v/>
      </c>
      <c r="C181" s="126">
        <f>'bloco 02'!Y22</f>
        <v/>
      </c>
      <c r="D181" s="126">
        <f>'bloco 02'!Z22</f>
        <v/>
      </c>
      <c r="E181" s="127">
        <f>IFERROR(('bloco 02'!AA22),"")</f>
        <v/>
      </c>
      <c r="F181" s="128">
        <f>'bloco 02'!AB22</f>
        <v/>
      </c>
      <c r="G181" s="129" t="n"/>
    </row>
    <row r="182" ht="21" customHeight="1" s="98">
      <c r="A182" s="125">
        <f>'bloco 02'!$W23</f>
        <v/>
      </c>
      <c r="B182" s="126">
        <f>'bloco 02'!X23</f>
        <v/>
      </c>
      <c r="C182" s="126">
        <f>'bloco 02'!Y23</f>
        <v/>
      </c>
      <c r="D182" s="126">
        <f>'bloco 02'!Z23</f>
        <v/>
      </c>
      <c r="E182" s="127">
        <f>IFERROR(('bloco 02'!AA23),"")</f>
        <v/>
      </c>
      <c r="F182" s="128">
        <f>'bloco 02'!AB23</f>
        <v/>
      </c>
      <c r="G182" s="129" t="n"/>
    </row>
    <row r="183" ht="21" customHeight="1" s="98">
      <c r="A183" s="125">
        <f>'bloco 02'!$W24</f>
        <v/>
      </c>
      <c r="B183" s="126">
        <f>'bloco 02'!X24</f>
        <v/>
      </c>
      <c r="C183" s="126">
        <f>'bloco 02'!Y24</f>
        <v/>
      </c>
      <c r="D183" s="126">
        <f>'bloco 02'!Z24</f>
        <v/>
      </c>
      <c r="E183" s="127">
        <f>IFERROR(('bloco 02'!AA24),"")</f>
        <v/>
      </c>
      <c r="F183" s="128">
        <f>'bloco 02'!AB24</f>
        <v/>
      </c>
      <c r="G183" s="129" t="n"/>
    </row>
    <row r="184" ht="21" customHeight="1" s="98">
      <c r="A184" s="125">
        <f>'bloco 02'!$W25</f>
        <v/>
      </c>
      <c r="B184" s="126">
        <f>'bloco 02'!X25</f>
        <v/>
      </c>
      <c r="C184" s="126">
        <f>'bloco 02'!Y25</f>
        <v/>
      </c>
      <c r="D184" s="126">
        <f>'bloco 02'!Z25</f>
        <v/>
      </c>
      <c r="E184" s="127">
        <f>IFERROR(('bloco 02'!AA25),"")</f>
        <v/>
      </c>
      <c r="F184" s="128">
        <f>'bloco 02'!AB25</f>
        <v/>
      </c>
      <c r="G184" s="129" t="n"/>
    </row>
    <row r="185" ht="21" customHeight="1" s="98">
      <c r="A185" s="125">
        <f>'bloco 02'!$W26</f>
        <v/>
      </c>
      <c r="B185" s="126">
        <f>'bloco 02'!X26</f>
        <v/>
      </c>
      <c r="C185" s="126">
        <f>'bloco 02'!Y26</f>
        <v/>
      </c>
      <c r="D185" s="126">
        <f>'bloco 02'!Z26</f>
        <v/>
      </c>
      <c r="E185" s="127">
        <f>IFERROR(('bloco 02'!AA26),"")</f>
        <v/>
      </c>
      <c r="F185" s="128">
        <f>'bloco 02'!AB26</f>
        <v/>
      </c>
      <c r="G185" s="129" t="n"/>
    </row>
    <row r="186" ht="21" customHeight="1" s="98">
      <c r="A186" s="125">
        <f>'bloco 02'!$W27</f>
        <v/>
      </c>
      <c r="B186" s="126">
        <f>'bloco 02'!X27</f>
        <v/>
      </c>
      <c r="C186" s="126">
        <f>'bloco 02'!Y27</f>
        <v/>
      </c>
      <c r="D186" s="126">
        <f>'bloco 02'!Z27</f>
        <v/>
      </c>
      <c r="E186" s="127">
        <f>IFERROR(('bloco 02'!AA27),"")</f>
        <v/>
      </c>
      <c r="F186" s="128">
        <f>'bloco 02'!AB27</f>
        <v/>
      </c>
      <c r="G186" s="129" t="n"/>
    </row>
    <row r="187" ht="21" customHeight="1" s="98">
      <c r="A187" s="125">
        <f>'bloco 02'!$W28</f>
        <v/>
      </c>
      <c r="B187" s="126">
        <f>'bloco 02'!X28</f>
        <v/>
      </c>
      <c r="C187" s="126">
        <f>'bloco 02'!Y28</f>
        <v/>
      </c>
      <c r="D187" s="126">
        <f>'bloco 02'!Z28</f>
        <v/>
      </c>
      <c r="E187" s="127">
        <f>IFERROR(('bloco 02'!AA28),"")</f>
        <v/>
      </c>
      <c r="F187" s="128">
        <f>'bloco 02'!AB28</f>
        <v/>
      </c>
      <c r="G187" s="129" t="n"/>
    </row>
    <row r="188" ht="21" customHeight="1" s="98">
      <c r="A188" s="125">
        <f>'bloco 02'!$W29</f>
        <v/>
      </c>
      <c r="B188" s="126">
        <f>'bloco 02'!X29</f>
        <v/>
      </c>
      <c r="C188" s="126">
        <f>'bloco 02'!Y29</f>
        <v/>
      </c>
      <c r="D188" s="126">
        <f>'bloco 02'!Z29</f>
        <v/>
      </c>
      <c r="E188" s="127">
        <f>IFERROR(('bloco 02'!AA29),"")</f>
        <v/>
      </c>
      <c r="F188" s="128">
        <f>'bloco 02'!AB29</f>
        <v/>
      </c>
      <c r="G188" s="129" t="n"/>
    </row>
    <row r="189" ht="21" customHeight="1" s="98">
      <c r="A189" s="125">
        <f>'bloco 02'!$W30</f>
        <v/>
      </c>
      <c r="B189" s="126">
        <f>'bloco 02'!X30</f>
        <v/>
      </c>
      <c r="C189" s="126">
        <f>'bloco 02'!Y30</f>
        <v/>
      </c>
      <c r="D189" s="126">
        <f>'bloco 02'!Z30</f>
        <v/>
      </c>
      <c r="E189" s="127">
        <f>IFERROR(('bloco 02'!AA30),"")</f>
        <v/>
      </c>
      <c r="F189" s="128">
        <f>'bloco 02'!AB30</f>
        <v/>
      </c>
      <c r="G189" s="129" t="n"/>
    </row>
    <row r="190" ht="26" customHeight="1" s="98">
      <c r="A190" s="118" t="inlineStr">
        <is>
          <t>TREINO 03</t>
        </is>
      </c>
    </row>
    <row r="191" ht="18" customHeight="1" s="98">
      <c r="A191" s="120" t="n"/>
      <c r="B191" s="120" t="inlineStr">
        <is>
          <t>SETS</t>
        </is>
      </c>
      <c r="C191" s="116" t="inlineStr">
        <is>
          <t>REPS</t>
        </is>
      </c>
      <c r="D191" s="116" t="inlineStr">
        <is>
          <t>KG</t>
        </is>
      </c>
      <c r="E191" s="116" t="inlineStr">
        <is>
          <t>%1RM / PSE</t>
        </is>
      </c>
      <c r="F191" s="116" t="inlineStr">
        <is>
          <t>OBS</t>
        </is>
      </c>
    </row>
    <row r="192" ht="21" customHeight="1" s="98">
      <c r="A192" s="125">
        <f>'bloco 02'!$W36</f>
        <v/>
      </c>
      <c r="B192" s="126">
        <f>'bloco 02'!X36</f>
        <v/>
      </c>
      <c r="C192" s="126">
        <f>'bloco 02'!Y36</f>
        <v/>
      </c>
      <c r="D192" s="126">
        <f>'bloco 02'!Z36</f>
        <v/>
      </c>
      <c r="E192" s="127">
        <f>IFERROR(('bloco 02'!AA36),"")</f>
        <v/>
      </c>
      <c r="F192" s="128">
        <f>'bloco 02'!AB36</f>
        <v/>
      </c>
      <c r="G192" s="129" t="n"/>
    </row>
    <row r="193" ht="21" customHeight="1" s="98">
      <c r="A193" s="125">
        <f>'bloco 02'!$W37</f>
        <v/>
      </c>
      <c r="B193" s="126">
        <f>'bloco 02'!X37</f>
        <v/>
      </c>
      <c r="C193" s="126">
        <f>'bloco 02'!Y37</f>
        <v/>
      </c>
      <c r="D193" s="126">
        <f>'bloco 02'!Z37</f>
        <v/>
      </c>
      <c r="E193" s="127">
        <f>IFERROR(('bloco 02'!AA37),"")</f>
        <v/>
      </c>
      <c r="F193" s="128">
        <f>'bloco 02'!AB37</f>
        <v/>
      </c>
      <c r="G193" s="129" t="n"/>
    </row>
    <row r="194" ht="21" customHeight="1" s="98">
      <c r="A194" s="125">
        <f>'bloco 02'!$W38</f>
        <v/>
      </c>
      <c r="B194" s="126">
        <f>'bloco 02'!X38</f>
        <v/>
      </c>
      <c r="C194" s="126">
        <f>'bloco 02'!Y38</f>
        <v/>
      </c>
      <c r="D194" s="126">
        <f>'bloco 02'!Z38</f>
        <v/>
      </c>
      <c r="E194" s="127">
        <f>IFERROR(('bloco 02'!AA38),"")</f>
        <v/>
      </c>
      <c r="F194" s="128">
        <f>'bloco 02'!AB38</f>
        <v/>
      </c>
      <c r="G194" s="129" t="n"/>
    </row>
    <row r="195" ht="21" customHeight="1" s="98">
      <c r="A195" s="125">
        <f>'bloco 02'!$W39</f>
        <v/>
      </c>
      <c r="B195" s="126">
        <f>'bloco 02'!X39</f>
        <v/>
      </c>
      <c r="C195" s="126">
        <f>'bloco 02'!Y39</f>
        <v/>
      </c>
      <c r="D195" s="126">
        <f>'bloco 02'!Z39</f>
        <v/>
      </c>
      <c r="E195" s="127">
        <f>IFERROR(('bloco 02'!AA39),"")</f>
        <v/>
      </c>
      <c r="F195" s="128">
        <f>'bloco 02'!AB39</f>
        <v/>
      </c>
      <c r="G195" s="129" t="n"/>
    </row>
    <row r="196" ht="21" customHeight="1" s="98">
      <c r="A196" s="125">
        <f>'bloco 02'!$W40</f>
        <v/>
      </c>
      <c r="B196" s="126">
        <f>'bloco 02'!X40</f>
        <v/>
      </c>
      <c r="C196" s="126">
        <f>'bloco 02'!Y40</f>
        <v/>
      </c>
      <c r="D196" s="126">
        <f>'bloco 02'!Z40</f>
        <v/>
      </c>
      <c r="E196" s="127">
        <f>IFERROR(('bloco 02'!AA40),"")</f>
        <v/>
      </c>
      <c r="F196" s="128">
        <f>'bloco 02'!AB40</f>
        <v/>
      </c>
      <c r="G196" s="129" t="n"/>
    </row>
    <row r="197" ht="21" customHeight="1" s="98">
      <c r="A197" s="125">
        <f>'bloco 02'!$W41</f>
        <v/>
      </c>
      <c r="B197" s="126">
        <f>'bloco 02'!X41</f>
        <v/>
      </c>
      <c r="C197" s="126">
        <f>'bloco 02'!Y41</f>
        <v/>
      </c>
      <c r="D197" s="126">
        <f>'bloco 02'!Z41</f>
        <v/>
      </c>
      <c r="E197" s="127">
        <f>IFERROR(('bloco 02'!AA41),"")</f>
        <v/>
      </c>
      <c r="F197" s="128">
        <f>'bloco 02'!AB41</f>
        <v/>
      </c>
      <c r="G197" s="129" t="n"/>
    </row>
    <row r="198" ht="21" customHeight="1" s="98">
      <c r="A198" s="125">
        <f>'bloco 02'!$W42</f>
        <v/>
      </c>
      <c r="B198" s="126">
        <f>'bloco 02'!X42</f>
        <v/>
      </c>
      <c r="C198" s="126">
        <f>'bloco 02'!Y42</f>
        <v/>
      </c>
      <c r="D198" s="126">
        <f>'bloco 02'!Z42</f>
        <v/>
      </c>
      <c r="E198" s="127">
        <f>IFERROR(('bloco 02'!AA42),"")</f>
        <v/>
      </c>
      <c r="F198" s="128">
        <f>'bloco 02'!AB42</f>
        <v/>
      </c>
      <c r="G198" s="129" t="n"/>
    </row>
    <row r="199" ht="21" customHeight="1" s="98">
      <c r="A199" s="125">
        <f>'bloco 02'!$W43</f>
        <v/>
      </c>
      <c r="B199" s="126">
        <f>'bloco 02'!X43</f>
        <v/>
      </c>
      <c r="C199" s="126">
        <f>'bloco 02'!Y43</f>
        <v/>
      </c>
      <c r="D199" s="126">
        <f>'bloco 02'!Z43</f>
        <v/>
      </c>
      <c r="E199" s="127">
        <f>IFERROR(('bloco 02'!AA43),"")</f>
        <v/>
      </c>
      <c r="F199" s="128">
        <f>'bloco 02'!AB43</f>
        <v/>
      </c>
      <c r="G199" s="129" t="n"/>
    </row>
    <row r="200" ht="21" customHeight="1" s="98">
      <c r="A200" s="125">
        <f>'bloco 02'!$W44</f>
        <v/>
      </c>
      <c r="B200" s="126">
        <f>'bloco 02'!X44</f>
        <v/>
      </c>
      <c r="C200" s="126">
        <f>'bloco 02'!Y44</f>
        <v/>
      </c>
      <c r="D200" s="126">
        <f>'bloco 02'!Z44</f>
        <v/>
      </c>
      <c r="E200" s="127">
        <f>IFERROR(('bloco 02'!AA44),"")</f>
        <v/>
      </c>
      <c r="F200" s="128">
        <f>'bloco 02'!AB44</f>
        <v/>
      </c>
      <c r="G200" s="129" t="n"/>
    </row>
    <row r="201" ht="21" customHeight="1" s="98">
      <c r="A201" s="125">
        <f>'bloco 02'!$W45</f>
        <v/>
      </c>
      <c r="B201" s="126">
        <f>'bloco 02'!X45</f>
        <v/>
      </c>
      <c r="C201" s="126">
        <f>'bloco 02'!Y45</f>
        <v/>
      </c>
      <c r="D201" s="126">
        <f>'bloco 02'!Z45</f>
        <v/>
      </c>
      <c r="E201" s="127">
        <f>IFERROR(('bloco 02'!AA45),"")</f>
        <v/>
      </c>
      <c r="F201" s="128">
        <f>'bloco 02'!AB45</f>
        <v/>
      </c>
      <c r="G201" s="129" t="n"/>
    </row>
    <row r="202" ht="21" customHeight="1" s="98">
      <c r="A202" s="119" t="n"/>
    </row>
    <row r="203" ht="21" customHeight="1" s="98"/>
    <row r="204" ht="21" customHeight="1" s="98"/>
    <row r="205" ht="21" customHeight="1" s="98"/>
    <row r="206" ht="21" customHeight="1" s="98"/>
    <row r="207" ht="21" customHeight="1" s="98"/>
    <row r="208" ht="21" customHeight="1" s="98"/>
    <row r="209" ht="21" customHeight="1" s="98"/>
    <row r="210" ht="21" customHeight="1" s="98"/>
    <row r="211" ht="21" customHeight="1" s="98"/>
    <row r="212" ht="21" customHeight="1" s="98"/>
    <row r="213" ht="21" customHeight="1" s="98"/>
    <row r="214" ht="21" customHeight="1" s="98"/>
    <row r="215" ht="21" customHeight="1" s="98"/>
    <row r="216" ht="21" customHeight="1" s="98"/>
    <row r="217" ht="21" customHeight="1" s="98"/>
    <row r="218" ht="21" customHeight="1" s="98"/>
    <row r="219" ht="21" customHeight="1" s="98">
      <c r="A219" s="114" t="n"/>
      <c r="B219" s="114" t="n"/>
      <c r="C219" s="114" t="n"/>
      <c r="D219" s="114" t="n"/>
      <c r="E219" s="114" t="n"/>
      <c r="F219" s="114" t="n"/>
      <c r="G219" s="114" t="n"/>
    </row>
    <row r="220" ht="21" customHeight="1" s="98">
      <c r="A220" s="114" t="n"/>
      <c r="B220" s="114" t="n"/>
      <c r="C220" s="114" t="n"/>
      <c r="D220" s="114" t="n"/>
      <c r="E220" s="114" t="n"/>
      <c r="F220" s="114" t="n"/>
      <c r="G220" s="114" t="n"/>
    </row>
    <row r="221" ht="21" customHeight="1" s="98">
      <c r="A221" s="114" t="n"/>
      <c r="B221" s="114" t="n"/>
      <c r="C221" s="114" t="n"/>
      <c r="D221" s="114" t="n"/>
      <c r="E221" s="114" t="n"/>
      <c r="F221" s="114" t="n"/>
      <c r="G221" s="114" t="n"/>
    </row>
    <row r="222" ht="21" customHeight="1" s="98">
      <c r="A222" s="114" t="n"/>
      <c r="B222" s="114" t="n"/>
      <c r="C222" s="114" t="n"/>
      <c r="D222" s="114" t="n"/>
      <c r="E222" s="114" t="n"/>
      <c r="F222" s="114" t="n"/>
      <c r="G222" s="114" t="n"/>
    </row>
    <row r="223" ht="21" customHeight="1" s="98">
      <c r="A223" s="114" t="n"/>
      <c r="B223" s="114" t="n"/>
      <c r="C223" s="114" t="n"/>
      <c r="D223" s="114" t="n"/>
      <c r="E223" s="114" t="n"/>
      <c r="F223" s="114" t="n"/>
      <c r="G223" s="114" t="n"/>
    </row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166">
    <mergeCell ref="A202:G218"/>
    <mergeCell ref="E13:G13"/>
    <mergeCell ref="F116:G116"/>
    <mergeCell ref="F29:G29"/>
    <mergeCell ref="A17:G17"/>
    <mergeCell ref="F187:G187"/>
    <mergeCell ref="F172:G172"/>
    <mergeCell ref="F25:G25"/>
    <mergeCell ref="A109:G109"/>
    <mergeCell ref="F196:G196"/>
    <mergeCell ref="F174:G174"/>
    <mergeCell ref="F168:G168"/>
    <mergeCell ref="F84:G84"/>
    <mergeCell ref="A42:G42"/>
    <mergeCell ref="A68:G68"/>
    <mergeCell ref="A190:G190"/>
    <mergeCell ref="F143:G143"/>
    <mergeCell ref="E15:G15"/>
    <mergeCell ref="F118:G118"/>
    <mergeCell ref="A111:G111"/>
    <mergeCell ref="F133:G133"/>
    <mergeCell ref="F173:G173"/>
    <mergeCell ref="F86:G86"/>
    <mergeCell ref="F142:G142"/>
    <mergeCell ref="A30:G30"/>
    <mergeCell ref="F70:G70"/>
    <mergeCell ref="A11:G11"/>
    <mergeCell ref="F79:G79"/>
    <mergeCell ref="F144:G144"/>
    <mergeCell ref="F122:G122"/>
    <mergeCell ref="F125:G125"/>
    <mergeCell ref="F72:G72"/>
    <mergeCell ref="F185:G185"/>
    <mergeCell ref="F134:G134"/>
    <mergeCell ref="F199:G199"/>
    <mergeCell ref="F23:G23"/>
    <mergeCell ref="F81:G81"/>
    <mergeCell ref="F121:G121"/>
    <mergeCell ref="F71:G71"/>
    <mergeCell ref="F43:G43"/>
    <mergeCell ref="F176:G176"/>
    <mergeCell ref="F170:G170"/>
    <mergeCell ref="F120:G120"/>
    <mergeCell ref="F175:G175"/>
    <mergeCell ref="F88:G88"/>
    <mergeCell ref="F57:G57"/>
    <mergeCell ref="F171:G171"/>
    <mergeCell ref="A8:G8"/>
    <mergeCell ref="F19:G19"/>
    <mergeCell ref="F34:G34"/>
    <mergeCell ref="B1:G1"/>
    <mergeCell ref="F63:G63"/>
    <mergeCell ref="F146:G146"/>
    <mergeCell ref="A165:G165"/>
    <mergeCell ref="F74:G74"/>
    <mergeCell ref="F83:G83"/>
    <mergeCell ref="F138:G138"/>
    <mergeCell ref="F20:G20"/>
    <mergeCell ref="F76:G76"/>
    <mergeCell ref="F33:G33"/>
    <mergeCell ref="F45:G45"/>
    <mergeCell ref="F189:G189"/>
    <mergeCell ref="F85:G85"/>
    <mergeCell ref="F198:G198"/>
    <mergeCell ref="A166:G166"/>
    <mergeCell ref="F66:G66"/>
    <mergeCell ref="F188:G188"/>
    <mergeCell ref="F126:G126"/>
    <mergeCell ref="F75:G75"/>
    <mergeCell ref="F47:G47"/>
    <mergeCell ref="F62:G62"/>
    <mergeCell ref="F31:G31"/>
    <mergeCell ref="F46:G46"/>
    <mergeCell ref="F28:G28"/>
    <mergeCell ref="F61:G61"/>
    <mergeCell ref="F39:G39"/>
    <mergeCell ref="F167:G167"/>
    <mergeCell ref="A80:G80"/>
    <mergeCell ref="F48:G48"/>
    <mergeCell ref="A55:G55"/>
    <mergeCell ref="F136:G136"/>
    <mergeCell ref="F64:G64"/>
    <mergeCell ref="F73:G73"/>
    <mergeCell ref="F87:G87"/>
    <mergeCell ref="F128:G128"/>
    <mergeCell ref="F137:G137"/>
    <mergeCell ref="F89:G89"/>
    <mergeCell ref="F124:G124"/>
    <mergeCell ref="F21:G21"/>
    <mergeCell ref="F192:G192"/>
    <mergeCell ref="F201:G201"/>
    <mergeCell ref="F53:G53"/>
    <mergeCell ref="F139:G139"/>
    <mergeCell ref="F114:G114"/>
    <mergeCell ref="F36:G36"/>
    <mergeCell ref="F194:G194"/>
    <mergeCell ref="F50:G50"/>
    <mergeCell ref="F181:G181"/>
    <mergeCell ref="A123:G123"/>
    <mergeCell ref="A1:A3"/>
    <mergeCell ref="F91:G91"/>
    <mergeCell ref="A110:G110"/>
    <mergeCell ref="C2:G2"/>
    <mergeCell ref="F180:G180"/>
    <mergeCell ref="F141:G141"/>
    <mergeCell ref="E12:G12"/>
    <mergeCell ref="A16:G16"/>
    <mergeCell ref="F22:G22"/>
    <mergeCell ref="F115:G115"/>
    <mergeCell ref="F77:G77"/>
    <mergeCell ref="F117:G117"/>
    <mergeCell ref="E14:G14"/>
    <mergeCell ref="A18:G18"/>
    <mergeCell ref="A9:G10"/>
    <mergeCell ref="F49:G49"/>
    <mergeCell ref="F119:G119"/>
    <mergeCell ref="F69:G69"/>
    <mergeCell ref="F182:G182"/>
    <mergeCell ref="A135:G135"/>
    <mergeCell ref="F78:G78"/>
    <mergeCell ref="F191:G191"/>
    <mergeCell ref="F112:G112"/>
    <mergeCell ref="F183:G183"/>
    <mergeCell ref="F65:G65"/>
    <mergeCell ref="A92:G108"/>
    <mergeCell ref="C3:G3"/>
    <mergeCell ref="F193:G193"/>
    <mergeCell ref="F127:G127"/>
    <mergeCell ref="F40:G40"/>
    <mergeCell ref="F59:G59"/>
    <mergeCell ref="F24:G24"/>
    <mergeCell ref="F177:G177"/>
    <mergeCell ref="F169:G169"/>
    <mergeCell ref="F51:G51"/>
    <mergeCell ref="F113:G113"/>
    <mergeCell ref="F32:G32"/>
    <mergeCell ref="F145:G145"/>
    <mergeCell ref="F26:G26"/>
    <mergeCell ref="F41:G41"/>
    <mergeCell ref="F35:G35"/>
    <mergeCell ref="A178:G178"/>
    <mergeCell ref="F129:G129"/>
    <mergeCell ref="F200:G200"/>
    <mergeCell ref="F38:G38"/>
    <mergeCell ref="F90:G90"/>
    <mergeCell ref="A54:G54"/>
    <mergeCell ref="F184:G184"/>
    <mergeCell ref="F131:G131"/>
    <mergeCell ref="F27:G27"/>
    <mergeCell ref="F58:G58"/>
    <mergeCell ref="F140:G140"/>
    <mergeCell ref="F52:G52"/>
    <mergeCell ref="F67:G67"/>
    <mergeCell ref="A164:G164"/>
    <mergeCell ref="F37:G37"/>
    <mergeCell ref="F186:G186"/>
    <mergeCell ref="A56:G56"/>
    <mergeCell ref="F195:G195"/>
    <mergeCell ref="F130:G130"/>
    <mergeCell ref="F82:G82"/>
    <mergeCell ref="F60:G60"/>
    <mergeCell ref="A147:G163"/>
    <mergeCell ref="F179:G179"/>
    <mergeCell ref="F132:G132"/>
    <mergeCell ref="F197:G197"/>
    <mergeCell ref="F44:G44"/>
  </mergeCells>
  <printOptions horizontalCentered="1"/>
  <pageMargins left="0.7" right="0.7" top="0.75" bottom="0.75" header="0" footer="0"/>
  <pageSetup orientation="portrait" paperSize="9" fitToHeight="0" pageOrder="overThenDown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000000"/>
    <outlinePr summaryBelow="0" summaryRight="0"/>
    <pageSetUpPr/>
  </sheetPr>
  <dimension ref="A1:AC51"/>
  <sheetViews>
    <sheetView showGridLines="0" workbookViewId="0">
      <selection activeCell="A1" sqref="A1"/>
    </sheetView>
  </sheetViews>
  <sheetFormatPr baseColWidth="8" defaultColWidth="12.63" defaultRowHeight="15" customHeight="1"/>
  <cols>
    <col width="6.38" customWidth="1" style="98" min="1" max="1"/>
    <col width="31.38" customWidth="1" style="98" min="2" max="2"/>
    <col width="6.38" customWidth="1" style="98" min="3" max="6"/>
    <col width="9.5" customWidth="1" style="98" min="7" max="7"/>
    <col width="6.38" customWidth="1" style="98" min="8" max="8"/>
    <col width="31.38" customWidth="1" style="98" min="9" max="9"/>
    <col width="6.38" customWidth="1" style="98" min="10" max="13"/>
    <col width="9.5" customWidth="1" style="98" min="14" max="14"/>
    <col width="6.38" customWidth="1" style="98" min="15" max="15"/>
    <col width="31.38" customWidth="1" style="98" min="16" max="16"/>
    <col width="6.38" customWidth="1" style="98" min="17" max="20"/>
    <col width="9.5" customWidth="1" style="98" min="21" max="21"/>
    <col width="6.38" customWidth="1" style="98" min="22" max="22"/>
    <col width="31.38" customWidth="1" style="98" min="23" max="23"/>
    <col width="6.38" customWidth="1" style="98" min="24" max="27"/>
    <col width="9.5" customWidth="1" style="98" min="28" max="28"/>
    <col width="6.38" customWidth="1" style="98" min="29" max="29"/>
  </cols>
  <sheetData>
    <row r="1" ht="30" customHeight="1" s="98">
      <c r="A1" s="130" t="inlineStr">
        <is>
          <t>BLOCO 02</t>
        </is>
      </c>
      <c r="B1" s="131" t="n"/>
      <c r="C1" s="132" t="n"/>
      <c r="D1" s="133" t="n"/>
      <c r="E1" s="134" t="n"/>
      <c r="F1" s="134" t="n"/>
      <c r="G1" s="135" t="n"/>
      <c r="H1" s="136" t="n"/>
      <c r="I1" s="131" t="n"/>
      <c r="J1" s="134" t="n"/>
      <c r="K1" s="134" t="n"/>
      <c r="L1" s="134" t="n"/>
      <c r="M1" s="130" t="n"/>
      <c r="N1" s="135" t="n"/>
      <c r="O1" s="130" t="n"/>
      <c r="P1" s="131" t="n"/>
      <c r="Q1" s="134" t="n"/>
      <c r="R1" s="134" t="n"/>
      <c r="S1" s="134" t="n"/>
      <c r="T1" s="134" t="n"/>
      <c r="U1" s="135" t="n"/>
      <c r="V1" s="130" t="n"/>
      <c r="W1" s="131" t="n"/>
      <c r="X1" s="134" t="n"/>
      <c r="Y1" s="134" t="n"/>
      <c r="Z1" s="134" t="n"/>
      <c r="AA1" s="134" t="n"/>
      <c r="AB1" s="134" t="n"/>
      <c r="AC1" s="134" t="n"/>
    </row>
    <row r="2" ht="8" customHeight="1" s="98">
      <c r="A2" s="137" t="n"/>
      <c r="B2" s="137" t="n"/>
      <c r="C2" s="137" t="n"/>
      <c r="D2" s="137" t="n"/>
      <c r="H2" s="137" t="n"/>
      <c r="I2" s="137" t="n"/>
      <c r="J2" s="137" t="n"/>
      <c r="K2" s="137" t="n"/>
      <c r="O2" s="137" t="n"/>
      <c r="P2" s="137" t="n"/>
      <c r="Q2" s="137" t="n"/>
      <c r="R2" s="137" t="n"/>
      <c r="V2" s="137" t="n"/>
      <c r="W2" s="137" t="n"/>
      <c r="X2" s="137" t="n"/>
      <c r="Y2" s="137" t="n"/>
      <c r="AC2" s="137" t="n"/>
    </row>
    <row r="3" ht="26" customHeight="1" s="98">
      <c r="A3" s="138" t="inlineStr">
        <is>
          <t>TREINO 01</t>
        </is>
      </c>
      <c r="B3" s="139" t="n"/>
      <c r="C3" s="140">
        <f>macro!F6</f>
        <v/>
      </c>
      <c r="D3" s="141" t="n"/>
      <c r="E3" s="141" t="n"/>
      <c r="F3" s="141" t="n"/>
      <c r="G3" s="141" t="n"/>
      <c r="H3" s="118" t="n"/>
      <c r="I3" s="139" t="n"/>
      <c r="J3" s="140">
        <f>C3+7</f>
        <v/>
      </c>
      <c r="K3" s="141" t="n"/>
      <c r="L3" s="141" t="n"/>
      <c r="M3" s="141" t="n"/>
      <c r="N3" s="141" t="n"/>
      <c r="O3" s="118" t="n"/>
      <c r="P3" s="139" t="n"/>
      <c r="Q3" s="140">
        <f>J3+7</f>
        <v/>
      </c>
      <c r="R3" s="141" t="n"/>
      <c r="S3" s="141" t="n"/>
      <c r="T3" s="141" t="n"/>
      <c r="U3" s="141" t="n"/>
      <c r="V3" s="118" t="n"/>
      <c r="W3" s="139" t="n"/>
      <c r="X3" s="140">
        <f>Q3+7</f>
        <v/>
      </c>
      <c r="Y3" s="141" t="n"/>
      <c r="Z3" s="141" t="n"/>
      <c r="AA3" s="141" t="n"/>
      <c r="AB3" s="141" t="n"/>
      <c r="AC3" s="118" t="n"/>
    </row>
    <row r="4" ht="18" customHeight="1" s="98">
      <c r="A4" s="142" t="n"/>
      <c r="B4" s="143" t="n"/>
      <c r="C4" s="144" t="inlineStr">
        <is>
          <t>SETS</t>
        </is>
      </c>
      <c r="D4" s="144" t="inlineStr">
        <is>
          <t>REPS</t>
        </is>
      </c>
      <c r="E4" s="144" t="inlineStr">
        <is>
          <t>KG</t>
        </is>
      </c>
      <c r="F4" s="144" t="inlineStr">
        <is>
          <t>%1RM</t>
        </is>
      </c>
      <c r="G4" s="144" t="inlineStr">
        <is>
          <t>OBS</t>
        </is>
      </c>
      <c r="H4" s="137" t="n"/>
      <c r="I4" s="143" t="n"/>
      <c r="J4" s="144" t="inlineStr">
        <is>
          <t>SETS</t>
        </is>
      </c>
      <c r="K4" s="144" t="inlineStr">
        <is>
          <t>REPS</t>
        </is>
      </c>
      <c r="L4" s="144" t="inlineStr">
        <is>
          <t>KG</t>
        </is>
      </c>
      <c r="M4" s="144" t="inlineStr">
        <is>
          <t>%1RM</t>
        </is>
      </c>
      <c r="N4" s="144" t="inlineStr">
        <is>
          <t>OBS</t>
        </is>
      </c>
      <c r="O4" s="137" t="n"/>
      <c r="P4" s="143" t="n"/>
      <c r="Q4" s="144" t="inlineStr">
        <is>
          <t>SETS</t>
        </is>
      </c>
      <c r="R4" s="144" t="inlineStr">
        <is>
          <t>REPS</t>
        </is>
      </c>
      <c r="S4" s="144" t="inlineStr">
        <is>
          <t>KG</t>
        </is>
      </c>
      <c r="T4" s="144" t="inlineStr">
        <is>
          <t>%1RM</t>
        </is>
      </c>
      <c r="U4" s="144" t="inlineStr">
        <is>
          <t>OBS</t>
        </is>
      </c>
      <c r="V4" s="137" t="n"/>
      <c r="W4" s="143" t="n"/>
      <c r="X4" s="144" t="inlineStr">
        <is>
          <t>SETS</t>
        </is>
      </c>
      <c r="Y4" s="144" t="inlineStr">
        <is>
          <t>REPS</t>
        </is>
      </c>
      <c r="Z4" s="144" t="inlineStr">
        <is>
          <t>KG</t>
        </is>
      </c>
      <c r="AA4" s="144" t="inlineStr">
        <is>
          <t>%1RM</t>
        </is>
      </c>
      <c r="AB4" s="144" t="inlineStr">
        <is>
          <t>OBS</t>
        </is>
      </c>
      <c r="AC4" s="137" t="n"/>
    </row>
    <row r="5" ht="18" customHeight="1" s="98">
      <c r="A5" s="142" t="n"/>
      <c r="B5" s="120" t="inlineStr">
        <is>
          <t>exercícios</t>
        </is>
      </c>
      <c r="C5" s="116" t="n"/>
      <c r="D5" s="116" t="n"/>
      <c r="E5" s="116" t="n"/>
      <c r="F5" s="116" t="inlineStr">
        <is>
          <t>pse</t>
        </is>
      </c>
      <c r="G5" s="116" t="n"/>
      <c r="H5" s="137" t="n"/>
      <c r="I5" s="120" t="inlineStr">
        <is>
          <t>exercícios</t>
        </is>
      </c>
      <c r="J5" s="116" t="n"/>
      <c r="K5" s="116" t="n"/>
      <c r="L5" s="116" t="n"/>
      <c r="M5" s="116" t="inlineStr">
        <is>
          <t>pse</t>
        </is>
      </c>
      <c r="N5" s="116" t="n"/>
      <c r="O5" s="137" t="n"/>
      <c r="P5" s="120" t="inlineStr">
        <is>
          <t>exercícios</t>
        </is>
      </c>
      <c r="Q5" s="116" t="n"/>
      <c r="R5" s="116" t="n"/>
      <c r="S5" s="116" t="n"/>
      <c r="T5" s="116" t="inlineStr">
        <is>
          <t>pse</t>
        </is>
      </c>
      <c r="U5" s="116" t="n"/>
      <c r="V5" s="137" t="n"/>
      <c r="W5" s="120" t="inlineStr">
        <is>
          <t>exercícios</t>
        </is>
      </c>
      <c r="X5" s="116" t="n"/>
      <c r="Y5" s="116" t="n"/>
      <c r="Z5" s="116" t="n"/>
      <c r="AA5" s="116" t="inlineStr">
        <is>
          <t>pse</t>
        </is>
      </c>
      <c r="AB5" s="116" t="n"/>
      <c r="AC5" s="137" t="n"/>
    </row>
    <row r="6" ht="21" customHeight="1" s="98">
      <c r="A6" s="137" t="n"/>
      <c r="B6" s="125" t="n"/>
      <c r="C6" s="145" t="n"/>
      <c r="D6" s="145" t="n"/>
      <c r="E6" s="145" t="n"/>
      <c r="F6" s="127">
        <f>IFERROR(__xludf.DUMMYFUNCTION("IFERROR($E6/INDEX(prs!$D$18:$D$24,MATCH(TRUE,ARRAYFORMULA(ISNUMBER(SEARCH(prs!$A$18:$A$24,$B6))),0)),"""")"),"")</f>
        <v/>
      </c>
      <c r="G6" s="128" t="n"/>
      <c r="H6" s="149" t="n"/>
      <c r="I6" s="125" t="n"/>
      <c r="J6" s="145" t="n"/>
      <c r="K6" s="145" t="n"/>
      <c r="L6" s="145" t="n"/>
      <c r="M6" s="127">
        <f>IFERROR(__xludf.DUMMYFUNCTION("IFERROR($L6/INDEX(prs!$D$18:$D$24,MATCH(TRUE,ARRAYFORMULA(ISNUMBER(SEARCH(prs!$A$18:$A$24,$I6))),0)),"""")"),"")</f>
        <v/>
      </c>
      <c r="N6" s="128" t="n"/>
      <c r="O6" s="149" t="n"/>
      <c r="P6" s="125" t="n"/>
      <c r="Q6" s="145" t="n"/>
      <c r="R6" s="145" t="n"/>
      <c r="S6" s="145" t="n"/>
      <c r="T6" s="127">
        <f>IFERROR(__xludf.DUMMYFUNCTION("IFERROR($S6/INDEX(prs!$D$18:$D$24,MATCH(TRUE,ARRAYFORMULA(ISNUMBER(SEARCH(prs!$A$18:$A$24,$P6))),0)),"""")"),"")</f>
        <v/>
      </c>
      <c r="U6" s="128" t="n"/>
      <c r="V6" s="149" t="n"/>
      <c r="W6" s="125" t="n"/>
      <c r="X6" s="145" t="n"/>
      <c r="Y6" s="145" t="n"/>
      <c r="Z6" s="145" t="n"/>
      <c r="AA6" s="127">
        <f>IFERROR(__xludf.DUMMYFUNCTION("IFERROR($Z6/INDEX(prs!$D$18:$D$24,MATCH(TRUE,ARRAYFORMULA(ISNUMBER(SEARCH(prs!$A$18:$A$24,$W6))),0)),"""")"),"")</f>
        <v/>
      </c>
      <c r="AB6" s="128" t="n"/>
      <c r="AC6" s="137" t="n"/>
    </row>
    <row r="7" ht="21" customHeight="1" s="98">
      <c r="A7" s="137" t="n"/>
      <c r="B7" s="125" t="n"/>
      <c r="C7" s="145" t="n"/>
      <c r="D7" s="145" t="n"/>
      <c r="E7" s="145" t="n"/>
      <c r="F7" s="127">
        <f>IFERROR(__xludf.DUMMYFUNCTION("IFERROR($E7/INDEX(prs!$D$18:$D$24,MATCH(TRUE,ARRAYFORMULA(ISNUMBER(SEARCH(prs!$A$18:$A$24,$B7))),0)),"""")"),"")</f>
        <v/>
      </c>
      <c r="G7" s="128" t="n"/>
      <c r="H7" s="149" t="n"/>
      <c r="I7" s="125" t="n"/>
      <c r="J7" s="145" t="n"/>
      <c r="K7" s="145" t="n"/>
      <c r="L7" s="145" t="n"/>
      <c r="M7" s="127">
        <f>IFERROR(__xludf.DUMMYFUNCTION("IFERROR($L7/INDEX(prs!$D$18:$D$24,MATCH(TRUE,ARRAYFORMULA(ISNUMBER(SEARCH(prs!$A$18:$A$24,$I7))),0)),"""")"),"")</f>
        <v/>
      </c>
      <c r="N7" s="128" t="n"/>
      <c r="O7" s="149" t="n"/>
      <c r="P7" s="125" t="n"/>
      <c r="Q7" s="145" t="n"/>
      <c r="R7" s="145" t="n"/>
      <c r="S7" s="145" t="n"/>
      <c r="T7" s="127">
        <f>IFERROR(__xludf.DUMMYFUNCTION("IFERROR($S7/INDEX(prs!$D$18:$D$24,MATCH(TRUE,ARRAYFORMULA(ISNUMBER(SEARCH(prs!$A$18:$A$24,$P7))),0)),"""")"),"")</f>
        <v/>
      </c>
      <c r="U7" s="128" t="n"/>
      <c r="V7" s="149" t="n"/>
      <c r="W7" s="125" t="n"/>
      <c r="X7" s="145" t="n"/>
      <c r="Y7" s="145" t="n"/>
      <c r="Z7" s="145" t="n"/>
      <c r="AA7" s="127">
        <f>IFERROR(__xludf.DUMMYFUNCTION("IFERROR($Z7/INDEX(prs!$D$18:$D$24,MATCH(TRUE,ARRAYFORMULA(ISNUMBER(SEARCH(prs!$A$18:$A$24,$W7))),0)),"""")"),"")</f>
        <v/>
      </c>
      <c r="AB7" s="128" t="n"/>
      <c r="AC7" s="137" t="n"/>
    </row>
    <row r="8" ht="21" customHeight="1" s="98">
      <c r="A8" s="137" t="n"/>
      <c r="B8" s="125" t="n"/>
      <c r="C8" s="145" t="n"/>
      <c r="D8" s="145" t="n"/>
      <c r="E8" s="145" t="n"/>
      <c r="F8" s="127">
        <f>IFERROR(__xludf.DUMMYFUNCTION("IFERROR($E8/INDEX(prs!$D$18:$D$24,MATCH(TRUE,ARRAYFORMULA(ISNUMBER(SEARCH(prs!$A$18:$A$24,$B8))),0)),"""")"),"")</f>
        <v/>
      </c>
      <c r="G8" s="128" t="n"/>
      <c r="H8" s="149" t="n"/>
      <c r="I8" s="125" t="n"/>
      <c r="J8" s="145" t="n"/>
      <c r="K8" s="145" t="n"/>
      <c r="L8" s="145" t="n"/>
      <c r="M8" s="127">
        <f>IFERROR(__xludf.DUMMYFUNCTION("IFERROR($L8/INDEX(prs!$D$18:$D$24,MATCH(TRUE,ARRAYFORMULA(ISNUMBER(SEARCH(prs!$A$18:$A$24,$I8))),0)),"""")"),"")</f>
        <v/>
      </c>
      <c r="N8" s="128" t="n"/>
      <c r="O8" s="149" t="n"/>
      <c r="P8" s="125" t="n"/>
      <c r="Q8" s="145" t="n"/>
      <c r="R8" s="145" t="n"/>
      <c r="S8" s="145" t="n"/>
      <c r="T8" s="127">
        <f>IFERROR(__xludf.DUMMYFUNCTION("IFERROR($S8/INDEX(prs!$D$18:$D$24,MATCH(TRUE,ARRAYFORMULA(ISNUMBER(SEARCH(prs!$A$18:$A$24,$P8))),0)),"""")"),"")</f>
        <v/>
      </c>
      <c r="U8" s="128" t="n"/>
      <c r="V8" s="149" t="n"/>
      <c r="W8" s="125" t="n"/>
      <c r="X8" s="145" t="n"/>
      <c r="Y8" s="145" t="n"/>
      <c r="Z8" s="145" t="n"/>
      <c r="AA8" s="127">
        <f>IFERROR(__xludf.DUMMYFUNCTION("IFERROR($Z8/INDEX(prs!$D$18:$D$24,MATCH(TRUE,ARRAYFORMULA(ISNUMBER(SEARCH(prs!$A$18:$A$24,$W8))),0)),"""")"),"")</f>
        <v/>
      </c>
      <c r="AB8" s="128" t="n"/>
      <c r="AC8" s="137" t="n"/>
    </row>
    <row r="9" ht="21" customHeight="1" s="98">
      <c r="A9" s="137" t="n"/>
      <c r="B9" s="125" t="n"/>
      <c r="C9" s="145" t="n"/>
      <c r="D9" s="145" t="n"/>
      <c r="E9" s="145" t="n"/>
      <c r="F9" s="127">
        <f>IFERROR(__xludf.DUMMYFUNCTION("IFERROR($E9/INDEX(prs!$D$18:$D$24,MATCH(TRUE,ARRAYFORMULA(ISNUMBER(SEARCH(prs!$A$18:$A$24,$B9))),0)),"""")"),"")</f>
        <v/>
      </c>
      <c r="G9" s="128" t="n"/>
      <c r="H9" s="149" t="n"/>
      <c r="I9" s="125" t="n"/>
      <c r="J9" s="145" t="n"/>
      <c r="K9" s="145" t="n"/>
      <c r="L9" s="145" t="n"/>
      <c r="M9" s="127">
        <f>IFERROR(__xludf.DUMMYFUNCTION("IFERROR($L9/INDEX(prs!$D$18:$D$24,MATCH(TRUE,ARRAYFORMULA(ISNUMBER(SEARCH(prs!$A$18:$A$24,$I9))),0)),"""")"),"")</f>
        <v/>
      </c>
      <c r="N9" s="128" t="n"/>
      <c r="O9" s="149" t="n"/>
      <c r="P9" s="125" t="n"/>
      <c r="Q9" s="145" t="n"/>
      <c r="R9" s="145" t="n"/>
      <c r="S9" s="145" t="n"/>
      <c r="T9" s="127">
        <f>IFERROR(__xludf.DUMMYFUNCTION("IFERROR($S9/INDEX(prs!$D$18:$D$24,MATCH(TRUE,ARRAYFORMULA(ISNUMBER(SEARCH(prs!$A$18:$A$24,$P9))),0)),"""")"),"")</f>
        <v/>
      </c>
      <c r="U9" s="128" t="n"/>
      <c r="V9" s="149" t="n"/>
      <c r="W9" s="125" t="n"/>
      <c r="X9" s="145" t="n"/>
      <c r="Y9" s="145" t="n"/>
      <c r="Z9" s="145" t="n"/>
      <c r="AA9" s="127">
        <f>IFERROR(__xludf.DUMMYFUNCTION("IFERROR($Z9/INDEX(prs!$D$18:$D$24,MATCH(TRUE,ARRAYFORMULA(ISNUMBER(SEARCH(prs!$A$18:$A$24,$W9))),0)),"""")"),"")</f>
        <v/>
      </c>
      <c r="AB9" s="128" t="n"/>
      <c r="AC9" s="137" t="n"/>
    </row>
    <row r="10" ht="21" customHeight="1" s="98">
      <c r="A10" s="137" t="n"/>
      <c r="B10" s="125" t="n"/>
      <c r="C10" s="145" t="n"/>
      <c r="D10" s="145" t="n"/>
      <c r="E10" s="145" t="n"/>
      <c r="F10" s="127">
        <f>IFERROR(__xludf.DUMMYFUNCTION("IFERROR($E10/INDEX(prs!$D$18:$D$24,MATCH(TRUE,ARRAYFORMULA(ISNUMBER(SEARCH(prs!$A$18:$A$24,$B10))),0)),"""")"),"")</f>
        <v/>
      </c>
      <c r="G10" s="128" t="n"/>
      <c r="H10" s="149" t="n"/>
      <c r="I10" s="125" t="n"/>
      <c r="J10" s="145" t="n"/>
      <c r="K10" s="145" t="n"/>
      <c r="L10" s="145" t="n"/>
      <c r="M10" s="127">
        <f>IFERROR(__xludf.DUMMYFUNCTION("IFERROR($L10/INDEX(prs!$D$18:$D$24,MATCH(TRUE,ARRAYFORMULA(ISNUMBER(SEARCH(prs!$A$18:$A$24,$I10))),0)),"""")"),"")</f>
        <v/>
      </c>
      <c r="N10" s="128" t="n"/>
      <c r="O10" s="149" t="n"/>
      <c r="P10" s="125" t="n"/>
      <c r="Q10" s="145" t="n"/>
      <c r="R10" s="145" t="n"/>
      <c r="S10" s="145" t="n"/>
      <c r="T10" s="127">
        <f>IFERROR(__xludf.DUMMYFUNCTION("IFERROR($S10/INDEX(prs!$D$18:$D$24,MATCH(TRUE,ARRAYFORMULA(ISNUMBER(SEARCH(prs!$A$18:$A$24,$P10))),0)),"""")"),"")</f>
        <v/>
      </c>
      <c r="U10" s="128" t="n"/>
      <c r="V10" s="149" t="n"/>
      <c r="W10" s="125" t="n"/>
      <c r="X10" s="145" t="n"/>
      <c r="Y10" s="145" t="n"/>
      <c r="Z10" s="145" t="n"/>
      <c r="AA10" s="127">
        <f>IFERROR(__xludf.DUMMYFUNCTION("IFERROR($Z10/INDEX(prs!$D$18:$D$24,MATCH(TRUE,ARRAYFORMULA(ISNUMBER(SEARCH(prs!$A$18:$A$24,$W10))),0)),"""")"),"")</f>
        <v/>
      </c>
      <c r="AB10" s="128" t="n"/>
      <c r="AC10" s="137" t="n"/>
    </row>
    <row r="11" ht="21" customHeight="1" s="98">
      <c r="A11" s="137" t="n"/>
      <c r="B11" s="125" t="n"/>
      <c r="C11" s="145" t="n"/>
      <c r="D11" s="145" t="n"/>
      <c r="E11" s="145" t="n"/>
      <c r="F11" s="127">
        <f>IFERROR(__xludf.DUMMYFUNCTION("IFERROR($E11/INDEX(prs!$D$18:$D$24,MATCH(TRUE,ARRAYFORMULA(ISNUMBER(SEARCH(prs!$A$18:$A$24,$B11))),0)),"""")"),"")</f>
        <v/>
      </c>
      <c r="G11" s="128" t="n"/>
      <c r="H11" s="149" t="n"/>
      <c r="I11" s="125" t="n"/>
      <c r="J11" s="145" t="n"/>
      <c r="K11" s="145" t="n"/>
      <c r="L11" s="145" t="n"/>
      <c r="M11" s="127">
        <f>IFERROR(__xludf.DUMMYFUNCTION("IFERROR($L11/INDEX(prs!$D$18:$D$24,MATCH(TRUE,ARRAYFORMULA(ISNUMBER(SEARCH(prs!$A$18:$A$24,$I11))),0)),"""")"),"")</f>
        <v/>
      </c>
      <c r="N11" s="128" t="n"/>
      <c r="O11" s="149" t="n"/>
      <c r="P11" s="125" t="n"/>
      <c r="Q11" s="145" t="n"/>
      <c r="R11" s="145" t="n"/>
      <c r="S11" s="145" t="n"/>
      <c r="T11" s="127">
        <f>IFERROR(__xludf.DUMMYFUNCTION("IFERROR($S11/INDEX(prs!$D$18:$D$24,MATCH(TRUE,ARRAYFORMULA(ISNUMBER(SEARCH(prs!$A$18:$A$24,$P11))),0)),"""")"),"")</f>
        <v/>
      </c>
      <c r="U11" s="128" t="n"/>
      <c r="V11" s="149" t="n"/>
      <c r="W11" s="125" t="n"/>
      <c r="X11" s="145" t="n"/>
      <c r="Y11" s="145" t="n"/>
      <c r="Z11" s="145" t="n"/>
      <c r="AA11" s="127">
        <f>IFERROR(__xludf.DUMMYFUNCTION("IFERROR($Z11/INDEX(prs!$D$18:$D$24,MATCH(TRUE,ARRAYFORMULA(ISNUMBER(SEARCH(prs!$A$18:$A$24,$W11))),0)),"""")"),"")</f>
        <v/>
      </c>
      <c r="AB11" s="128" t="n"/>
      <c r="AC11" s="137" t="n"/>
    </row>
    <row r="12" ht="21" customHeight="1" s="98">
      <c r="A12" s="137" t="n"/>
      <c r="B12" s="125" t="n"/>
      <c r="C12" s="145" t="n"/>
      <c r="D12" s="145" t="n"/>
      <c r="E12" s="145" t="n"/>
      <c r="F12" s="127">
        <f>IFERROR(__xludf.DUMMYFUNCTION("IFERROR($E12/INDEX(prs!$D$18:$D$24,MATCH(TRUE,ARRAYFORMULA(ISNUMBER(SEARCH(prs!$A$18:$A$24,$B12))),0)),"""")"),"")</f>
        <v/>
      </c>
      <c r="G12" s="128" t="n"/>
      <c r="H12" s="149" t="n"/>
      <c r="I12" s="125" t="n"/>
      <c r="J12" s="145" t="n"/>
      <c r="K12" s="145" t="n"/>
      <c r="L12" s="145" t="n"/>
      <c r="M12" s="127">
        <f>IFERROR(__xludf.DUMMYFUNCTION("IFERROR($L12/INDEX(prs!$D$18:$D$24,MATCH(TRUE,ARRAYFORMULA(ISNUMBER(SEARCH(prs!$A$18:$A$24,$I12))),0)),"""")"),"")</f>
        <v/>
      </c>
      <c r="N12" s="128" t="n"/>
      <c r="O12" s="149" t="n"/>
      <c r="P12" s="125" t="n"/>
      <c r="Q12" s="145" t="n"/>
      <c r="R12" s="145" t="n"/>
      <c r="S12" s="145" t="n"/>
      <c r="T12" s="127">
        <f>IFERROR(__xludf.DUMMYFUNCTION("IFERROR($S12/INDEX(prs!$D$18:$D$24,MATCH(TRUE,ARRAYFORMULA(ISNUMBER(SEARCH(prs!$A$18:$A$24,$P12))),0)),"""")"),"")</f>
        <v/>
      </c>
      <c r="U12" s="128" t="n"/>
      <c r="V12" s="149" t="n"/>
      <c r="W12" s="125" t="n"/>
      <c r="X12" s="145" t="n"/>
      <c r="Y12" s="145" t="n"/>
      <c r="Z12" s="145" t="n"/>
      <c r="AA12" s="127">
        <f>IFERROR(__xludf.DUMMYFUNCTION("IFERROR($Z12/INDEX(prs!$D$18:$D$24,MATCH(TRUE,ARRAYFORMULA(ISNUMBER(SEARCH(prs!$A$18:$A$24,$W12))),0)),"""")"),"")</f>
        <v/>
      </c>
      <c r="AB12" s="128" t="n"/>
      <c r="AC12" s="137" t="n"/>
    </row>
    <row r="13" ht="21" customHeight="1" s="98">
      <c r="A13" s="137" t="n"/>
      <c r="B13" s="125" t="n"/>
      <c r="C13" s="145" t="n"/>
      <c r="D13" s="145" t="n"/>
      <c r="E13" s="145" t="n"/>
      <c r="F13" s="127">
        <f>IFERROR(__xludf.DUMMYFUNCTION("IFERROR($E13/INDEX(prs!$D$18:$D$24,MATCH(TRUE,ARRAYFORMULA(ISNUMBER(SEARCH(prs!$A$18:$A$24,$B13))),0)),"""")"),"")</f>
        <v/>
      </c>
      <c r="G13" s="128" t="n"/>
      <c r="H13" s="149" t="n"/>
      <c r="I13" s="125" t="n"/>
      <c r="J13" s="145" t="n"/>
      <c r="K13" s="145" t="n"/>
      <c r="L13" s="145" t="n"/>
      <c r="M13" s="127">
        <f>IFERROR(__xludf.DUMMYFUNCTION("IFERROR($L13/INDEX(prs!$D$18:$D$24,MATCH(TRUE,ARRAYFORMULA(ISNUMBER(SEARCH(prs!$A$18:$A$24,$I13))),0)),"""")"),"")</f>
        <v/>
      </c>
      <c r="N13" s="128" t="n"/>
      <c r="O13" s="149" t="n"/>
      <c r="P13" s="125" t="n"/>
      <c r="Q13" s="145" t="n"/>
      <c r="R13" s="145" t="n"/>
      <c r="S13" s="145" t="n"/>
      <c r="T13" s="127">
        <f>IFERROR(__xludf.DUMMYFUNCTION("IFERROR($S13/INDEX(prs!$D$18:$D$24,MATCH(TRUE,ARRAYFORMULA(ISNUMBER(SEARCH(prs!$A$18:$A$24,$P13))),0)),"""")"),"")</f>
        <v/>
      </c>
      <c r="U13" s="128" t="n"/>
      <c r="V13" s="149" t="n"/>
      <c r="W13" s="125" t="n"/>
      <c r="X13" s="145" t="n"/>
      <c r="Y13" s="145" t="n"/>
      <c r="Z13" s="145" t="n"/>
      <c r="AA13" s="127">
        <f>IFERROR(__xludf.DUMMYFUNCTION("IFERROR($Z13/INDEX(prs!$D$18:$D$24,MATCH(TRUE,ARRAYFORMULA(ISNUMBER(SEARCH(prs!$A$18:$A$24,$W13))),0)),"""")"),"")</f>
        <v/>
      </c>
      <c r="AB13" s="128" t="n"/>
      <c r="AC13" s="137" t="n"/>
    </row>
    <row r="14" ht="21" customHeight="1" s="98">
      <c r="A14" s="137" t="n"/>
      <c r="B14" s="125" t="n"/>
      <c r="C14" s="145" t="n"/>
      <c r="D14" s="145" t="n"/>
      <c r="E14" s="145" t="n"/>
      <c r="F14" s="127">
        <f>IFERROR(__xludf.DUMMYFUNCTION("IFERROR($E14/INDEX(prs!$D$18:$D$24,MATCH(TRUE,ARRAYFORMULA(ISNUMBER(SEARCH(prs!$A$18:$A$24,$B14))),0)),"""")"),"")</f>
        <v/>
      </c>
      <c r="G14" s="128" t="n"/>
      <c r="H14" s="149" t="n"/>
      <c r="I14" s="125" t="n"/>
      <c r="J14" s="145" t="n"/>
      <c r="K14" s="145" t="n"/>
      <c r="L14" s="145" t="n"/>
      <c r="M14" s="127">
        <f>IFERROR(__xludf.DUMMYFUNCTION("IFERROR($L14/INDEX(prs!$D$18:$D$24,MATCH(TRUE,ARRAYFORMULA(ISNUMBER(SEARCH(prs!$A$18:$A$24,$I14))),0)),"""")"),"")</f>
        <v/>
      </c>
      <c r="N14" s="128" t="n"/>
      <c r="O14" s="149" t="n"/>
      <c r="P14" s="125" t="n"/>
      <c r="Q14" s="145" t="n"/>
      <c r="R14" s="145" t="n"/>
      <c r="S14" s="145" t="n"/>
      <c r="T14" s="127">
        <f>IFERROR(__xludf.DUMMYFUNCTION("IFERROR($S14/INDEX(prs!$D$18:$D$24,MATCH(TRUE,ARRAYFORMULA(ISNUMBER(SEARCH(prs!$A$18:$A$24,$P14))),0)),"""")"),"")</f>
        <v/>
      </c>
      <c r="U14" s="128" t="n"/>
      <c r="V14" s="149" t="n"/>
      <c r="W14" s="125" t="n"/>
      <c r="X14" s="145" t="n"/>
      <c r="Y14" s="145" t="n"/>
      <c r="Z14" s="145" t="n"/>
      <c r="AA14" s="127">
        <f>IFERROR(__xludf.DUMMYFUNCTION("IFERROR($Z14/INDEX(prs!$D$18:$D$24,MATCH(TRUE,ARRAYFORMULA(ISNUMBER(SEARCH(prs!$A$18:$A$24,$W14))),0)),"""")"),"")</f>
        <v/>
      </c>
      <c r="AB14" s="128" t="n"/>
      <c r="AC14" s="137" t="n"/>
    </row>
    <row r="15" ht="21" customHeight="1" s="98">
      <c r="A15" s="137" t="n"/>
      <c r="B15" s="125" t="n"/>
      <c r="C15" s="145" t="n"/>
      <c r="D15" s="145" t="n"/>
      <c r="E15" s="145" t="n"/>
      <c r="F15" s="127">
        <f>IFERROR(__xludf.DUMMYFUNCTION("IFERROR($E15/INDEX(prs!$D$18:$D$24,MATCH(TRUE,ARRAYFORMULA(ISNUMBER(SEARCH(prs!$A$18:$A$24,$B15))),0)),"""")"),"")</f>
        <v/>
      </c>
      <c r="G15" s="128" t="n"/>
      <c r="H15" s="149" t="n"/>
      <c r="I15" s="125" t="n"/>
      <c r="J15" s="145" t="n"/>
      <c r="K15" s="145" t="n"/>
      <c r="L15" s="145" t="n"/>
      <c r="M15" s="127">
        <f>IFERROR(__xludf.DUMMYFUNCTION("IFERROR($L15/INDEX(prs!$D$18:$D$24,MATCH(TRUE,ARRAYFORMULA(ISNUMBER(SEARCH(prs!$A$18:$A$24,$I15))),0)),"""")"),"")</f>
        <v/>
      </c>
      <c r="N15" s="128" t="n"/>
      <c r="O15" s="149" t="n"/>
      <c r="P15" s="125" t="n"/>
      <c r="Q15" s="145" t="n"/>
      <c r="R15" s="145" t="n"/>
      <c r="S15" s="145" t="n"/>
      <c r="T15" s="127">
        <f>IFERROR(__xludf.DUMMYFUNCTION("IFERROR($S15/INDEX(prs!$D$18:$D$24,MATCH(TRUE,ARRAYFORMULA(ISNUMBER(SEARCH(prs!$A$18:$A$24,$P15))),0)),"""")"),"")</f>
        <v/>
      </c>
      <c r="U15" s="128" t="n"/>
      <c r="V15" s="149" t="n"/>
      <c r="W15" s="125" t="n"/>
      <c r="X15" s="145" t="n"/>
      <c r="Y15" s="145" t="n"/>
      <c r="Z15" s="145" t="n"/>
      <c r="AA15" s="127">
        <f>IFERROR(__xludf.DUMMYFUNCTION("IFERROR($Z15/INDEX(prs!$D$18:$D$24,MATCH(TRUE,ARRAYFORMULA(ISNUMBER(SEARCH(prs!$A$18:$A$24,$W15))),0)),"""")"),"")</f>
        <v/>
      </c>
      <c r="AB15" s="128" t="n"/>
      <c r="AC15" s="137" t="n"/>
    </row>
    <row r="16" ht="18" customHeight="1" s="98">
      <c r="A16" s="146" t="n"/>
      <c r="B16" s="147" t="n"/>
      <c r="C16" s="148" t="inlineStr">
        <is>
          <t>SEMANA 01</t>
        </is>
      </c>
      <c r="D16" s="129" t="n"/>
      <c r="E16" s="129" t="n"/>
      <c r="F16" s="129" t="n"/>
      <c r="G16" s="129" t="n"/>
      <c r="H16" s="137" t="n"/>
      <c r="I16" s="147" t="n"/>
      <c r="J16" s="148" t="inlineStr">
        <is>
          <t>SEMANA 02</t>
        </is>
      </c>
      <c r="K16" s="129" t="n"/>
      <c r="L16" s="129" t="n"/>
      <c r="M16" s="129" t="n"/>
      <c r="N16" s="129" t="n"/>
      <c r="O16" s="137" t="n"/>
      <c r="P16" s="147" t="n"/>
      <c r="Q16" s="148" t="inlineStr">
        <is>
          <t>SEMANA 03</t>
        </is>
      </c>
      <c r="R16" s="129" t="n"/>
      <c r="S16" s="129" t="n"/>
      <c r="T16" s="129" t="n"/>
      <c r="U16" s="129" t="n"/>
      <c r="V16" s="137" t="n"/>
      <c r="W16" s="147" t="n"/>
      <c r="X16" s="148" t="inlineStr">
        <is>
          <t>SEMANA 04</t>
        </is>
      </c>
      <c r="Y16" s="129" t="n"/>
      <c r="Z16" s="129" t="n"/>
      <c r="AA16" s="129" t="n"/>
      <c r="AB16" s="129" t="n"/>
      <c r="AC16" s="137" t="n"/>
    </row>
    <row r="17" ht="8" customHeight="1" s="98">
      <c r="A17" s="149" t="n"/>
      <c r="B17" s="149" t="n"/>
      <c r="C17" s="149" t="n"/>
      <c r="D17" s="149" t="n"/>
      <c r="H17" s="149" t="n"/>
      <c r="I17" s="149" t="n"/>
      <c r="J17" s="149" t="n"/>
      <c r="K17" s="149" t="n"/>
      <c r="O17" s="149" t="n"/>
      <c r="P17" s="149" t="n"/>
      <c r="Q17" s="149" t="n"/>
      <c r="R17" s="149" t="n"/>
      <c r="V17" s="149" t="n"/>
      <c r="W17" s="149" t="n"/>
      <c r="X17" s="149" t="n"/>
      <c r="Y17" s="149" t="n"/>
      <c r="AC17" s="149" t="n"/>
    </row>
    <row r="18" ht="26" customHeight="1" s="98">
      <c r="A18" s="138" t="inlineStr">
        <is>
          <t>TREINO 02</t>
        </is>
      </c>
      <c r="B18" s="139" t="n"/>
      <c r="C18" s="140" t="n"/>
      <c r="D18" s="141" t="n"/>
      <c r="E18" s="141" t="n"/>
      <c r="F18" s="141" t="n"/>
      <c r="G18" s="141" t="n"/>
      <c r="H18" s="118" t="n"/>
      <c r="I18" s="139" t="n"/>
      <c r="J18" s="140" t="n"/>
      <c r="K18" s="141" t="n"/>
      <c r="L18" s="141" t="n"/>
      <c r="M18" s="141" t="n"/>
      <c r="N18" s="141" t="n"/>
      <c r="O18" s="118" t="n"/>
      <c r="P18" s="139" t="n"/>
      <c r="Q18" s="140" t="n"/>
      <c r="R18" s="141" t="n"/>
      <c r="S18" s="141" t="n"/>
      <c r="T18" s="141" t="n"/>
      <c r="U18" s="141" t="n"/>
      <c r="V18" s="118" t="n"/>
      <c r="W18" s="139" t="n"/>
      <c r="X18" s="140" t="n"/>
      <c r="Y18" s="141" t="n"/>
      <c r="Z18" s="141" t="n"/>
      <c r="AA18" s="141" t="n"/>
      <c r="AB18" s="141" t="n"/>
      <c r="AC18" s="139" t="n"/>
    </row>
    <row r="19" ht="18" customHeight="1" s="98">
      <c r="A19" s="142" t="n"/>
      <c r="B19" s="143" t="n"/>
      <c r="C19" s="144" t="inlineStr">
        <is>
          <t>SETS</t>
        </is>
      </c>
      <c r="D19" s="144" t="inlineStr">
        <is>
          <t>REPS</t>
        </is>
      </c>
      <c r="E19" s="144" t="inlineStr">
        <is>
          <t>KG</t>
        </is>
      </c>
      <c r="F19" s="144" t="inlineStr">
        <is>
          <t>%1RM</t>
        </is>
      </c>
      <c r="G19" s="144" t="inlineStr">
        <is>
          <t>OBS</t>
        </is>
      </c>
      <c r="H19" s="137" t="n"/>
      <c r="I19" s="143" t="n"/>
      <c r="J19" s="144" t="inlineStr">
        <is>
          <t>SETS</t>
        </is>
      </c>
      <c r="K19" s="144" t="inlineStr">
        <is>
          <t>REPS</t>
        </is>
      </c>
      <c r="L19" s="144" t="inlineStr">
        <is>
          <t>KG</t>
        </is>
      </c>
      <c r="M19" s="144" t="inlineStr">
        <is>
          <t>%1RM</t>
        </is>
      </c>
      <c r="N19" s="144" t="inlineStr">
        <is>
          <t>OBS</t>
        </is>
      </c>
      <c r="O19" s="137" t="n"/>
      <c r="P19" s="143" t="n"/>
      <c r="Q19" s="144" t="inlineStr">
        <is>
          <t>SETS</t>
        </is>
      </c>
      <c r="R19" s="144" t="inlineStr">
        <is>
          <t>REPS</t>
        </is>
      </c>
      <c r="S19" s="144" t="inlineStr">
        <is>
          <t>KG</t>
        </is>
      </c>
      <c r="T19" s="144" t="inlineStr">
        <is>
          <t>%1RM</t>
        </is>
      </c>
      <c r="U19" s="144" t="inlineStr">
        <is>
          <t>OBS</t>
        </is>
      </c>
      <c r="V19" s="137" t="n"/>
      <c r="W19" s="143" t="n"/>
      <c r="X19" s="144" t="inlineStr">
        <is>
          <t>SETS</t>
        </is>
      </c>
      <c r="Y19" s="144" t="inlineStr">
        <is>
          <t>REPS</t>
        </is>
      </c>
      <c r="Z19" s="144" t="inlineStr">
        <is>
          <t>KG</t>
        </is>
      </c>
      <c r="AA19" s="144" t="inlineStr">
        <is>
          <t>%1RM</t>
        </is>
      </c>
      <c r="AB19" s="144" t="inlineStr">
        <is>
          <t>OBS</t>
        </is>
      </c>
      <c r="AC19" s="149" t="n"/>
    </row>
    <row r="20" ht="18" customHeight="1" s="98">
      <c r="A20" s="142" t="n"/>
      <c r="B20" s="120" t="inlineStr">
        <is>
          <t>exercícios</t>
        </is>
      </c>
      <c r="C20" s="116" t="n"/>
      <c r="D20" s="116" t="n"/>
      <c r="E20" s="116" t="n"/>
      <c r="F20" s="116" t="inlineStr">
        <is>
          <t>pse</t>
        </is>
      </c>
      <c r="G20" s="116" t="n"/>
      <c r="H20" s="137" t="n"/>
      <c r="I20" s="120" t="inlineStr">
        <is>
          <t>exercícios</t>
        </is>
      </c>
      <c r="J20" s="116" t="n"/>
      <c r="K20" s="116" t="n"/>
      <c r="L20" s="116" t="n"/>
      <c r="M20" s="116" t="inlineStr">
        <is>
          <t>pse</t>
        </is>
      </c>
      <c r="N20" s="116" t="n"/>
      <c r="O20" s="137" t="n"/>
      <c r="P20" s="120" t="inlineStr">
        <is>
          <t>exercícios</t>
        </is>
      </c>
      <c r="Q20" s="116" t="n"/>
      <c r="R20" s="116" t="n"/>
      <c r="S20" s="116" t="n"/>
      <c r="T20" s="116" t="inlineStr">
        <is>
          <t>pse</t>
        </is>
      </c>
      <c r="U20" s="116" t="n"/>
      <c r="V20" s="137" t="n"/>
      <c r="W20" s="120" t="inlineStr">
        <is>
          <t>exercícios</t>
        </is>
      </c>
      <c r="X20" s="116" t="n"/>
      <c r="Y20" s="116" t="n"/>
      <c r="Z20" s="116" t="n"/>
      <c r="AA20" s="116" t="inlineStr">
        <is>
          <t>pse</t>
        </is>
      </c>
      <c r="AB20" s="116" t="n"/>
      <c r="AC20" s="149" t="n"/>
    </row>
    <row r="21" ht="21" customHeight="1" s="98">
      <c r="A21" s="149" t="n"/>
      <c r="B21" s="125" t="n"/>
      <c r="C21" s="145" t="n"/>
      <c r="D21" s="145" t="n"/>
      <c r="E21" s="145" t="n"/>
      <c r="F21" s="127">
        <f>IFERROR(__xludf.DUMMYFUNCTION("IFERROR($E21/INDEX(prs!$D$18:$D$24,MATCH(TRUE,ARRAYFORMULA(ISNUMBER(SEARCH(prs!$A$18:$A$24,$B21))),0)),"""")"),"")</f>
        <v/>
      </c>
      <c r="G21" s="128" t="n"/>
      <c r="H21" s="149" t="n"/>
      <c r="I21" s="125" t="n"/>
      <c r="J21" s="145" t="n"/>
      <c r="K21" s="145" t="n"/>
      <c r="L21" s="145" t="n"/>
      <c r="M21" s="127">
        <f>IFERROR(__xludf.DUMMYFUNCTION("IFERROR($L21/INDEX(prs!$D$18:$D$24,MATCH(TRUE,ARRAYFORMULA(ISNUMBER(SEARCH(prs!$A$18:$A$24,$I21))),0)),"""")"),"")</f>
        <v/>
      </c>
      <c r="N21" s="128" t="n"/>
      <c r="O21" s="149" t="n"/>
      <c r="P21" s="125" t="n"/>
      <c r="Q21" s="145" t="n"/>
      <c r="R21" s="145" t="n"/>
      <c r="S21" s="145" t="n"/>
      <c r="T21" s="127">
        <f>IFERROR(__xludf.DUMMYFUNCTION("IFERROR($S21/INDEX(prs!$D$18:$D$24,MATCH(TRUE,ARRAYFORMULA(ISNUMBER(SEARCH(prs!$A$18:$A$24,$P21))),0)),"""")"),"")</f>
        <v/>
      </c>
      <c r="U21" s="128" t="n"/>
      <c r="V21" s="149" t="n"/>
      <c r="W21" s="125" t="n"/>
      <c r="X21" s="145" t="n"/>
      <c r="Y21" s="145" t="n"/>
      <c r="Z21" s="145" t="n"/>
      <c r="AA21" s="127">
        <f>IFERROR(__xludf.DUMMYFUNCTION("IFERROR($Z21/INDEX(prs!$D$18:$D$24,MATCH(TRUE,ARRAYFORMULA(ISNUMBER(SEARCH(prs!$A$18:$A$24,$W21))),0)),"""")"),"")</f>
        <v/>
      </c>
      <c r="AB21" s="128" t="n"/>
      <c r="AC21" s="149" t="n"/>
    </row>
    <row r="22" ht="21" customHeight="1" s="98">
      <c r="A22" s="149" t="n"/>
      <c r="B22" s="125" t="n"/>
      <c r="C22" s="145" t="n"/>
      <c r="D22" s="145" t="n"/>
      <c r="E22" s="145" t="n"/>
      <c r="F22" s="127">
        <f>IFERROR(__xludf.DUMMYFUNCTION("IFERROR($E22/INDEX(prs!$D$18:$D$24,MATCH(TRUE,ARRAYFORMULA(ISNUMBER(SEARCH(prs!$A$18:$A$24,$B22))),0)),"""")"),"")</f>
        <v/>
      </c>
      <c r="G22" s="128" t="n"/>
      <c r="H22" s="149" t="n"/>
      <c r="I22" s="125" t="n"/>
      <c r="J22" s="145" t="n"/>
      <c r="K22" s="145" t="n"/>
      <c r="L22" s="145" t="n"/>
      <c r="M22" s="127">
        <f>IFERROR(__xludf.DUMMYFUNCTION("IFERROR($L22/INDEX(prs!$D$18:$D$24,MATCH(TRUE,ARRAYFORMULA(ISNUMBER(SEARCH(prs!$A$18:$A$24,$I22))),0)),"""")"),"")</f>
        <v/>
      </c>
      <c r="N22" s="128" t="n"/>
      <c r="O22" s="149" t="n"/>
      <c r="P22" s="125" t="n"/>
      <c r="Q22" s="145" t="n"/>
      <c r="R22" s="145" t="n"/>
      <c r="S22" s="145" t="n"/>
      <c r="T22" s="127">
        <f>IFERROR(__xludf.DUMMYFUNCTION("IFERROR($S22/INDEX(prs!$D$18:$D$24,MATCH(TRUE,ARRAYFORMULA(ISNUMBER(SEARCH(prs!$A$18:$A$24,$P22))),0)),"""")"),"")</f>
        <v/>
      </c>
      <c r="U22" s="128" t="n"/>
      <c r="V22" s="149" t="n"/>
      <c r="W22" s="125" t="n"/>
      <c r="X22" s="145" t="n"/>
      <c r="Y22" s="145" t="n"/>
      <c r="Z22" s="145" t="n"/>
      <c r="AA22" s="127">
        <f>IFERROR(__xludf.DUMMYFUNCTION("IFERROR($Z22/INDEX(prs!$D$18:$D$24,MATCH(TRUE,ARRAYFORMULA(ISNUMBER(SEARCH(prs!$A$18:$A$24,$W22))),0)),"""")"),"")</f>
        <v/>
      </c>
      <c r="AB22" s="128" t="n"/>
      <c r="AC22" s="149" t="n"/>
    </row>
    <row r="23" ht="21" customHeight="1" s="98">
      <c r="A23" s="149" t="n"/>
      <c r="B23" s="125" t="n"/>
      <c r="C23" s="145" t="n"/>
      <c r="D23" s="145" t="n"/>
      <c r="E23" s="145" t="n"/>
      <c r="F23" s="127">
        <f>IFERROR(__xludf.DUMMYFUNCTION("IFERROR($E23/INDEX(prs!$D$18:$D$24,MATCH(TRUE,ARRAYFORMULA(ISNUMBER(SEARCH(prs!$A$18:$A$24,$B23))),0)),"""")"),"")</f>
        <v/>
      </c>
      <c r="G23" s="128" t="n"/>
      <c r="H23" s="149" t="n"/>
      <c r="I23" s="125" t="n"/>
      <c r="J23" s="145" t="n"/>
      <c r="K23" s="145" t="n"/>
      <c r="L23" s="145" t="n"/>
      <c r="M23" s="127">
        <f>IFERROR(__xludf.DUMMYFUNCTION("IFERROR($L23/INDEX(prs!$D$18:$D$24,MATCH(TRUE,ARRAYFORMULA(ISNUMBER(SEARCH(prs!$A$18:$A$24,$I23))),0)),"""")"),"")</f>
        <v/>
      </c>
      <c r="N23" s="128" t="n"/>
      <c r="O23" s="149" t="n"/>
      <c r="P23" s="125" t="n"/>
      <c r="Q23" s="145" t="n"/>
      <c r="R23" s="145" t="n"/>
      <c r="S23" s="145" t="n"/>
      <c r="T23" s="127">
        <f>IFERROR(__xludf.DUMMYFUNCTION("IFERROR($S23/INDEX(prs!$D$18:$D$24,MATCH(TRUE,ARRAYFORMULA(ISNUMBER(SEARCH(prs!$A$18:$A$24,$P23))),0)),"""")"),"")</f>
        <v/>
      </c>
      <c r="U23" s="128" t="n"/>
      <c r="V23" s="149" t="n"/>
      <c r="W23" s="125" t="n"/>
      <c r="X23" s="145" t="n"/>
      <c r="Y23" s="145" t="n"/>
      <c r="Z23" s="145" t="n"/>
      <c r="AA23" s="127">
        <f>IFERROR(__xludf.DUMMYFUNCTION("IFERROR($Z23/INDEX(prs!$D$18:$D$24,MATCH(TRUE,ARRAYFORMULA(ISNUMBER(SEARCH(prs!$A$18:$A$24,$W23))),0)),"""")"),"")</f>
        <v/>
      </c>
      <c r="AB23" s="128" t="n"/>
      <c r="AC23" s="149" t="n"/>
    </row>
    <row r="24" ht="21" customHeight="1" s="98">
      <c r="A24" s="149" t="n"/>
      <c r="B24" s="125" t="n"/>
      <c r="C24" s="145" t="n"/>
      <c r="D24" s="145" t="n"/>
      <c r="E24" s="145" t="n"/>
      <c r="F24" s="127">
        <f>IFERROR(__xludf.DUMMYFUNCTION("IFERROR($E24/INDEX(prs!$D$18:$D$24,MATCH(TRUE,ARRAYFORMULA(ISNUMBER(SEARCH(prs!$A$18:$A$24,$B24))),0)),"""")"),"")</f>
        <v/>
      </c>
      <c r="G24" s="128" t="n"/>
      <c r="H24" s="149" t="n"/>
      <c r="I24" s="125" t="n"/>
      <c r="J24" s="145" t="n"/>
      <c r="K24" s="145" t="n"/>
      <c r="L24" s="145" t="n"/>
      <c r="M24" s="127">
        <f>IFERROR(__xludf.DUMMYFUNCTION("IFERROR($L24/INDEX(prs!$D$18:$D$24,MATCH(TRUE,ARRAYFORMULA(ISNUMBER(SEARCH(prs!$A$18:$A$24,$I24))),0)),"""")"),"")</f>
        <v/>
      </c>
      <c r="N24" s="128" t="n"/>
      <c r="O24" s="149" t="n"/>
      <c r="P24" s="125" t="n"/>
      <c r="Q24" s="145" t="n"/>
      <c r="R24" s="145" t="n"/>
      <c r="S24" s="145" t="n"/>
      <c r="T24" s="127">
        <f>IFERROR(__xludf.DUMMYFUNCTION("IFERROR($S24/INDEX(prs!$D$18:$D$24,MATCH(TRUE,ARRAYFORMULA(ISNUMBER(SEARCH(prs!$A$18:$A$24,$P24))),0)),"""")"),"")</f>
        <v/>
      </c>
      <c r="U24" s="128" t="n"/>
      <c r="V24" s="149" t="n"/>
      <c r="W24" s="125" t="n"/>
      <c r="X24" s="145" t="n"/>
      <c r="Y24" s="145" t="n"/>
      <c r="Z24" s="145" t="n"/>
      <c r="AA24" s="127">
        <f>IFERROR(__xludf.DUMMYFUNCTION("IFERROR($Z24/INDEX(prs!$D$18:$D$24,MATCH(TRUE,ARRAYFORMULA(ISNUMBER(SEARCH(prs!$A$18:$A$24,$W24))),0)),"""")"),"")</f>
        <v/>
      </c>
      <c r="AB24" s="128" t="n"/>
      <c r="AC24" s="149" t="n"/>
    </row>
    <row r="25" ht="21" customHeight="1" s="98">
      <c r="A25" s="149" t="n"/>
      <c r="B25" s="125" t="n"/>
      <c r="C25" s="145" t="n"/>
      <c r="D25" s="145" t="n"/>
      <c r="E25" s="145" t="n"/>
      <c r="F25" s="127">
        <f>IFERROR(__xludf.DUMMYFUNCTION("IFERROR($E25/INDEX(prs!$D$18:$D$24,MATCH(TRUE,ARRAYFORMULA(ISNUMBER(SEARCH(prs!$A$18:$A$24,$B25))),0)),"""")"),"")</f>
        <v/>
      </c>
      <c r="G25" s="128" t="n"/>
      <c r="H25" s="149" t="n"/>
      <c r="I25" s="125" t="n"/>
      <c r="J25" s="145" t="n"/>
      <c r="K25" s="145" t="n"/>
      <c r="L25" s="145" t="n"/>
      <c r="M25" s="127">
        <f>IFERROR(__xludf.DUMMYFUNCTION("IFERROR($L25/INDEX(prs!$D$18:$D$24,MATCH(TRUE,ARRAYFORMULA(ISNUMBER(SEARCH(prs!$A$18:$A$24,$I25))),0)),"""")"),"")</f>
        <v/>
      </c>
      <c r="N25" s="128" t="n"/>
      <c r="O25" s="149" t="n"/>
      <c r="P25" s="125" t="n"/>
      <c r="Q25" s="145" t="n"/>
      <c r="R25" s="145" t="n"/>
      <c r="S25" s="145" t="n"/>
      <c r="T25" s="127">
        <f>IFERROR(__xludf.DUMMYFUNCTION("IFERROR($S25/INDEX(prs!$D$18:$D$24,MATCH(TRUE,ARRAYFORMULA(ISNUMBER(SEARCH(prs!$A$18:$A$24,$P25))),0)),"""")"),"")</f>
        <v/>
      </c>
      <c r="U25" s="128" t="n"/>
      <c r="V25" s="149" t="n"/>
      <c r="W25" s="125" t="n"/>
      <c r="X25" s="145" t="n"/>
      <c r="Y25" s="145" t="n"/>
      <c r="Z25" s="145" t="n"/>
      <c r="AA25" s="127">
        <f>IFERROR(__xludf.DUMMYFUNCTION("IFERROR($Z25/INDEX(prs!$D$18:$D$24,MATCH(TRUE,ARRAYFORMULA(ISNUMBER(SEARCH(prs!$A$18:$A$24,$W25))),0)),"""")"),"")</f>
        <v/>
      </c>
      <c r="AB25" s="128" t="n"/>
      <c r="AC25" s="149" t="n"/>
    </row>
    <row r="26" ht="21" customHeight="1" s="98">
      <c r="A26" s="149" t="n"/>
      <c r="B26" s="125" t="n"/>
      <c r="C26" s="145" t="n"/>
      <c r="D26" s="145" t="n"/>
      <c r="E26" s="145" t="n"/>
      <c r="F26" s="127">
        <f>IFERROR(__xludf.DUMMYFUNCTION("IFERROR($E26/INDEX(prs!$D$18:$D$24,MATCH(TRUE,ARRAYFORMULA(ISNUMBER(SEARCH(prs!$A$18:$A$24,$B26))),0)),"""")"),"")</f>
        <v/>
      </c>
      <c r="G26" s="128" t="n"/>
      <c r="H26" s="149" t="n"/>
      <c r="I26" s="125" t="n"/>
      <c r="J26" s="145" t="n"/>
      <c r="K26" s="145" t="n"/>
      <c r="L26" s="145" t="n"/>
      <c r="M26" s="127">
        <f>IFERROR(__xludf.DUMMYFUNCTION("IFERROR($L26/INDEX(prs!$D$18:$D$24,MATCH(TRUE,ARRAYFORMULA(ISNUMBER(SEARCH(prs!$A$18:$A$24,$I26))),0)),"""")"),"")</f>
        <v/>
      </c>
      <c r="N26" s="128" t="n"/>
      <c r="O26" s="149" t="n"/>
      <c r="P26" s="125" t="n"/>
      <c r="Q26" s="145" t="n"/>
      <c r="R26" s="145" t="n"/>
      <c r="S26" s="145" t="n"/>
      <c r="T26" s="127">
        <f>IFERROR(__xludf.DUMMYFUNCTION("IFERROR($S26/INDEX(prs!$D$18:$D$24,MATCH(TRUE,ARRAYFORMULA(ISNUMBER(SEARCH(prs!$A$18:$A$24,$P26))),0)),"""")"),"")</f>
        <v/>
      </c>
      <c r="U26" s="128" t="n"/>
      <c r="V26" s="149" t="n"/>
      <c r="W26" s="125" t="n"/>
      <c r="X26" s="145" t="n"/>
      <c r="Y26" s="145" t="n"/>
      <c r="Z26" s="145" t="n"/>
      <c r="AA26" s="127">
        <f>IFERROR(__xludf.DUMMYFUNCTION("IFERROR($Z26/INDEX(prs!$D$18:$D$24,MATCH(TRUE,ARRAYFORMULA(ISNUMBER(SEARCH(prs!$A$18:$A$24,$W26))),0)),"""")"),"")</f>
        <v/>
      </c>
      <c r="AB26" s="128" t="n"/>
      <c r="AC26" s="149" t="n"/>
    </row>
    <row r="27" ht="21" customHeight="1" s="98">
      <c r="A27" s="149" t="n"/>
      <c r="B27" s="125" t="n"/>
      <c r="C27" s="145" t="n"/>
      <c r="D27" s="145" t="n"/>
      <c r="E27" s="145" t="n"/>
      <c r="F27" s="127">
        <f>IFERROR(__xludf.DUMMYFUNCTION("IFERROR($E27/INDEX(prs!$D$18:$D$24,MATCH(TRUE,ARRAYFORMULA(ISNUMBER(SEARCH(prs!$A$18:$A$24,$B27))),0)),"""")"),"")</f>
        <v/>
      </c>
      <c r="G27" s="128" t="n"/>
      <c r="H27" s="149" t="n"/>
      <c r="I27" s="125" t="n"/>
      <c r="J27" s="145" t="n"/>
      <c r="K27" s="145" t="n"/>
      <c r="L27" s="145" t="n"/>
      <c r="M27" s="127">
        <f>IFERROR(__xludf.DUMMYFUNCTION("IFERROR($L27/INDEX(prs!$D$18:$D$24,MATCH(TRUE,ARRAYFORMULA(ISNUMBER(SEARCH(prs!$A$18:$A$24,$I27))),0)),"""")"),"")</f>
        <v/>
      </c>
      <c r="N27" s="128" t="n"/>
      <c r="O27" s="149" t="n"/>
      <c r="P27" s="125" t="n"/>
      <c r="Q27" s="145" t="n"/>
      <c r="R27" s="145" t="n"/>
      <c r="S27" s="145" t="n"/>
      <c r="T27" s="127">
        <f>IFERROR(__xludf.DUMMYFUNCTION("IFERROR($S27/INDEX(prs!$D$18:$D$24,MATCH(TRUE,ARRAYFORMULA(ISNUMBER(SEARCH(prs!$A$18:$A$24,$P27))),0)),"""")"),"")</f>
        <v/>
      </c>
      <c r="U27" s="128" t="n"/>
      <c r="V27" s="149" t="n"/>
      <c r="W27" s="125" t="n"/>
      <c r="X27" s="145" t="n"/>
      <c r="Y27" s="145" t="n"/>
      <c r="Z27" s="145" t="n"/>
      <c r="AA27" s="127">
        <f>IFERROR(__xludf.DUMMYFUNCTION("IFERROR($Z27/INDEX(prs!$D$18:$D$24,MATCH(TRUE,ARRAYFORMULA(ISNUMBER(SEARCH(prs!$A$18:$A$24,$W27))),0)),"""")"),"")</f>
        <v/>
      </c>
      <c r="AB27" s="128" t="n"/>
      <c r="AC27" s="149" t="n"/>
    </row>
    <row r="28" ht="21" customHeight="1" s="98">
      <c r="A28" s="149" t="n"/>
      <c r="B28" s="125" t="n"/>
      <c r="C28" s="145" t="n"/>
      <c r="D28" s="145" t="n"/>
      <c r="E28" s="145" t="n"/>
      <c r="F28" s="127">
        <f>IFERROR(__xludf.DUMMYFUNCTION("IFERROR($E28/INDEX(prs!$D$18:$D$24,MATCH(TRUE,ARRAYFORMULA(ISNUMBER(SEARCH(prs!$A$18:$A$24,$B28))),0)),"""")"),"")</f>
        <v/>
      </c>
      <c r="G28" s="128" t="n"/>
      <c r="H28" s="149" t="n"/>
      <c r="I28" s="125" t="n"/>
      <c r="J28" s="145" t="n"/>
      <c r="K28" s="145" t="n"/>
      <c r="L28" s="145" t="n"/>
      <c r="M28" s="127">
        <f>IFERROR(__xludf.DUMMYFUNCTION("IFERROR($L28/INDEX(prs!$D$18:$D$24,MATCH(TRUE,ARRAYFORMULA(ISNUMBER(SEARCH(prs!$A$18:$A$24,$I28))),0)),"""")"),"")</f>
        <v/>
      </c>
      <c r="N28" s="128" t="n"/>
      <c r="O28" s="149" t="n"/>
      <c r="P28" s="125" t="n"/>
      <c r="Q28" s="145" t="n"/>
      <c r="R28" s="145" t="n"/>
      <c r="S28" s="145" t="n"/>
      <c r="T28" s="127">
        <f>IFERROR(__xludf.DUMMYFUNCTION("IFERROR($S28/INDEX(prs!$D$18:$D$24,MATCH(TRUE,ARRAYFORMULA(ISNUMBER(SEARCH(prs!$A$18:$A$24,$P28))),0)),"""")"),"")</f>
        <v/>
      </c>
      <c r="U28" s="128" t="n"/>
      <c r="V28" s="149" t="n"/>
      <c r="W28" s="125" t="n"/>
      <c r="X28" s="145" t="n"/>
      <c r="Y28" s="145" t="n"/>
      <c r="Z28" s="145" t="n"/>
      <c r="AA28" s="127">
        <f>IFERROR(__xludf.DUMMYFUNCTION("IFERROR($Z28/INDEX(prs!$D$18:$D$24,MATCH(TRUE,ARRAYFORMULA(ISNUMBER(SEARCH(prs!$A$18:$A$24,$W28))),0)),"""")"),"")</f>
        <v/>
      </c>
      <c r="AB28" s="128" t="n"/>
      <c r="AC28" s="149" t="n"/>
    </row>
    <row r="29" ht="21" customHeight="1" s="98">
      <c r="A29" s="149" t="n"/>
      <c r="B29" s="125" t="n"/>
      <c r="C29" s="145" t="n"/>
      <c r="D29" s="145" t="n"/>
      <c r="E29" s="145" t="n"/>
      <c r="F29" s="127">
        <f>IFERROR(__xludf.DUMMYFUNCTION("IFERROR($E29/INDEX(prs!$D$18:$D$24,MATCH(TRUE,ARRAYFORMULA(ISNUMBER(SEARCH(prs!$A$18:$A$24,$B29))),0)),"""")"),"")</f>
        <v/>
      </c>
      <c r="G29" s="128" t="n"/>
      <c r="H29" s="149" t="n"/>
      <c r="I29" s="125" t="n"/>
      <c r="J29" s="145" t="n"/>
      <c r="K29" s="145" t="n"/>
      <c r="L29" s="145" t="n"/>
      <c r="M29" s="127">
        <f>IFERROR(__xludf.DUMMYFUNCTION("IFERROR($L29/INDEX(prs!$D$18:$D$24,MATCH(TRUE,ARRAYFORMULA(ISNUMBER(SEARCH(prs!$A$18:$A$24,$I29))),0)),"""")"),"")</f>
        <v/>
      </c>
      <c r="N29" s="128" t="n"/>
      <c r="O29" s="149" t="n"/>
      <c r="P29" s="125" t="n"/>
      <c r="Q29" s="145" t="n"/>
      <c r="R29" s="145" t="n"/>
      <c r="S29" s="145" t="n"/>
      <c r="T29" s="127">
        <f>IFERROR(__xludf.DUMMYFUNCTION("IFERROR($S29/INDEX(prs!$D$18:$D$24,MATCH(TRUE,ARRAYFORMULA(ISNUMBER(SEARCH(prs!$A$18:$A$24,$P29))),0)),"""")"),"")</f>
        <v/>
      </c>
      <c r="U29" s="128" t="n"/>
      <c r="V29" s="149" t="n"/>
      <c r="W29" s="125" t="n"/>
      <c r="X29" s="145" t="n"/>
      <c r="Y29" s="145" t="n"/>
      <c r="Z29" s="145" t="n"/>
      <c r="AA29" s="127">
        <f>IFERROR(__xludf.DUMMYFUNCTION("IFERROR($Z29/INDEX(prs!$D$18:$D$24,MATCH(TRUE,ARRAYFORMULA(ISNUMBER(SEARCH(prs!$A$18:$A$24,$W29))),0)),"""")"),"")</f>
        <v/>
      </c>
      <c r="AB29" s="128" t="n"/>
      <c r="AC29" s="149" t="n"/>
    </row>
    <row r="30" ht="21" customHeight="1" s="98">
      <c r="A30" s="149" t="n"/>
      <c r="B30" s="125" t="n"/>
      <c r="C30" s="145" t="n"/>
      <c r="D30" s="145" t="n"/>
      <c r="E30" s="145" t="n"/>
      <c r="F30" s="127">
        <f>IFERROR(__xludf.DUMMYFUNCTION("IFERROR($E30/INDEX(prs!$D$18:$D$24,MATCH(TRUE,ARRAYFORMULA(ISNUMBER(SEARCH(prs!$A$18:$A$24,$B30))),0)),"""")"),"")</f>
        <v/>
      </c>
      <c r="G30" s="128" t="n"/>
      <c r="H30" s="149" t="n"/>
      <c r="I30" s="125" t="n"/>
      <c r="J30" s="145" t="n"/>
      <c r="K30" s="145" t="n"/>
      <c r="L30" s="145" t="n"/>
      <c r="M30" s="127">
        <f>IFERROR(__xludf.DUMMYFUNCTION("IFERROR($L30/INDEX(prs!$D$18:$D$24,MATCH(TRUE,ARRAYFORMULA(ISNUMBER(SEARCH(prs!$A$18:$A$24,$I30))),0)),"""")"),"")</f>
        <v/>
      </c>
      <c r="N30" s="128" t="n"/>
      <c r="O30" s="149" t="n"/>
      <c r="P30" s="125" t="n"/>
      <c r="Q30" s="145" t="n"/>
      <c r="R30" s="145" t="n"/>
      <c r="S30" s="145" t="n"/>
      <c r="T30" s="127">
        <f>IFERROR(__xludf.DUMMYFUNCTION("IFERROR($S30/INDEX(prs!$D$18:$D$24,MATCH(TRUE,ARRAYFORMULA(ISNUMBER(SEARCH(prs!$A$18:$A$24,$P30))),0)),"""")"),"")</f>
        <v/>
      </c>
      <c r="U30" s="128" t="n"/>
      <c r="V30" s="149" t="n"/>
      <c r="W30" s="125" t="n"/>
      <c r="X30" s="145" t="n"/>
      <c r="Y30" s="145" t="n"/>
      <c r="Z30" s="145" t="n"/>
      <c r="AA30" s="127">
        <f>IFERROR(__xludf.DUMMYFUNCTION("IFERROR($Z30/INDEX(prs!$D$18:$D$24,MATCH(TRUE,ARRAYFORMULA(ISNUMBER(SEARCH(prs!$A$18:$A$24,$W30))),0)),"""")"),"")</f>
        <v/>
      </c>
      <c r="AB30" s="128" t="n"/>
      <c r="AC30" s="149" t="n"/>
    </row>
    <row r="31" ht="18" customHeight="1" s="98">
      <c r="A31" s="146" t="n"/>
      <c r="B31" s="147" t="n"/>
      <c r="C31" s="148" t="inlineStr">
        <is>
          <t>SEMANA 01</t>
        </is>
      </c>
      <c r="D31" s="129" t="n"/>
      <c r="E31" s="129" t="n"/>
      <c r="F31" s="129" t="n"/>
      <c r="G31" s="129" t="n"/>
      <c r="H31" s="137" t="n"/>
      <c r="I31" s="147" t="n"/>
      <c r="J31" s="148" t="inlineStr">
        <is>
          <t>SEMANA 02</t>
        </is>
      </c>
      <c r="K31" s="129" t="n"/>
      <c r="L31" s="129" t="n"/>
      <c r="M31" s="129" t="n"/>
      <c r="N31" s="129" t="n"/>
      <c r="O31" s="137" t="n"/>
      <c r="P31" s="147" t="n"/>
      <c r="Q31" s="148" t="inlineStr">
        <is>
          <t>SEMANA 03</t>
        </is>
      </c>
      <c r="R31" s="129" t="n"/>
      <c r="S31" s="129" t="n"/>
      <c r="T31" s="129" t="n"/>
      <c r="U31" s="129" t="n"/>
      <c r="V31" s="137" t="n"/>
      <c r="W31" s="147" t="n"/>
      <c r="X31" s="148" t="inlineStr">
        <is>
          <t>SEMANA 04</t>
        </is>
      </c>
      <c r="Y31" s="129" t="n"/>
      <c r="Z31" s="129" t="n"/>
      <c r="AA31" s="129" t="n"/>
      <c r="AB31" s="129" t="n"/>
      <c r="AC31" s="149" t="n"/>
    </row>
    <row r="32" ht="8" customHeight="1" s="98">
      <c r="A32" s="137" t="n"/>
      <c r="B32" s="149" t="n"/>
      <c r="C32" s="137" t="n"/>
      <c r="D32" s="137" t="n"/>
      <c r="H32" s="137" t="n"/>
      <c r="I32" s="149" t="n"/>
      <c r="J32" s="137" t="n"/>
      <c r="K32" s="137" t="n"/>
      <c r="O32" s="137" t="n"/>
      <c r="P32" s="149" t="n"/>
      <c r="Q32" s="137" t="n"/>
      <c r="R32" s="137" t="n"/>
      <c r="V32" s="137" t="n"/>
      <c r="W32" s="149" t="n"/>
      <c r="X32" s="137" t="n"/>
      <c r="Y32" s="137" t="n"/>
      <c r="AC32" s="137" t="n"/>
    </row>
    <row r="33" ht="26" customHeight="1" s="98">
      <c r="A33" s="138" t="inlineStr">
        <is>
          <t>TREINO 03</t>
        </is>
      </c>
      <c r="B33" s="139" t="n"/>
      <c r="C33" s="118" t="n"/>
      <c r="D33" s="141" t="n"/>
      <c r="E33" s="141" t="n"/>
      <c r="F33" s="141" t="n"/>
      <c r="G33" s="141" t="n"/>
      <c r="H33" s="118" t="n"/>
      <c r="I33" s="139" t="n"/>
      <c r="J33" s="118" t="n"/>
      <c r="K33" s="141" t="n"/>
      <c r="L33" s="141" t="n"/>
      <c r="M33" s="141" t="n"/>
      <c r="N33" s="141" t="n"/>
      <c r="O33" s="118" t="n"/>
      <c r="P33" s="139" t="n"/>
      <c r="Q33" s="118" t="n"/>
      <c r="R33" s="141" t="n"/>
      <c r="S33" s="141" t="n"/>
      <c r="T33" s="141" t="n"/>
      <c r="U33" s="141" t="n"/>
      <c r="V33" s="118" t="n"/>
      <c r="W33" s="139" t="n"/>
      <c r="X33" s="118" t="n"/>
      <c r="Y33" s="141" t="n"/>
      <c r="Z33" s="141" t="n"/>
      <c r="AA33" s="141" t="n"/>
      <c r="AB33" s="141" t="n"/>
      <c r="AC33" s="118" t="n"/>
    </row>
    <row r="34" ht="18" customHeight="1" s="98">
      <c r="A34" s="142" t="n"/>
      <c r="B34" s="143" t="n"/>
      <c r="C34" s="144" t="inlineStr">
        <is>
          <t>SETS</t>
        </is>
      </c>
      <c r="D34" s="144" t="inlineStr">
        <is>
          <t>REPS</t>
        </is>
      </c>
      <c r="E34" s="144" t="inlineStr">
        <is>
          <t>KG</t>
        </is>
      </c>
      <c r="F34" s="144" t="inlineStr">
        <is>
          <t>%1RM</t>
        </is>
      </c>
      <c r="G34" s="144" t="inlineStr">
        <is>
          <t>OBS</t>
        </is>
      </c>
      <c r="H34" s="137" t="n"/>
      <c r="I34" s="143" t="n"/>
      <c r="J34" s="144" t="inlineStr">
        <is>
          <t>SETS</t>
        </is>
      </c>
      <c r="K34" s="144" t="inlineStr">
        <is>
          <t>REPS</t>
        </is>
      </c>
      <c r="L34" s="144" t="inlineStr">
        <is>
          <t>KG</t>
        </is>
      </c>
      <c r="M34" s="144" t="inlineStr">
        <is>
          <t>%1RM</t>
        </is>
      </c>
      <c r="N34" s="144" t="inlineStr">
        <is>
          <t>OBS</t>
        </is>
      </c>
      <c r="O34" s="137" t="n"/>
      <c r="P34" s="143" t="n"/>
      <c r="Q34" s="144" t="inlineStr">
        <is>
          <t>SETS</t>
        </is>
      </c>
      <c r="R34" s="144" t="inlineStr">
        <is>
          <t>REPS</t>
        </is>
      </c>
      <c r="S34" s="144" t="inlineStr">
        <is>
          <t>KG</t>
        </is>
      </c>
      <c r="T34" s="144" t="inlineStr">
        <is>
          <t>%1RM</t>
        </is>
      </c>
      <c r="U34" s="144" t="inlineStr">
        <is>
          <t>OBS</t>
        </is>
      </c>
      <c r="V34" s="137" t="n"/>
      <c r="W34" s="143" t="n"/>
      <c r="X34" s="144" t="inlineStr">
        <is>
          <t>SETS</t>
        </is>
      </c>
      <c r="Y34" s="144" t="inlineStr">
        <is>
          <t>REPS</t>
        </is>
      </c>
      <c r="Z34" s="144" t="inlineStr">
        <is>
          <t>KG</t>
        </is>
      </c>
      <c r="AA34" s="144" t="inlineStr">
        <is>
          <t>%1RM</t>
        </is>
      </c>
      <c r="AB34" s="144" t="inlineStr">
        <is>
          <t>OBS</t>
        </is>
      </c>
      <c r="AC34" s="137" t="n"/>
    </row>
    <row r="35" ht="18" customHeight="1" s="98">
      <c r="A35" s="142" t="n"/>
      <c r="B35" s="120" t="inlineStr">
        <is>
          <t>exercícios</t>
        </is>
      </c>
      <c r="C35" s="116" t="n"/>
      <c r="D35" s="116" t="n"/>
      <c r="E35" s="116" t="n"/>
      <c r="F35" s="116" t="inlineStr">
        <is>
          <t>pse</t>
        </is>
      </c>
      <c r="G35" s="116" t="n"/>
      <c r="H35" s="137" t="n"/>
      <c r="I35" s="120" t="inlineStr">
        <is>
          <t>exercícios</t>
        </is>
      </c>
      <c r="J35" s="116" t="n"/>
      <c r="K35" s="116" t="n"/>
      <c r="L35" s="116" t="n"/>
      <c r="M35" s="116" t="inlineStr">
        <is>
          <t>pse</t>
        </is>
      </c>
      <c r="N35" s="116" t="n"/>
      <c r="O35" s="137" t="n"/>
      <c r="P35" s="120" t="inlineStr">
        <is>
          <t>exercícios</t>
        </is>
      </c>
      <c r="Q35" s="116" t="n"/>
      <c r="R35" s="116" t="n"/>
      <c r="S35" s="116" t="n"/>
      <c r="T35" s="116" t="inlineStr">
        <is>
          <t>pse</t>
        </is>
      </c>
      <c r="U35" s="116" t="n"/>
      <c r="V35" s="137" t="n"/>
      <c r="W35" s="120" t="inlineStr">
        <is>
          <t>exercícios</t>
        </is>
      </c>
      <c r="X35" s="116" t="n"/>
      <c r="Y35" s="116" t="n"/>
      <c r="Z35" s="116" t="n"/>
      <c r="AA35" s="116" t="inlineStr">
        <is>
          <t>pse</t>
        </is>
      </c>
      <c r="AB35" s="116" t="n"/>
      <c r="AC35" s="137" t="n"/>
    </row>
    <row r="36" ht="21" customHeight="1" s="98">
      <c r="A36" s="137" t="n"/>
      <c r="B36" s="125" t="n"/>
      <c r="C36" s="145" t="n"/>
      <c r="D36" s="145" t="n"/>
      <c r="E36" s="145" t="n"/>
      <c r="F36" s="127">
        <f>IFERROR(__xludf.DUMMYFUNCTION("IFERROR($E36/INDEX(prs!$D$18:$D$24,MATCH(TRUE,ARRAYFORMULA(ISNUMBER(SEARCH(prs!$A$18:$A$24,$B36))),0)),"""")"),"")</f>
        <v/>
      </c>
      <c r="G36" s="128" t="n"/>
      <c r="H36" s="149" t="n"/>
      <c r="I36" s="125" t="n"/>
      <c r="J36" s="145" t="n"/>
      <c r="K36" s="145" t="n"/>
      <c r="L36" s="145" t="n"/>
      <c r="M36" s="127">
        <f>IFERROR(__xludf.DUMMYFUNCTION("IFERROR($L36/INDEX(prs!$D$18:$D$24,MATCH(TRUE,ARRAYFORMULA(ISNUMBER(SEARCH(prs!$A$18:$A$24,$I36))),0)),"""")"),"")</f>
        <v/>
      </c>
      <c r="N36" s="128" t="n"/>
      <c r="O36" s="149" t="n"/>
      <c r="P36" s="125" t="n"/>
      <c r="Q36" s="145" t="n"/>
      <c r="R36" s="145" t="n"/>
      <c r="S36" s="145" t="n"/>
      <c r="T36" s="127">
        <f>IFERROR(__xludf.DUMMYFUNCTION("IFERROR($S36/INDEX(prs!$D$18:$D$24,MATCH(TRUE,ARRAYFORMULA(ISNUMBER(SEARCH(prs!$A$18:$A$24,$P36))),0)),"""")"),"")</f>
        <v/>
      </c>
      <c r="U36" s="128" t="n"/>
      <c r="V36" s="149" t="n"/>
      <c r="W36" s="125" t="n"/>
      <c r="X36" s="145" t="n"/>
      <c r="Y36" s="145" t="n"/>
      <c r="Z36" s="145" t="n"/>
      <c r="AA36" s="127">
        <f>IFERROR(__xludf.DUMMYFUNCTION("IFERROR($Z36/INDEX(prs!$D$18:$D$24,MATCH(TRUE,ARRAYFORMULA(ISNUMBER(SEARCH(prs!$A$18:$A$24,$W36))),0)),"""")"),"")</f>
        <v/>
      </c>
      <c r="AB36" s="128" t="n"/>
      <c r="AC36" s="137" t="n"/>
    </row>
    <row r="37" ht="21" customHeight="1" s="98">
      <c r="A37" s="137" t="n"/>
      <c r="B37" s="125" t="n"/>
      <c r="C37" s="145" t="n"/>
      <c r="D37" s="145" t="n"/>
      <c r="E37" s="145" t="n"/>
      <c r="F37" s="127">
        <f>IFERROR(__xludf.DUMMYFUNCTION("IFERROR($E37/INDEX(prs!$D$18:$D$24,MATCH(TRUE,ARRAYFORMULA(ISNUMBER(SEARCH(prs!$A$18:$A$24,$B37))),0)),"""")"),"")</f>
        <v/>
      </c>
      <c r="G37" s="128" t="n"/>
      <c r="H37" s="149" t="n"/>
      <c r="I37" s="125" t="n"/>
      <c r="J37" s="145" t="n"/>
      <c r="K37" s="145" t="n"/>
      <c r="L37" s="145" t="n"/>
      <c r="M37" s="127">
        <f>IFERROR(__xludf.DUMMYFUNCTION("IFERROR($L37/INDEX(prs!$D$18:$D$24,MATCH(TRUE,ARRAYFORMULA(ISNUMBER(SEARCH(prs!$A$18:$A$24,$I37))),0)),"""")"),"")</f>
        <v/>
      </c>
      <c r="N37" s="128" t="n"/>
      <c r="O37" s="149" t="n"/>
      <c r="P37" s="125" t="n"/>
      <c r="Q37" s="145" t="n"/>
      <c r="R37" s="145" t="n"/>
      <c r="S37" s="145" t="n"/>
      <c r="T37" s="127">
        <f>IFERROR(__xludf.DUMMYFUNCTION("IFERROR($S37/INDEX(prs!$D$18:$D$24,MATCH(TRUE,ARRAYFORMULA(ISNUMBER(SEARCH(prs!$A$18:$A$24,$P37))),0)),"""")"),"")</f>
        <v/>
      </c>
      <c r="U37" s="128" t="n"/>
      <c r="V37" s="149" t="n"/>
      <c r="W37" s="125" t="n"/>
      <c r="X37" s="145" t="n"/>
      <c r="Y37" s="145" t="n"/>
      <c r="Z37" s="145" t="n"/>
      <c r="AA37" s="127">
        <f>IFERROR(__xludf.DUMMYFUNCTION("IFERROR($Z37/INDEX(prs!$D$18:$D$24,MATCH(TRUE,ARRAYFORMULA(ISNUMBER(SEARCH(prs!$A$18:$A$24,$W37))),0)),"""")"),"")</f>
        <v/>
      </c>
      <c r="AB37" s="128" t="n"/>
      <c r="AC37" s="137" t="n"/>
    </row>
    <row r="38" ht="21" customHeight="1" s="98">
      <c r="A38" s="137" t="n"/>
      <c r="B38" s="125" t="n"/>
      <c r="C38" s="145" t="n"/>
      <c r="D38" s="145" t="n"/>
      <c r="E38" s="145" t="n"/>
      <c r="F38" s="127">
        <f>IFERROR(__xludf.DUMMYFUNCTION("IFERROR($E38/INDEX(prs!$D$18:$D$24,MATCH(TRUE,ARRAYFORMULA(ISNUMBER(SEARCH(prs!$A$18:$A$24,$B38))),0)),"""")"),"")</f>
        <v/>
      </c>
      <c r="G38" s="128" t="n"/>
      <c r="H38" s="149" t="n"/>
      <c r="I38" s="125" t="n"/>
      <c r="J38" s="145" t="n"/>
      <c r="K38" s="145" t="n"/>
      <c r="L38" s="145" t="n"/>
      <c r="M38" s="127">
        <f>IFERROR(__xludf.DUMMYFUNCTION("IFERROR($L38/INDEX(prs!$D$18:$D$24,MATCH(TRUE,ARRAYFORMULA(ISNUMBER(SEARCH(prs!$A$18:$A$24,$I38))),0)),"""")"),"")</f>
        <v/>
      </c>
      <c r="N38" s="128" t="n"/>
      <c r="O38" s="149" t="n"/>
      <c r="P38" s="125" t="n"/>
      <c r="Q38" s="145" t="n"/>
      <c r="R38" s="145" t="n"/>
      <c r="S38" s="145" t="n"/>
      <c r="T38" s="127">
        <f>IFERROR(__xludf.DUMMYFUNCTION("IFERROR($S38/INDEX(prs!$D$18:$D$24,MATCH(TRUE,ARRAYFORMULA(ISNUMBER(SEARCH(prs!$A$18:$A$24,$P38))),0)),"""")"),"")</f>
        <v/>
      </c>
      <c r="U38" s="128" t="n"/>
      <c r="V38" s="149" t="n"/>
      <c r="W38" s="125" t="n"/>
      <c r="X38" s="145" t="n"/>
      <c r="Y38" s="145" t="n"/>
      <c r="Z38" s="145" t="n"/>
      <c r="AA38" s="127">
        <f>IFERROR(__xludf.DUMMYFUNCTION("IFERROR($Z38/INDEX(prs!$D$18:$D$24,MATCH(TRUE,ARRAYFORMULA(ISNUMBER(SEARCH(prs!$A$18:$A$24,$W38))),0)),"""")"),"")</f>
        <v/>
      </c>
      <c r="AB38" s="128" t="n"/>
      <c r="AC38" s="137" t="n"/>
    </row>
    <row r="39" ht="21" customHeight="1" s="98">
      <c r="A39" s="137" t="n"/>
      <c r="B39" s="125" t="n"/>
      <c r="C39" s="145" t="n"/>
      <c r="D39" s="145" t="n"/>
      <c r="E39" s="145" t="n"/>
      <c r="F39" s="127">
        <f>IFERROR(__xludf.DUMMYFUNCTION("IFERROR($E39/INDEX(prs!$D$18:$D$24,MATCH(TRUE,ARRAYFORMULA(ISNUMBER(SEARCH(prs!$A$18:$A$24,$B39))),0)),"""")"),"")</f>
        <v/>
      </c>
      <c r="G39" s="128" t="n"/>
      <c r="H39" s="149" t="n"/>
      <c r="I39" s="125" t="n"/>
      <c r="J39" s="145" t="n"/>
      <c r="K39" s="145" t="n"/>
      <c r="L39" s="145" t="n"/>
      <c r="M39" s="127">
        <f>IFERROR(__xludf.DUMMYFUNCTION("IFERROR($L39/INDEX(prs!$D$18:$D$24,MATCH(TRUE,ARRAYFORMULA(ISNUMBER(SEARCH(prs!$A$18:$A$24,$I39))),0)),"""")"),"")</f>
        <v/>
      </c>
      <c r="N39" s="128" t="n"/>
      <c r="O39" s="149" t="n"/>
      <c r="P39" s="125" t="n"/>
      <c r="Q39" s="145" t="n"/>
      <c r="R39" s="145" t="n"/>
      <c r="S39" s="145" t="n"/>
      <c r="T39" s="127">
        <f>IFERROR(__xludf.DUMMYFUNCTION("IFERROR($S39/INDEX(prs!$D$18:$D$24,MATCH(TRUE,ARRAYFORMULA(ISNUMBER(SEARCH(prs!$A$18:$A$24,$P39))),0)),"""")"),"")</f>
        <v/>
      </c>
      <c r="U39" s="128" t="n"/>
      <c r="V39" s="149" t="n"/>
      <c r="W39" s="125" t="n"/>
      <c r="X39" s="145" t="n"/>
      <c r="Y39" s="145" t="n"/>
      <c r="Z39" s="145" t="n"/>
      <c r="AA39" s="127">
        <f>IFERROR(__xludf.DUMMYFUNCTION("IFERROR($Z39/INDEX(prs!$D$18:$D$24,MATCH(TRUE,ARRAYFORMULA(ISNUMBER(SEARCH(prs!$A$18:$A$24,$W39))),0)),"""")"),"")</f>
        <v/>
      </c>
      <c r="AB39" s="128" t="n"/>
      <c r="AC39" s="137" t="n"/>
    </row>
    <row r="40" ht="21" customHeight="1" s="98">
      <c r="A40" s="137" t="n"/>
      <c r="B40" s="125" t="n"/>
      <c r="C40" s="145" t="n"/>
      <c r="D40" s="145" t="n"/>
      <c r="E40" s="145" t="n"/>
      <c r="F40" s="127">
        <f>IFERROR(__xludf.DUMMYFUNCTION("IFERROR($E40/INDEX(prs!$D$18:$D$24,MATCH(TRUE,ARRAYFORMULA(ISNUMBER(SEARCH(prs!$A$18:$A$24,$B40))),0)),"""")"),"")</f>
        <v/>
      </c>
      <c r="G40" s="128" t="n"/>
      <c r="H40" s="149" t="n"/>
      <c r="I40" s="125" t="n"/>
      <c r="J40" s="145" t="n"/>
      <c r="K40" s="145" t="n"/>
      <c r="L40" s="145" t="n"/>
      <c r="M40" s="127">
        <f>IFERROR(__xludf.DUMMYFUNCTION("IFERROR($L40/INDEX(prs!$D$18:$D$24,MATCH(TRUE,ARRAYFORMULA(ISNUMBER(SEARCH(prs!$A$18:$A$24,$I40))),0)),"""")"),"")</f>
        <v/>
      </c>
      <c r="N40" s="128" t="n"/>
      <c r="O40" s="149" t="n"/>
      <c r="P40" s="125" t="n"/>
      <c r="Q40" s="145" t="n"/>
      <c r="R40" s="145" t="n"/>
      <c r="S40" s="145" t="n"/>
      <c r="T40" s="127">
        <f>IFERROR(__xludf.DUMMYFUNCTION("IFERROR($S40/INDEX(prs!$D$18:$D$24,MATCH(TRUE,ARRAYFORMULA(ISNUMBER(SEARCH(prs!$A$18:$A$24,$P40))),0)),"""")"),"")</f>
        <v/>
      </c>
      <c r="U40" s="128" t="n"/>
      <c r="V40" s="149" t="n"/>
      <c r="W40" s="125" t="n"/>
      <c r="X40" s="145" t="n"/>
      <c r="Y40" s="145" t="n"/>
      <c r="Z40" s="145" t="n"/>
      <c r="AA40" s="127">
        <f>IFERROR(__xludf.DUMMYFUNCTION("IFERROR($Z40/INDEX(prs!$D$18:$D$24,MATCH(TRUE,ARRAYFORMULA(ISNUMBER(SEARCH(prs!$A$18:$A$24,$W40))),0)),"""")"),"")</f>
        <v/>
      </c>
      <c r="AB40" s="128" t="n"/>
      <c r="AC40" s="137" t="n"/>
    </row>
    <row r="41" ht="21" customHeight="1" s="98">
      <c r="A41" s="137" t="n"/>
      <c r="B41" s="125" t="n"/>
      <c r="C41" s="145" t="n"/>
      <c r="D41" s="145" t="n"/>
      <c r="E41" s="145" t="n"/>
      <c r="F41" s="127">
        <f>IFERROR(__xludf.DUMMYFUNCTION("IFERROR($E41/INDEX(prs!$D$18:$D$24,MATCH(TRUE,ARRAYFORMULA(ISNUMBER(SEARCH(prs!$A$18:$A$24,$B41))),0)),"""")"),"")</f>
        <v/>
      </c>
      <c r="G41" s="128" t="n"/>
      <c r="H41" s="149" t="n"/>
      <c r="I41" s="125" t="n"/>
      <c r="J41" s="145" t="n"/>
      <c r="K41" s="145" t="n"/>
      <c r="L41" s="145" t="n"/>
      <c r="M41" s="127">
        <f>IFERROR(__xludf.DUMMYFUNCTION("IFERROR($L41/INDEX(prs!$D$18:$D$24,MATCH(TRUE,ARRAYFORMULA(ISNUMBER(SEARCH(prs!$A$18:$A$24,$I41))),0)),"""")"),"")</f>
        <v/>
      </c>
      <c r="N41" s="128" t="n"/>
      <c r="O41" s="149" t="n"/>
      <c r="P41" s="125" t="n"/>
      <c r="Q41" s="145" t="n"/>
      <c r="R41" s="145" t="n"/>
      <c r="S41" s="145" t="n"/>
      <c r="T41" s="127">
        <f>IFERROR(__xludf.DUMMYFUNCTION("IFERROR($S41/INDEX(prs!$D$18:$D$24,MATCH(TRUE,ARRAYFORMULA(ISNUMBER(SEARCH(prs!$A$18:$A$24,$P41))),0)),"""")"),"")</f>
        <v/>
      </c>
      <c r="U41" s="128" t="n"/>
      <c r="V41" s="149" t="n"/>
      <c r="W41" s="125" t="n"/>
      <c r="X41" s="145" t="n"/>
      <c r="Y41" s="145" t="n"/>
      <c r="Z41" s="145" t="n"/>
      <c r="AA41" s="127">
        <f>IFERROR(__xludf.DUMMYFUNCTION("IFERROR($Z41/INDEX(prs!$D$18:$D$24,MATCH(TRUE,ARRAYFORMULA(ISNUMBER(SEARCH(prs!$A$18:$A$24,$W41))),0)),"""")"),"")</f>
        <v/>
      </c>
      <c r="AB41" s="128" t="n"/>
      <c r="AC41" s="137" t="n"/>
    </row>
    <row r="42" ht="21" customHeight="1" s="98">
      <c r="A42" s="137" t="n"/>
      <c r="B42" s="125" t="n"/>
      <c r="C42" s="145" t="n"/>
      <c r="D42" s="145" t="n"/>
      <c r="E42" s="145" t="n"/>
      <c r="F42" s="127">
        <f>IFERROR(__xludf.DUMMYFUNCTION("IFERROR($E42/INDEX(prs!$D$18:$D$24,MATCH(TRUE,ARRAYFORMULA(ISNUMBER(SEARCH(prs!$A$18:$A$24,$B42))),0)),"""")"),"")</f>
        <v/>
      </c>
      <c r="G42" s="128" t="n"/>
      <c r="H42" s="149" t="n"/>
      <c r="I42" s="125" t="n"/>
      <c r="J42" s="145" t="n"/>
      <c r="K42" s="145" t="n"/>
      <c r="L42" s="145" t="n"/>
      <c r="M42" s="127">
        <f>IFERROR(__xludf.DUMMYFUNCTION("IFERROR($L42/INDEX(prs!$D$18:$D$24,MATCH(TRUE,ARRAYFORMULA(ISNUMBER(SEARCH(prs!$A$18:$A$24,$I42))),0)),"""")"),"")</f>
        <v/>
      </c>
      <c r="N42" s="128" t="n"/>
      <c r="O42" s="149" t="n"/>
      <c r="P42" s="125" t="n"/>
      <c r="Q42" s="145" t="n"/>
      <c r="R42" s="145" t="n"/>
      <c r="S42" s="145" t="n"/>
      <c r="T42" s="127">
        <f>IFERROR(__xludf.DUMMYFUNCTION("IFERROR($S42/INDEX(prs!$D$18:$D$24,MATCH(TRUE,ARRAYFORMULA(ISNUMBER(SEARCH(prs!$A$18:$A$24,$P42))),0)),"""")"),"")</f>
        <v/>
      </c>
      <c r="U42" s="128" t="n"/>
      <c r="V42" s="149" t="n"/>
      <c r="W42" s="125" t="n"/>
      <c r="X42" s="145" t="n"/>
      <c r="Y42" s="145" t="n"/>
      <c r="Z42" s="145" t="n"/>
      <c r="AA42" s="127">
        <f>IFERROR(__xludf.DUMMYFUNCTION("IFERROR($Z42/INDEX(prs!$D$18:$D$24,MATCH(TRUE,ARRAYFORMULA(ISNUMBER(SEARCH(prs!$A$18:$A$24,$W42))),0)),"""")"),"")</f>
        <v/>
      </c>
      <c r="AB42" s="128" t="n"/>
      <c r="AC42" s="137" t="n"/>
    </row>
    <row r="43" ht="21" customHeight="1" s="98">
      <c r="A43" s="137" t="n"/>
      <c r="B43" s="125" t="n"/>
      <c r="C43" s="145" t="n"/>
      <c r="D43" s="145" t="n"/>
      <c r="E43" s="145" t="n"/>
      <c r="F43" s="127">
        <f>IFERROR(__xludf.DUMMYFUNCTION("IFERROR($E43/INDEX(prs!$D$18:$D$24,MATCH(TRUE,ARRAYFORMULA(ISNUMBER(SEARCH(prs!$A$18:$A$24,$B43))),0)),"""")"),"")</f>
        <v/>
      </c>
      <c r="G43" s="128" t="n"/>
      <c r="H43" s="149" t="n"/>
      <c r="I43" s="125" t="n"/>
      <c r="J43" s="145" t="n"/>
      <c r="K43" s="145" t="n"/>
      <c r="L43" s="145" t="n"/>
      <c r="M43" s="127">
        <f>IFERROR(__xludf.DUMMYFUNCTION("IFERROR($L43/INDEX(prs!$D$18:$D$24,MATCH(TRUE,ARRAYFORMULA(ISNUMBER(SEARCH(prs!$A$18:$A$24,$I43))),0)),"""")"),"")</f>
        <v/>
      </c>
      <c r="N43" s="128" t="n"/>
      <c r="O43" s="149" t="n"/>
      <c r="P43" s="125" t="n"/>
      <c r="Q43" s="145" t="n"/>
      <c r="R43" s="145" t="n"/>
      <c r="S43" s="145" t="n"/>
      <c r="T43" s="127">
        <f>IFERROR(__xludf.DUMMYFUNCTION("IFERROR($S43/INDEX(prs!$D$18:$D$24,MATCH(TRUE,ARRAYFORMULA(ISNUMBER(SEARCH(prs!$A$18:$A$24,$P43))),0)),"""")"),"")</f>
        <v/>
      </c>
      <c r="U43" s="128" t="n"/>
      <c r="V43" s="149" t="n"/>
      <c r="W43" s="125" t="n"/>
      <c r="X43" s="145" t="n"/>
      <c r="Y43" s="145" t="n"/>
      <c r="Z43" s="145" t="n"/>
      <c r="AA43" s="127">
        <f>IFERROR(__xludf.DUMMYFUNCTION("IFERROR($Z43/INDEX(prs!$D$18:$D$24,MATCH(TRUE,ARRAYFORMULA(ISNUMBER(SEARCH(prs!$A$18:$A$24,$W43))),0)),"""")"),"")</f>
        <v/>
      </c>
      <c r="AB43" s="128" t="n"/>
      <c r="AC43" s="137" t="n"/>
    </row>
    <row r="44" ht="21" customHeight="1" s="98">
      <c r="A44" s="137" t="n"/>
      <c r="B44" s="125" t="n"/>
      <c r="C44" s="145" t="n"/>
      <c r="D44" s="145" t="n"/>
      <c r="E44" s="145" t="n"/>
      <c r="F44" s="127">
        <f>IFERROR(__xludf.DUMMYFUNCTION("IFERROR($E44/INDEX(prs!$D$18:$D$24,MATCH(TRUE,ARRAYFORMULA(ISNUMBER(SEARCH(prs!$A$18:$A$24,$B44))),0)),"""")"),"")</f>
        <v/>
      </c>
      <c r="G44" s="128" t="n"/>
      <c r="H44" s="149" t="n"/>
      <c r="I44" s="125" t="n"/>
      <c r="J44" s="145" t="n"/>
      <c r="K44" s="145" t="n"/>
      <c r="L44" s="145" t="n"/>
      <c r="M44" s="127">
        <f>IFERROR(__xludf.DUMMYFUNCTION("IFERROR($L44/INDEX(prs!$D$18:$D$24,MATCH(TRUE,ARRAYFORMULA(ISNUMBER(SEARCH(prs!$A$18:$A$24,$I44))),0)),"""")"),"")</f>
        <v/>
      </c>
      <c r="N44" s="128" t="n"/>
      <c r="O44" s="149" t="n"/>
      <c r="P44" s="125" t="n"/>
      <c r="Q44" s="145" t="n"/>
      <c r="R44" s="145" t="n"/>
      <c r="S44" s="145" t="n"/>
      <c r="T44" s="127">
        <f>IFERROR(__xludf.DUMMYFUNCTION("IFERROR($S44/INDEX(prs!$D$18:$D$24,MATCH(TRUE,ARRAYFORMULA(ISNUMBER(SEARCH(prs!$A$18:$A$24,$P44))),0)),"""")"),"")</f>
        <v/>
      </c>
      <c r="U44" s="128" t="n"/>
      <c r="V44" s="149" t="n"/>
      <c r="W44" s="125" t="n"/>
      <c r="X44" s="145" t="n"/>
      <c r="Y44" s="145" t="n"/>
      <c r="Z44" s="145" t="n"/>
      <c r="AA44" s="127">
        <f>IFERROR(__xludf.DUMMYFUNCTION("IFERROR($Z44/INDEX(prs!$D$18:$D$24,MATCH(TRUE,ARRAYFORMULA(ISNUMBER(SEARCH(prs!$A$18:$A$24,$W44))),0)),"""")"),"")</f>
        <v/>
      </c>
      <c r="AB44" s="128" t="n"/>
      <c r="AC44" s="137" t="n"/>
    </row>
    <row r="45" ht="21" customHeight="1" s="98">
      <c r="A45" s="137" t="n"/>
      <c r="B45" s="125" t="n"/>
      <c r="C45" s="145" t="n"/>
      <c r="D45" s="145" t="n"/>
      <c r="E45" s="145" t="n"/>
      <c r="F45" s="127">
        <f>IFERROR(__xludf.DUMMYFUNCTION("IFERROR($E45/INDEX(prs!$D$18:$D$24,MATCH(TRUE,ARRAYFORMULA(ISNUMBER(SEARCH(prs!$A$18:$A$24,$B45))),0)),"""")"),"")</f>
        <v/>
      </c>
      <c r="G45" s="128" t="n"/>
      <c r="H45" s="149" t="n"/>
      <c r="I45" s="125" t="n"/>
      <c r="J45" s="145" t="n"/>
      <c r="K45" s="145" t="n"/>
      <c r="L45" s="145" t="n"/>
      <c r="M45" s="127">
        <f>IFERROR(__xludf.DUMMYFUNCTION("IFERROR($L45/INDEX(prs!$D$18:$D$24,MATCH(TRUE,ARRAYFORMULA(ISNUMBER(SEARCH(prs!$A$18:$A$24,$I45))),0)),"""")"),"")</f>
        <v/>
      </c>
      <c r="N45" s="128" t="n"/>
      <c r="O45" s="149" t="n"/>
      <c r="P45" s="125" t="n"/>
      <c r="Q45" s="145" t="n"/>
      <c r="R45" s="145" t="n"/>
      <c r="S45" s="145" t="n"/>
      <c r="T45" s="127">
        <f>IFERROR(__xludf.DUMMYFUNCTION("IFERROR($S45/INDEX(prs!$D$18:$D$24,MATCH(TRUE,ARRAYFORMULA(ISNUMBER(SEARCH(prs!$A$18:$A$24,$P45))),0)),"""")"),"")</f>
        <v/>
      </c>
      <c r="U45" s="128" t="n"/>
      <c r="V45" s="149" t="n"/>
      <c r="W45" s="125" t="n"/>
      <c r="X45" s="145" t="n"/>
      <c r="Y45" s="145" t="n"/>
      <c r="Z45" s="145" t="n"/>
      <c r="AA45" s="127">
        <f>IFERROR(__xludf.DUMMYFUNCTION("IFERROR($Z45/INDEX(prs!$D$18:$D$24,MATCH(TRUE,ARRAYFORMULA(ISNUMBER(SEARCH(prs!$A$18:$A$24,$W45))),0)),"""")"),"")</f>
        <v/>
      </c>
      <c r="AB45" s="128" t="n"/>
      <c r="AC45" s="137" t="n"/>
    </row>
    <row r="46" ht="18" customHeight="1" s="98">
      <c r="A46" s="146" t="n"/>
      <c r="B46" s="147" t="n"/>
      <c r="C46" s="148" t="inlineStr">
        <is>
          <t>SEMANA 01</t>
        </is>
      </c>
      <c r="D46" s="129" t="n"/>
      <c r="E46" s="129" t="n"/>
      <c r="F46" s="129" t="n"/>
      <c r="G46" s="129" t="n"/>
      <c r="H46" s="137" t="n"/>
      <c r="I46" s="147" t="n"/>
      <c r="J46" s="148" t="inlineStr">
        <is>
          <t>SEMANA 02</t>
        </is>
      </c>
      <c r="K46" s="129" t="n"/>
      <c r="L46" s="129" t="n"/>
      <c r="M46" s="129" t="n"/>
      <c r="N46" s="129" t="n"/>
      <c r="O46" s="137" t="n"/>
      <c r="P46" s="147" t="n"/>
      <c r="Q46" s="148" t="inlineStr">
        <is>
          <t>SEMANA 03</t>
        </is>
      </c>
      <c r="R46" s="129" t="n"/>
      <c r="S46" s="129" t="n"/>
      <c r="T46" s="129" t="n"/>
      <c r="U46" s="129" t="n"/>
      <c r="V46" s="137" t="n"/>
      <c r="W46" s="147" t="n"/>
      <c r="X46" s="148" t="inlineStr">
        <is>
          <t>SEMANA 04</t>
        </is>
      </c>
      <c r="Y46" s="129" t="n"/>
      <c r="Z46" s="129" t="n"/>
      <c r="AA46" s="129" t="n"/>
      <c r="AB46" s="129" t="n"/>
      <c r="AC46" s="137" t="n"/>
    </row>
    <row r="47" ht="8" customHeight="1" s="98">
      <c r="A47" s="149" t="n"/>
      <c r="B47" s="149" t="n"/>
      <c r="C47" s="149" t="n"/>
      <c r="D47" s="149" t="n"/>
      <c r="H47" s="149" t="n"/>
      <c r="I47" s="149" t="n"/>
      <c r="J47" s="149" t="n"/>
      <c r="K47" s="149" t="n"/>
      <c r="O47" s="149" t="n"/>
      <c r="P47" s="149" t="n"/>
      <c r="Q47" s="149" t="n"/>
      <c r="R47" s="149" t="n"/>
      <c r="V47" s="149" t="n"/>
      <c r="W47" s="149" t="n"/>
      <c r="X47" s="149" t="n"/>
      <c r="Y47" s="149" t="n"/>
      <c r="AC47" s="149" t="n"/>
    </row>
    <row r="48" ht="21" customHeight="1" s="98">
      <c r="A48" s="150" t="n"/>
      <c r="B48" s="150" t="n"/>
      <c r="C48" s="150" t="n"/>
      <c r="D48" s="150" t="n"/>
      <c r="E48" s="150" t="n"/>
      <c r="F48" s="150" t="n"/>
      <c r="G48" s="150" t="n"/>
      <c r="H48" s="150" t="n"/>
      <c r="I48" s="150" t="n"/>
      <c r="J48" s="150" t="n"/>
      <c r="K48" s="150" t="n"/>
      <c r="L48" s="150" t="n"/>
      <c r="M48" s="150" t="n"/>
      <c r="N48" s="150" t="n"/>
      <c r="O48" s="150" t="n"/>
      <c r="P48" s="150" t="n"/>
      <c r="Q48" s="150" t="n"/>
      <c r="R48" s="150" t="n"/>
      <c r="S48" s="150" t="n"/>
      <c r="T48" s="150" t="n"/>
      <c r="U48" s="150" t="n"/>
      <c r="V48" s="150" t="n"/>
      <c r="W48" s="150" t="n"/>
      <c r="X48" s="150" t="n"/>
      <c r="Y48" s="150" t="n"/>
      <c r="Z48" s="150" t="n"/>
      <c r="AA48" s="150" t="n"/>
      <c r="AB48" s="150" t="n"/>
      <c r="AC48" s="150" t="n"/>
    </row>
    <row r="49" ht="21" customHeight="1" s="98">
      <c r="A49" s="150" t="n"/>
      <c r="B49" s="150" t="n"/>
      <c r="C49" s="150" t="n"/>
      <c r="D49" s="150" t="n"/>
      <c r="E49" s="150" t="n"/>
      <c r="F49" s="150" t="n"/>
      <c r="G49" s="150" t="n"/>
      <c r="H49" s="150" t="n"/>
      <c r="I49" s="150" t="n"/>
      <c r="J49" s="150" t="n"/>
      <c r="K49" s="150" t="n"/>
      <c r="L49" s="150" t="n"/>
      <c r="M49" s="150" t="n"/>
      <c r="N49" s="150" t="n"/>
      <c r="O49" s="150" t="n"/>
      <c r="P49" s="150" t="n"/>
      <c r="Q49" s="150" t="n"/>
      <c r="R49" s="150" t="n"/>
      <c r="S49" s="150" t="n"/>
      <c r="T49" s="150" t="n"/>
      <c r="U49" s="150" t="n"/>
      <c r="V49" s="150" t="n"/>
      <c r="W49" s="150" t="n"/>
      <c r="X49" s="150" t="n"/>
      <c r="Y49" s="150" t="n"/>
      <c r="Z49" s="150" t="n"/>
      <c r="AA49" s="150" t="n"/>
      <c r="AB49" s="150" t="n"/>
      <c r="AC49" s="150" t="n"/>
    </row>
    <row r="50" ht="21" customHeight="1" s="98">
      <c r="A50" s="150" t="n"/>
      <c r="B50" s="150" t="n"/>
      <c r="C50" s="150" t="n"/>
      <c r="D50" s="150" t="n"/>
      <c r="E50" s="150" t="n"/>
      <c r="F50" s="150" t="n"/>
      <c r="G50" s="150" t="n"/>
      <c r="H50" s="150" t="n"/>
      <c r="I50" s="150" t="n"/>
      <c r="J50" s="150" t="n"/>
      <c r="K50" s="150" t="n"/>
      <c r="L50" s="150" t="n"/>
      <c r="M50" s="150" t="n"/>
      <c r="N50" s="150" t="n"/>
      <c r="O50" s="150" t="n"/>
      <c r="P50" s="150" t="n"/>
      <c r="Q50" s="150" t="n"/>
      <c r="R50" s="150" t="n"/>
      <c r="S50" s="150" t="n"/>
      <c r="T50" s="150" t="n"/>
      <c r="U50" s="150" t="n"/>
      <c r="V50" s="150" t="n"/>
      <c r="W50" s="150" t="n"/>
      <c r="X50" s="150" t="n"/>
      <c r="Y50" s="150" t="n"/>
      <c r="Z50" s="150" t="n"/>
      <c r="AA50" s="150" t="n"/>
      <c r="AB50" s="150" t="n"/>
      <c r="AC50" s="150" t="n"/>
    </row>
    <row r="51" ht="21" customHeight="1" s="98">
      <c r="A51" s="150" t="n"/>
      <c r="B51" s="150" t="n"/>
      <c r="C51" s="150" t="n"/>
      <c r="D51" s="150" t="n"/>
      <c r="E51" s="150" t="n"/>
      <c r="F51" s="150" t="n"/>
      <c r="G51" s="150" t="n"/>
      <c r="H51" s="150" t="n"/>
      <c r="I51" s="150" t="n"/>
      <c r="J51" s="150" t="n"/>
      <c r="K51" s="150" t="n"/>
      <c r="L51" s="150" t="n"/>
      <c r="M51" s="150" t="n"/>
      <c r="N51" s="150" t="n"/>
      <c r="O51" s="150" t="n"/>
      <c r="P51" s="150" t="n"/>
      <c r="Q51" s="150" t="n"/>
      <c r="R51" s="150" t="n"/>
      <c r="S51" s="150" t="n"/>
      <c r="T51" s="150" t="n"/>
      <c r="U51" s="150" t="n"/>
      <c r="V51" s="150" t="n"/>
      <c r="W51" s="150" t="n"/>
      <c r="X51" s="150" t="n"/>
      <c r="Y51" s="150" t="n"/>
      <c r="Z51" s="150" t="n"/>
      <c r="AA51" s="150" t="n"/>
      <c r="AB51" s="150" t="n"/>
      <c r="AC51" s="150" t="n"/>
    </row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40">
    <mergeCell ref="R17:U17"/>
    <mergeCell ref="Q16:U16"/>
    <mergeCell ref="K17:N17"/>
    <mergeCell ref="Q3:U3"/>
    <mergeCell ref="C33:G33"/>
    <mergeCell ref="X46:AB46"/>
    <mergeCell ref="Q33:U33"/>
    <mergeCell ref="Q18:U18"/>
    <mergeCell ref="R2:U2"/>
    <mergeCell ref="Y32:AB32"/>
    <mergeCell ref="X16:AB16"/>
    <mergeCell ref="C16:G16"/>
    <mergeCell ref="Y47:AB47"/>
    <mergeCell ref="C31:G31"/>
    <mergeCell ref="X18:AB18"/>
    <mergeCell ref="X3:AB3"/>
    <mergeCell ref="Q31:U31"/>
    <mergeCell ref="X33:AB33"/>
    <mergeCell ref="C46:G46"/>
    <mergeCell ref="J16:N16"/>
    <mergeCell ref="K47:N47"/>
    <mergeCell ref="Q46:U46"/>
    <mergeCell ref="Y2:AB2"/>
    <mergeCell ref="K32:N32"/>
    <mergeCell ref="D2:G2"/>
    <mergeCell ref="J31:N31"/>
    <mergeCell ref="D32:G32"/>
    <mergeCell ref="D17:G17"/>
    <mergeCell ref="J3:N3"/>
    <mergeCell ref="Y17:AB17"/>
    <mergeCell ref="J46:N46"/>
    <mergeCell ref="D47:G47"/>
    <mergeCell ref="J18:N18"/>
    <mergeCell ref="K2:N2"/>
    <mergeCell ref="J33:N33"/>
    <mergeCell ref="X31:AB31"/>
    <mergeCell ref="R47:U47"/>
    <mergeCell ref="C18:G18"/>
    <mergeCell ref="R32:U32"/>
    <mergeCell ref="C3:G3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008A877F"/>
    <outlinePr summaryBelow="0" summaryRight="0"/>
    <pageSetUpPr fitToPage="1"/>
  </sheetPr>
  <dimension ref="A1:G223"/>
  <sheetViews>
    <sheetView showGridLines="0" workbookViewId="0">
      <selection activeCell="A1" sqref="A1"/>
    </sheetView>
  </sheetViews>
  <sheetFormatPr baseColWidth="8" defaultColWidth="12.63" defaultRowHeight="15" customHeight="1"/>
  <cols>
    <col width="25.13" customWidth="1" style="98" min="1" max="1"/>
    <col width="12.63" customWidth="1" style="98" min="2" max="7"/>
  </cols>
  <sheetData>
    <row r="1" ht="30" customHeight="1" s="98">
      <c r="A1" s="8" t="n"/>
      <c r="B1" s="112" t="inlineStr">
        <is>
          <t>PLANILHA DE TREINAMENTO</t>
        </is>
      </c>
    </row>
    <row r="2" ht="21" customHeight="1" s="98">
      <c r="B2" s="113" t="inlineStr">
        <is>
          <t>NOME</t>
        </is>
      </c>
      <c r="C2" s="114">
        <f>'aluno 01'!C2</f>
        <v/>
      </c>
    </row>
    <row r="3" ht="21" customHeight="1" s="98">
      <c r="B3" s="113" t="inlineStr">
        <is>
          <t>OBJETIVO</t>
        </is>
      </c>
      <c r="C3" s="114">
        <f>'aluno 01'!C3</f>
        <v/>
      </c>
    </row>
    <row r="4" ht="8" customHeight="1" s="98">
      <c r="A4" s="115" t="n"/>
      <c r="B4" s="115" t="n"/>
      <c r="C4" s="115" t="n"/>
      <c r="D4" s="115" t="n"/>
      <c r="E4" s="115" t="n"/>
      <c r="F4" s="115" t="n"/>
      <c r="G4" s="115" t="n"/>
    </row>
    <row r="5" ht="18" customHeight="1" s="98">
      <c r="A5" s="116" t="n"/>
      <c r="B5" s="116" t="inlineStr">
        <is>
          <t>SEGUNDA</t>
        </is>
      </c>
      <c r="C5" s="116" t="inlineStr">
        <is>
          <t>TERÇA</t>
        </is>
      </c>
      <c r="D5" s="116" t="inlineStr">
        <is>
          <t>QUARTA</t>
        </is>
      </c>
      <c r="E5" s="116" t="inlineStr">
        <is>
          <t>QUINTA</t>
        </is>
      </c>
      <c r="F5" s="116" t="inlineStr">
        <is>
          <t>SEXTA</t>
        </is>
      </c>
      <c r="G5" s="116" t="n"/>
    </row>
    <row r="6" ht="21" customHeight="1" s="98">
      <c r="A6" s="117" t="n"/>
      <c r="B6" s="151">
        <f>'aluno 01'!B6</f>
        <v/>
      </c>
      <c r="C6" s="151">
        <f>'aluno 01'!C6</f>
        <v/>
      </c>
      <c r="D6" s="151">
        <f>'aluno 01'!D6</f>
        <v/>
      </c>
      <c r="E6" s="151">
        <f>'aluno 01'!E6</f>
        <v/>
      </c>
      <c r="F6" s="151">
        <f>'aluno 01'!F6</f>
        <v/>
      </c>
      <c r="G6" s="117" t="n"/>
    </row>
    <row r="7" ht="8" customHeight="1" s="98">
      <c r="A7" s="117" t="n"/>
      <c r="B7" s="117" t="n"/>
      <c r="C7" s="117" t="n"/>
      <c r="D7" s="117" t="n"/>
      <c r="E7" s="117" t="n"/>
      <c r="F7" s="117" t="n"/>
      <c r="G7" s="117" t="n"/>
    </row>
    <row r="8" ht="26" customHeight="1" s="98">
      <c r="A8" s="118" t="inlineStr">
        <is>
          <t>OBS</t>
        </is>
      </c>
    </row>
    <row r="9" ht="21" customHeight="1" s="98">
      <c r="A9" s="126">
        <f>'aluno 01'!A9</f>
        <v/>
      </c>
      <c r="B9" s="129" t="n"/>
      <c r="C9" s="129" t="n"/>
      <c r="D9" s="129" t="n"/>
      <c r="E9" s="129" t="n"/>
      <c r="F9" s="129" t="n"/>
      <c r="G9" s="129" t="n"/>
    </row>
    <row r="10" ht="21" customHeight="1" s="98"/>
    <row r="11" ht="26" customHeight="1" s="98">
      <c r="A11" s="118" t="inlineStr">
        <is>
          <t>AQC</t>
        </is>
      </c>
    </row>
    <row r="12" ht="18" customHeight="1" s="98">
      <c r="A12" s="120" t="n"/>
      <c r="B12" s="120" t="inlineStr">
        <is>
          <t>SETS</t>
        </is>
      </c>
      <c r="C12" s="120" t="inlineStr">
        <is>
          <t>REPS / TEMPO</t>
        </is>
      </c>
      <c r="D12" s="116" t="inlineStr">
        <is>
          <t>KG</t>
        </is>
      </c>
      <c r="E12" s="116" t="inlineStr">
        <is>
          <t>OBS</t>
        </is>
      </c>
    </row>
    <row r="13" ht="21" customHeight="1" s="98">
      <c r="A13" s="121" t="n"/>
      <c r="B13" s="122" t="n"/>
      <c r="C13" s="122" t="n"/>
      <c r="D13" s="122" t="n"/>
      <c r="E13" s="119" t="n"/>
    </row>
    <row r="14" ht="21" customHeight="1" s="98">
      <c r="A14" s="121" t="n"/>
      <c r="B14" s="122" t="n"/>
      <c r="C14" s="122" t="n"/>
      <c r="D14" s="122" t="n"/>
      <c r="E14" s="119" t="n"/>
    </row>
    <row r="15" ht="21" customHeight="1" s="98">
      <c r="A15" s="121" t="n"/>
      <c r="B15" s="122" t="n"/>
      <c r="C15" s="122" t="n"/>
      <c r="D15" s="122" t="n"/>
      <c r="E15" s="119" t="n"/>
    </row>
    <row r="16" ht="16" customHeight="1" s="98">
      <c r="A16" s="123">
        <f>'bloco 03'!C3</f>
        <v/>
      </c>
    </row>
    <row r="17" ht="30" customHeight="1" s="98">
      <c r="A17" s="124" t="inlineStr">
        <is>
          <t>SEMANA 01</t>
        </is>
      </c>
    </row>
    <row r="18" ht="26" customHeight="1" s="98">
      <c r="A18" s="118" t="inlineStr">
        <is>
          <t>TREINO 01</t>
        </is>
      </c>
    </row>
    <row r="19" ht="18" customHeight="1" s="98">
      <c r="A19" s="120" t="n"/>
      <c r="B19" s="120" t="inlineStr">
        <is>
          <t>SETS</t>
        </is>
      </c>
      <c r="C19" s="116" t="inlineStr">
        <is>
          <t>REPS</t>
        </is>
      </c>
      <c r="D19" s="116" t="inlineStr">
        <is>
          <t>KG</t>
        </is>
      </c>
      <c r="E19" s="116" t="inlineStr">
        <is>
          <t>%1RM / PSE</t>
        </is>
      </c>
      <c r="F19" s="116" t="inlineStr">
        <is>
          <t>OBS</t>
        </is>
      </c>
    </row>
    <row r="20" ht="21" customHeight="1" s="98">
      <c r="A20" s="125">
        <f>'bloco 03'!$B6</f>
        <v/>
      </c>
      <c r="B20" s="126">
        <f>'bloco 03'!C6</f>
        <v/>
      </c>
      <c r="C20" s="126">
        <f>'bloco 03'!D6</f>
        <v/>
      </c>
      <c r="D20" s="126">
        <f>'bloco 03'!E6</f>
        <v/>
      </c>
      <c r="E20" s="127">
        <f>IFERROR(('bloco 03'!F6),"")</f>
        <v/>
      </c>
      <c r="F20" s="128">
        <f>'bloco 03'!G6</f>
        <v/>
      </c>
      <c r="G20" s="129" t="n"/>
    </row>
    <row r="21" ht="21" customHeight="1" s="98">
      <c r="A21" s="125">
        <f>'bloco 03'!$B7</f>
        <v/>
      </c>
      <c r="B21" s="126">
        <f>'bloco 03'!C7</f>
        <v/>
      </c>
      <c r="C21" s="126">
        <f>'bloco 03'!D7</f>
        <v/>
      </c>
      <c r="D21" s="126">
        <f>'bloco 03'!E7</f>
        <v/>
      </c>
      <c r="E21" s="127">
        <f>IFERROR(('bloco 03'!F7),"")</f>
        <v/>
      </c>
      <c r="F21" s="128">
        <f>'bloco 03'!G7</f>
        <v/>
      </c>
      <c r="G21" s="129" t="n"/>
    </row>
    <row r="22" ht="21" customHeight="1" s="98">
      <c r="A22" s="125">
        <f>'bloco 03'!$B8</f>
        <v/>
      </c>
      <c r="B22" s="126">
        <f>'bloco 03'!C8</f>
        <v/>
      </c>
      <c r="C22" s="126">
        <f>'bloco 03'!D8</f>
        <v/>
      </c>
      <c r="D22" s="126">
        <f>'bloco 03'!E8</f>
        <v/>
      </c>
      <c r="E22" s="127">
        <f>IFERROR(('bloco 03'!F8),"")</f>
        <v/>
      </c>
      <c r="F22" s="128">
        <f>'bloco 03'!G8</f>
        <v/>
      </c>
      <c r="G22" s="129" t="n"/>
    </row>
    <row r="23" ht="21" customHeight="1" s="98">
      <c r="A23" s="125">
        <f>'bloco 03'!$B9</f>
        <v/>
      </c>
      <c r="B23" s="126">
        <f>'bloco 03'!C9</f>
        <v/>
      </c>
      <c r="C23" s="126">
        <f>'bloco 03'!D9</f>
        <v/>
      </c>
      <c r="D23" s="126">
        <f>'bloco 03'!E9</f>
        <v/>
      </c>
      <c r="E23" s="127">
        <f>IFERROR(('bloco 03'!F9),"")</f>
        <v/>
      </c>
      <c r="F23" s="128">
        <f>'bloco 03'!G9</f>
        <v/>
      </c>
      <c r="G23" s="129" t="n"/>
    </row>
    <row r="24" ht="21" customHeight="1" s="98">
      <c r="A24" s="125">
        <f>'bloco 03'!$B10</f>
        <v/>
      </c>
      <c r="B24" s="126">
        <f>'bloco 03'!C10</f>
        <v/>
      </c>
      <c r="C24" s="126">
        <f>'bloco 03'!D10</f>
        <v/>
      </c>
      <c r="D24" s="126">
        <f>'bloco 03'!E10</f>
        <v/>
      </c>
      <c r="E24" s="127">
        <f>IFERROR(('bloco 03'!F10),"")</f>
        <v/>
      </c>
      <c r="F24" s="128">
        <f>'bloco 03'!G10</f>
        <v/>
      </c>
      <c r="G24" s="129" t="n"/>
    </row>
    <row r="25" ht="21" customHeight="1" s="98">
      <c r="A25" s="125">
        <f>'bloco 03'!$B11</f>
        <v/>
      </c>
      <c r="B25" s="126">
        <f>'bloco 03'!C11</f>
        <v/>
      </c>
      <c r="C25" s="126">
        <f>'bloco 03'!D11</f>
        <v/>
      </c>
      <c r="D25" s="126">
        <f>'bloco 03'!E11</f>
        <v/>
      </c>
      <c r="E25" s="127">
        <f>IFERROR(('bloco 03'!F11),"")</f>
        <v/>
      </c>
      <c r="F25" s="128">
        <f>'bloco 03'!G11</f>
        <v/>
      </c>
      <c r="G25" s="129" t="n"/>
    </row>
    <row r="26" ht="21" customHeight="1" s="98">
      <c r="A26" s="125">
        <f>'bloco 03'!$B12</f>
        <v/>
      </c>
      <c r="B26" s="126">
        <f>'bloco 03'!C12</f>
        <v/>
      </c>
      <c r="C26" s="126">
        <f>'bloco 03'!D12</f>
        <v/>
      </c>
      <c r="D26" s="126">
        <f>'bloco 03'!E12</f>
        <v/>
      </c>
      <c r="E26" s="127">
        <f>IFERROR(('bloco 03'!F12),"")</f>
        <v/>
      </c>
      <c r="F26" s="128">
        <f>'bloco 03'!G12</f>
        <v/>
      </c>
      <c r="G26" s="129" t="n"/>
    </row>
    <row r="27" ht="21" customHeight="1" s="98">
      <c r="A27" s="125">
        <f>'bloco 03'!$B13</f>
        <v/>
      </c>
      <c r="B27" s="126">
        <f>'bloco 03'!C13</f>
        <v/>
      </c>
      <c r="C27" s="126">
        <f>'bloco 03'!D13</f>
        <v/>
      </c>
      <c r="D27" s="126">
        <f>'bloco 03'!E13</f>
        <v/>
      </c>
      <c r="E27" s="127">
        <f>IFERROR(('bloco 03'!F13),"")</f>
        <v/>
      </c>
      <c r="F27" s="128">
        <f>'bloco 03'!G13</f>
        <v/>
      </c>
      <c r="G27" s="129" t="n"/>
    </row>
    <row r="28" ht="21" customHeight="1" s="98">
      <c r="A28" s="125">
        <f>'bloco 03'!$B14</f>
        <v/>
      </c>
      <c r="B28" s="126">
        <f>'bloco 03'!C14</f>
        <v/>
      </c>
      <c r="C28" s="126">
        <f>'bloco 03'!D14</f>
        <v/>
      </c>
      <c r="D28" s="126">
        <f>'bloco 03'!E14</f>
        <v/>
      </c>
      <c r="E28" s="127">
        <f>IFERROR(('bloco 03'!F14),"")</f>
        <v/>
      </c>
      <c r="F28" s="128">
        <f>'bloco 03'!G14</f>
        <v/>
      </c>
      <c r="G28" s="129" t="n"/>
    </row>
    <row r="29" ht="21" customHeight="1" s="98">
      <c r="A29" s="125">
        <f>'bloco 03'!$B15</f>
        <v/>
      </c>
      <c r="B29" s="126">
        <f>'bloco 03'!C15</f>
        <v/>
      </c>
      <c r="C29" s="126">
        <f>'bloco 03'!D15</f>
        <v/>
      </c>
      <c r="D29" s="126">
        <f>'bloco 03'!E15</f>
        <v/>
      </c>
      <c r="E29" s="127">
        <f>IFERROR(('bloco 03'!F15),"")</f>
        <v/>
      </c>
      <c r="F29" s="128">
        <f>'bloco 03'!G15</f>
        <v/>
      </c>
      <c r="G29" s="129" t="n"/>
    </row>
    <row r="30" ht="26" customHeight="1" s="98">
      <c r="A30" s="118" t="inlineStr">
        <is>
          <t>TREINO 02</t>
        </is>
      </c>
    </row>
    <row r="31" ht="18" customHeight="1" s="98">
      <c r="A31" s="120" t="n"/>
      <c r="B31" s="120" t="inlineStr">
        <is>
          <t>SETS</t>
        </is>
      </c>
      <c r="C31" s="116" t="inlineStr">
        <is>
          <t>REPS</t>
        </is>
      </c>
      <c r="D31" s="116" t="inlineStr">
        <is>
          <t>KG</t>
        </is>
      </c>
      <c r="E31" s="116" t="inlineStr">
        <is>
          <t>%1RM / PSE</t>
        </is>
      </c>
      <c r="F31" s="116" t="inlineStr">
        <is>
          <t>OBS</t>
        </is>
      </c>
    </row>
    <row r="32" ht="21" customHeight="1" s="98">
      <c r="A32" s="125">
        <f>'bloco 03'!$B21</f>
        <v/>
      </c>
      <c r="B32" s="126">
        <f>'bloco 03'!C21</f>
        <v/>
      </c>
      <c r="C32" s="126">
        <f>'bloco 03'!D21</f>
        <v/>
      </c>
      <c r="D32" s="126">
        <f>'bloco 03'!E21</f>
        <v/>
      </c>
      <c r="E32" s="127">
        <f>IFERROR(('bloco 03'!F21),"")</f>
        <v/>
      </c>
      <c r="F32" s="128">
        <f>'bloco 03'!G21</f>
        <v/>
      </c>
      <c r="G32" s="129" t="n"/>
    </row>
    <row r="33" ht="21" customHeight="1" s="98">
      <c r="A33" s="125">
        <f>'bloco 03'!$B22</f>
        <v/>
      </c>
      <c r="B33" s="126">
        <f>'bloco 03'!C22</f>
        <v/>
      </c>
      <c r="C33" s="126">
        <f>'bloco 03'!D22</f>
        <v/>
      </c>
      <c r="D33" s="126">
        <f>'bloco 03'!E22</f>
        <v/>
      </c>
      <c r="E33" s="127">
        <f>IFERROR(('bloco 03'!F22),"")</f>
        <v/>
      </c>
      <c r="F33" s="128">
        <f>'bloco 03'!G22</f>
        <v/>
      </c>
      <c r="G33" s="129" t="n"/>
    </row>
    <row r="34" ht="21" customHeight="1" s="98">
      <c r="A34" s="125">
        <f>'bloco 03'!$B23</f>
        <v/>
      </c>
      <c r="B34" s="126">
        <f>'bloco 03'!C23</f>
        <v/>
      </c>
      <c r="C34" s="126">
        <f>'bloco 03'!D23</f>
        <v/>
      </c>
      <c r="D34" s="126">
        <f>'bloco 03'!E23</f>
        <v/>
      </c>
      <c r="E34" s="127">
        <f>IFERROR(('bloco 03'!F23),"")</f>
        <v/>
      </c>
      <c r="F34" s="128">
        <f>'bloco 03'!G23</f>
        <v/>
      </c>
      <c r="G34" s="129" t="n"/>
    </row>
    <row r="35" ht="21" customHeight="1" s="98">
      <c r="A35" s="125">
        <f>'bloco 03'!$B24</f>
        <v/>
      </c>
      <c r="B35" s="126">
        <f>'bloco 03'!C24</f>
        <v/>
      </c>
      <c r="C35" s="126">
        <f>'bloco 03'!D24</f>
        <v/>
      </c>
      <c r="D35" s="126">
        <f>'bloco 03'!E24</f>
        <v/>
      </c>
      <c r="E35" s="127">
        <f>IFERROR(('bloco 03'!F24),"")</f>
        <v/>
      </c>
      <c r="F35" s="128">
        <f>'bloco 03'!G24</f>
        <v/>
      </c>
      <c r="G35" s="129" t="n"/>
    </row>
    <row r="36" ht="21" customHeight="1" s="98">
      <c r="A36" s="125">
        <f>'bloco 03'!$B25</f>
        <v/>
      </c>
      <c r="B36" s="126">
        <f>'bloco 03'!C25</f>
        <v/>
      </c>
      <c r="C36" s="126">
        <f>'bloco 03'!D25</f>
        <v/>
      </c>
      <c r="D36" s="126">
        <f>'bloco 03'!E25</f>
        <v/>
      </c>
      <c r="E36" s="127">
        <f>IFERROR(('bloco 03'!F25),"")</f>
        <v/>
      </c>
      <c r="F36" s="128">
        <f>'bloco 03'!G25</f>
        <v/>
      </c>
      <c r="G36" s="129" t="n"/>
    </row>
    <row r="37" ht="21" customHeight="1" s="98">
      <c r="A37" s="125">
        <f>'bloco 03'!$B26</f>
        <v/>
      </c>
      <c r="B37" s="126">
        <f>'bloco 03'!C26</f>
        <v/>
      </c>
      <c r="C37" s="126">
        <f>'bloco 03'!D26</f>
        <v/>
      </c>
      <c r="D37" s="126">
        <f>'bloco 03'!E26</f>
        <v/>
      </c>
      <c r="E37" s="127">
        <f>IFERROR(('bloco 03'!F26),"")</f>
        <v/>
      </c>
      <c r="F37" s="128">
        <f>'bloco 03'!G26</f>
        <v/>
      </c>
      <c r="G37" s="129" t="n"/>
    </row>
    <row r="38" ht="21" customHeight="1" s="98">
      <c r="A38" s="125">
        <f>'bloco 03'!$B27</f>
        <v/>
      </c>
      <c r="B38" s="126">
        <f>'bloco 03'!C27</f>
        <v/>
      </c>
      <c r="C38" s="126">
        <f>'bloco 03'!D27</f>
        <v/>
      </c>
      <c r="D38" s="126">
        <f>'bloco 03'!E27</f>
        <v/>
      </c>
      <c r="E38" s="127">
        <f>IFERROR(('bloco 03'!F27),"")</f>
        <v/>
      </c>
      <c r="F38" s="128">
        <f>'bloco 03'!G27</f>
        <v/>
      </c>
      <c r="G38" s="129" t="n"/>
    </row>
    <row r="39" ht="21" customHeight="1" s="98">
      <c r="A39" s="125">
        <f>'bloco 03'!$B28</f>
        <v/>
      </c>
      <c r="B39" s="126">
        <f>'bloco 03'!C28</f>
        <v/>
      </c>
      <c r="C39" s="126">
        <f>'bloco 03'!D28</f>
        <v/>
      </c>
      <c r="D39" s="126">
        <f>'bloco 03'!E28</f>
        <v/>
      </c>
      <c r="E39" s="127">
        <f>IFERROR(('bloco 03'!F28),"")</f>
        <v/>
      </c>
      <c r="F39" s="128">
        <f>'bloco 03'!G28</f>
        <v/>
      </c>
      <c r="G39" s="129" t="n"/>
    </row>
    <row r="40" ht="21" customHeight="1" s="98">
      <c r="A40" s="125">
        <f>'bloco 03'!$B29</f>
        <v/>
      </c>
      <c r="B40" s="126">
        <f>'bloco 03'!C29</f>
        <v/>
      </c>
      <c r="C40" s="126">
        <f>'bloco 03'!D29</f>
        <v/>
      </c>
      <c r="D40" s="126">
        <f>'bloco 03'!E29</f>
        <v/>
      </c>
      <c r="E40" s="127">
        <f>IFERROR(('bloco 03'!F29),"")</f>
        <v/>
      </c>
      <c r="F40" s="128">
        <f>'bloco 03'!G29</f>
        <v/>
      </c>
      <c r="G40" s="129" t="n"/>
    </row>
    <row r="41" ht="21" customHeight="1" s="98">
      <c r="A41" s="125">
        <f>'bloco 03'!$B30</f>
        <v/>
      </c>
      <c r="B41" s="126">
        <f>'bloco 03'!C30</f>
        <v/>
      </c>
      <c r="C41" s="126">
        <f>'bloco 03'!D30</f>
        <v/>
      </c>
      <c r="D41" s="126">
        <f>'bloco 03'!E30</f>
        <v/>
      </c>
      <c r="E41" s="127">
        <f>IFERROR(('bloco 03'!F30),"")</f>
        <v/>
      </c>
      <c r="F41" s="128">
        <f>'bloco 03'!G30</f>
        <v/>
      </c>
      <c r="G41" s="129" t="n"/>
    </row>
    <row r="42" ht="26" customHeight="1" s="98">
      <c r="A42" s="118" t="inlineStr">
        <is>
          <t>TREINO 03</t>
        </is>
      </c>
    </row>
    <row r="43" ht="18" customHeight="1" s="98">
      <c r="A43" s="120" t="n"/>
      <c r="B43" s="120" t="inlineStr">
        <is>
          <t>SETS</t>
        </is>
      </c>
      <c r="C43" s="116" t="inlineStr">
        <is>
          <t>REPS</t>
        </is>
      </c>
      <c r="D43" s="116" t="inlineStr">
        <is>
          <t>KG</t>
        </is>
      </c>
      <c r="E43" s="116" t="inlineStr">
        <is>
          <t>%1RM / PSE</t>
        </is>
      </c>
      <c r="F43" s="116" t="inlineStr">
        <is>
          <t>OBS</t>
        </is>
      </c>
    </row>
    <row r="44" ht="21" customHeight="1" s="98">
      <c r="A44" s="125">
        <f>'bloco 03'!$B36</f>
        <v/>
      </c>
      <c r="B44" s="126">
        <f>'bloco 03'!C36</f>
        <v/>
      </c>
      <c r="C44" s="126">
        <f>'bloco 03'!D36</f>
        <v/>
      </c>
      <c r="D44" s="126">
        <f>'bloco 03'!E36</f>
        <v/>
      </c>
      <c r="E44" s="127">
        <f>IFERROR(('bloco 03'!F36),"")</f>
        <v/>
      </c>
      <c r="F44" s="128">
        <f>'bloco 03'!G36</f>
        <v/>
      </c>
      <c r="G44" s="129" t="n"/>
    </row>
    <row r="45" ht="21" customHeight="1" s="98">
      <c r="A45" s="125">
        <f>'bloco 03'!$B37</f>
        <v/>
      </c>
      <c r="B45" s="126">
        <f>'bloco 03'!C37</f>
        <v/>
      </c>
      <c r="C45" s="126">
        <f>'bloco 03'!D37</f>
        <v/>
      </c>
      <c r="D45" s="126">
        <f>'bloco 03'!E37</f>
        <v/>
      </c>
      <c r="E45" s="127">
        <f>IFERROR(('bloco 03'!F37),"")</f>
        <v/>
      </c>
      <c r="F45" s="128">
        <f>'bloco 03'!G37</f>
        <v/>
      </c>
      <c r="G45" s="129" t="n"/>
    </row>
    <row r="46" ht="21" customHeight="1" s="98">
      <c r="A46" s="125">
        <f>'bloco 03'!$B38</f>
        <v/>
      </c>
      <c r="B46" s="126">
        <f>'bloco 03'!C38</f>
        <v/>
      </c>
      <c r="C46" s="126">
        <f>'bloco 03'!D38</f>
        <v/>
      </c>
      <c r="D46" s="126">
        <f>'bloco 03'!E38</f>
        <v/>
      </c>
      <c r="E46" s="127">
        <f>IFERROR(('bloco 03'!F38),"")</f>
        <v/>
      </c>
      <c r="F46" s="128">
        <f>'bloco 03'!G38</f>
        <v/>
      </c>
      <c r="G46" s="129" t="n"/>
    </row>
    <row r="47" ht="21" customHeight="1" s="98">
      <c r="A47" s="125">
        <f>'bloco 03'!$B39</f>
        <v/>
      </c>
      <c r="B47" s="126">
        <f>'bloco 03'!C39</f>
        <v/>
      </c>
      <c r="C47" s="126">
        <f>'bloco 03'!D39</f>
        <v/>
      </c>
      <c r="D47" s="126">
        <f>'bloco 03'!E39</f>
        <v/>
      </c>
      <c r="E47" s="127">
        <f>IFERROR(('bloco 03'!F39),"")</f>
        <v/>
      </c>
      <c r="F47" s="128">
        <f>'bloco 03'!G39</f>
        <v/>
      </c>
      <c r="G47" s="129" t="n"/>
    </row>
    <row r="48" ht="21" customHeight="1" s="98">
      <c r="A48" s="125">
        <f>'bloco 03'!$B40</f>
        <v/>
      </c>
      <c r="B48" s="126">
        <f>'bloco 03'!C40</f>
        <v/>
      </c>
      <c r="C48" s="126">
        <f>'bloco 03'!D40</f>
        <v/>
      </c>
      <c r="D48" s="126">
        <f>'bloco 03'!E40</f>
        <v/>
      </c>
      <c r="E48" s="127">
        <f>IFERROR(('bloco 03'!F40),"")</f>
        <v/>
      </c>
      <c r="F48" s="128">
        <f>'bloco 03'!G40</f>
        <v/>
      </c>
      <c r="G48" s="129" t="n"/>
    </row>
    <row r="49" ht="21" customHeight="1" s="98">
      <c r="A49" s="125">
        <f>'bloco 03'!$B41</f>
        <v/>
      </c>
      <c r="B49" s="126">
        <f>'bloco 03'!C41</f>
        <v/>
      </c>
      <c r="C49" s="126">
        <f>'bloco 03'!D41</f>
        <v/>
      </c>
      <c r="D49" s="126">
        <f>'bloco 03'!E41</f>
        <v/>
      </c>
      <c r="E49" s="127">
        <f>IFERROR(('bloco 03'!F41),"")</f>
        <v/>
      </c>
      <c r="F49" s="128">
        <f>'bloco 03'!G41</f>
        <v/>
      </c>
      <c r="G49" s="129" t="n"/>
    </row>
    <row r="50" ht="21" customHeight="1" s="98">
      <c r="A50" s="125">
        <f>'bloco 03'!$B42</f>
        <v/>
      </c>
      <c r="B50" s="126">
        <f>'bloco 03'!C42</f>
        <v/>
      </c>
      <c r="C50" s="126">
        <f>'bloco 03'!D42</f>
        <v/>
      </c>
      <c r="D50" s="126">
        <f>'bloco 03'!E42</f>
        <v/>
      </c>
      <c r="E50" s="127">
        <f>IFERROR(('bloco 03'!F42),"")</f>
        <v/>
      </c>
      <c r="F50" s="128">
        <f>'bloco 03'!G42</f>
        <v/>
      </c>
      <c r="G50" s="129" t="n"/>
    </row>
    <row r="51" ht="21" customHeight="1" s="98">
      <c r="A51" s="125">
        <f>'bloco 03'!$B43</f>
        <v/>
      </c>
      <c r="B51" s="126">
        <f>'bloco 03'!C43</f>
        <v/>
      </c>
      <c r="C51" s="126">
        <f>'bloco 03'!D43</f>
        <v/>
      </c>
      <c r="D51" s="126">
        <f>'bloco 03'!E43</f>
        <v/>
      </c>
      <c r="E51" s="127">
        <f>IFERROR(('bloco 03'!F43),"")</f>
        <v/>
      </c>
      <c r="F51" s="128">
        <f>'bloco 03'!G43</f>
        <v/>
      </c>
      <c r="G51" s="129" t="n"/>
    </row>
    <row r="52" ht="21" customHeight="1" s="98">
      <c r="A52" s="125">
        <f>'bloco 03'!$B44</f>
        <v/>
      </c>
      <c r="B52" s="126">
        <f>'bloco 03'!C44</f>
        <v/>
      </c>
      <c r="C52" s="126">
        <f>'bloco 03'!D44</f>
        <v/>
      </c>
      <c r="D52" s="126">
        <f>'bloco 03'!E44</f>
        <v/>
      </c>
      <c r="E52" s="127">
        <f>IFERROR(('bloco 03'!F44),"")</f>
        <v/>
      </c>
      <c r="F52" s="128">
        <f>'bloco 03'!G44</f>
        <v/>
      </c>
      <c r="G52" s="129" t="n"/>
    </row>
    <row r="53" ht="21" customHeight="1" s="98">
      <c r="A53" s="125">
        <f>'bloco 03'!$B45</f>
        <v/>
      </c>
      <c r="B53" s="126">
        <f>'bloco 03'!C45</f>
        <v/>
      </c>
      <c r="C53" s="126">
        <f>'bloco 03'!D45</f>
        <v/>
      </c>
      <c r="D53" s="126">
        <f>'bloco 03'!E45</f>
        <v/>
      </c>
      <c r="E53" s="127">
        <f>IFERROR(('bloco 03'!F45),"")</f>
        <v/>
      </c>
      <c r="F53" s="128">
        <f>'bloco 03'!G45</f>
        <v/>
      </c>
      <c r="G53" s="129" t="n"/>
    </row>
    <row r="54" ht="16" customHeight="1" s="98">
      <c r="A54" s="123">
        <f>'bloco 03'!J3</f>
        <v/>
      </c>
    </row>
    <row r="55" ht="30" customHeight="1" s="98">
      <c r="A55" s="124" t="inlineStr">
        <is>
          <t>SEMANA 02</t>
        </is>
      </c>
    </row>
    <row r="56" ht="26" customHeight="1" s="98">
      <c r="A56" s="118" t="inlineStr">
        <is>
          <t>TREINO 01</t>
        </is>
      </c>
    </row>
    <row r="57" ht="18" customHeight="1" s="98">
      <c r="A57" s="120" t="n"/>
      <c r="B57" s="120" t="inlineStr">
        <is>
          <t>SETS</t>
        </is>
      </c>
      <c r="C57" s="116" t="inlineStr">
        <is>
          <t>REPS</t>
        </is>
      </c>
      <c r="D57" s="116" t="inlineStr">
        <is>
          <t>KG</t>
        </is>
      </c>
      <c r="E57" s="152" t="inlineStr">
        <is>
          <t>%1RM / PSE</t>
        </is>
      </c>
      <c r="F57" s="116" t="inlineStr">
        <is>
          <t>OBS</t>
        </is>
      </c>
    </row>
    <row r="58" ht="21" customHeight="1" s="98">
      <c r="A58" s="125">
        <f>'bloco 03'!$I6</f>
        <v/>
      </c>
      <c r="B58" s="126">
        <f>'bloco 03'!J6</f>
        <v/>
      </c>
      <c r="C58" s="126">
        <f>'bloco 03'!K6</f>
        <v/>
      </c>
      <c r="D58" s="126">
        <f>'bloco 03'!L6</f>
        <v/>
      </c>
      <c r="E58" s="127">
        <f>IFERROR(('bloco 03'!M6),"")</f>
        <v/>
      </c>
      <c r="F58" s="128">
        <f>'bloco 03'!N6</f>
        <v/>
      </c>
      <c r="G58" s="129" t="n"/>
    </row>
    <row r="59" ht="21" customHeight="1" s="98">
      <c r="A59" s="125">
        <f>'bloco 03'!$I7</f>
        <v/>
      </c>
      <c r="B59" s="126">
        <f>'bloco 03'!J7</f>
        <v/>
      </c>
      <c r="C59" s="126">
        <f>'bloco 03'!K7</f>
        <v/>
      </c>
      <c r="D59" s="126">
        <f>'bloco 03'!L7</f>
        <v/>
      </c>
      <c r="E59" s="127">
        <f>IFERROR(('bloco 03'!M7),"")</f>
        <v/>
      </c>
      <c r="F59" s="128">
        <f>'bloco 03'!N7</f>
        <v/>
      </c>
      <c r="G59" s="129" t="n"/>
    </row>
    <row r="60" ht="21" customHeight="1" s="98">
      <c r="A60" s="125">
        <f>'bloco 03'!$I8</f>
        <v/>
      </c>
      <c r="B60" s="126">
        <f>'bloco 03'!J8</f>
        <v/>
      </c>
      <c r="C60" s="126">
        <f>'bloco 03'!K8</f>
        <v/>
      </c>
      <c r="D60" s="126">
        <f>'bloco 03'!L8</f>
        <v/>
      </c>
      <c r="E60" s="127">
        <f>IFERROR(('bloco 03'!M8),"")</f>
        <v/>
      </c>
      <c r="F60" s="128">
        <f>'bloco 03'!N8</f>
        <v/>
      </c>
      <c r="G60" s="129" t="n"/>
    </row>
    <row r="61" ht="21" customHeight="1" s="98">
      <c r="A61" s="125">
        <f>'bloco 03'!$I9</f>
        <v/>
      </c>
      <c r="B61" s="126">
        <f>'bloco 03'!J9</f>
        <v/>
      </c>
      <c r="C61" s="126">
        <f>'bloco 03'!K9</f>
        <v/>
      </c>
      <c r="D61" s="126">
        <f>'bloco 03'!L9</f>
        <v/>
      </c>
      <c r="E61" s="127">
        <f>IFERROR(('bloco 03'!M9),"")</f>
        <v/>
      </c>
      <c r="F61" s="128">
        <f>'bloco 03'!N9</f>
        <v/>
      </c>
      <c r="G61" s="129" t="n"/>
    </row>
    <row r="62" ht="21" customHeight="1" s="98">
      <c r="A62" s="125">
        <f>'bloco 03'!$I10</f>
        <v/>
      </c>
      <c r="B62" s="126">
        <f>'bloco 03'!J10</f>
        <v/>
      </c>
      <c r="C62" s="126">
        <f>'bloco 03'!K10</f>
        <v/>
      </c>
      <c r="D62" s="126">
        <f>'bloco 03'!L10</f>
        <v/>
      </c>
      <c r="E62" s="127">
        <f>IFERROR(('bloco 03'!M10),"")</f>
        <v/>
      </c>
      <c r="F62" s="128">
        <f>'bloco 03'!N10</f>
        <v/>
      </c>
      <c r="G62" s="129" t="n"/>
    </row>
    <row r="63" ht="21" customHeight="1" s="98">
      <c r="A63" s="125">
        <f>'bloco 03'!$I11</f>
        <v/>
      </c>
      <c r="B63" s="126">
        <f>'bloco 03'!J11</f>
        <v/>
      </c>
      <c r="C63" s="126">
        <f>'bloco 03'!K11</f>
        <v/>
      </c>
      <c r="D63" s="126">
        <f>'bloco 03'!L11</f>
        <v/>
      </c>
      <c r="E63" s="127">
        <f>IFERROR(('bloco 03'!M11),"")</f>
        <v/>
      </c>
      <c r="F63" s="128">
        <f>'bloco 03'!N11</f>
        <v/>
      </c>
      <c r="G63" s="129" t="n"/>
    </row>
    <row r="64" ht="21" customHeight="1" s="98">
      <c r="A64" s="125">
        <f>'bloco 03'!$I12</f>
        <v/>
      </c>
      <c r="B64" s="126">
        <f>'bloco 03'!J12</f>
        <v/>
      </c>
      <c r="C64" s="126">
        <f>'bloco 03'!K12</f>
        <v/>
      </c>
      <c r="D64" s="126">
        <f>'bloco 03'!L12</f>
        <v/>
      </c>
      <c r="E64" s="127">
        <f>IFERROR(('bloco 03'!M12),"")</f>
        <v/>
      </c>
      <c r="F64" s="128">
        <f>'bloco 03'!N12</f>
        <v/>
      </c>
      <c r="G64" s="129" t="n"/>
    </row>
    <row r="65" ht="21" customHeight="1" s="98">
      <c r="A65" s="125">
        <f>'bloco 03'!$I13</f>
        <v/>
      </c>
      <c r="B65" s="126">
        <f>'bloco 03'!J13</f>
        <v/>
      </c>
      <c r="C65" s="126">
        <f>'bloco 03'!K13</f>
        <v/>
      </c>
      <c r="D65" s="126">
        <f>'bloco 03'!L13</f>
        <v/>
      </c>
      <c r="E65" s="127">
        <f>IFERROR(('bloco 03'!M13),"")</f>
        <v/>
      </c>
      <c r="F65" s="128">
        <f>'bloco 03'!N13</f>
        <v/>
      </c>
      <c r="G65" s="129" t="n"/>
    </row>
    <row r="66" ht="21" customHeight="1" s="98">
      <c r="A66" s="125">
        <f>'bloco 03'!$I14</f>
        <v/>
      </c>
      <c r="B66" s="126">
        <f>'bloco 03'!J14</f>
        <v/>
      </c>
      <c r="C66" s="126">
        <f>'bloco 03'!K14</f>
        <v/>
      </c>
      <c r="D66" s="126">
        <f>'bloco 03'!L14</f>
        <v/>
      </c>
      <c r="E66" s="127">
        <f>IFERROR(('bloco 03'!M14),"")</f>
        <v/>
      </c>
      <c r="F66" s="128">
        <f>'bloco 03'!N14</f>
        <v/>
      </c>
      <c r="G66" s="129" t="n"/>
    </row>
    <row r="67" ht="21" customHeight="1" s="98">
      <c r="A67" s="125">
        <f>'bloco 03'!$I15</f>
        <v/>
      </c>
      <c r="B67" s="126">
        <f>'bloco 03'!J15</f>
        <v/>
      </c>
      <c r="C67" s="126">
        <f>'bloco 03'!K15</f>
        <v/>
      </c>
      <c r="D67" s="126">
        <f>'bloco 03'!L15</f>
        <v/>
      </c>
      <c r="E67" s="127">
        <f>IFERROR(('bloco 03'!M15),"")</f>
        <v/>
      </c>
      <c r="F67" s="128">
        <f>'bloco 03'!N15</f>
        <v/>
      </c>
      <c r="G67" s="129" t="n"/>
    </row>
    <row r="68" ht="26" customHeight="1" s="98">
      <c r="A68" s="118" t="inlineStr">
        <is>
          <t>TREINO 02</t>
        </is>
      </c>
    </row>
    <row r="69" ht="18" customHeight="1" s="98">
      <c r="A69" s="120" t="n"/>
      <c r="B69" s="120" t="inlineStr">
        <is>
          <t>SETS</t>
        </is>
      </c>
      <c r="C69" s="116" t="inlineStr">
        <is>
          <t>REPS</t>
        </is>
      </c>
      <c r="D69" s="116" t="inlineStr">
        <is>
          <t>KG</t>
        </is>
      </c>
      <c r="E69" s="116" t="inlineStr">
        <is>
          <t>%1RM / PSE</t>
        </is>
      </c>
      <c r="F69" s="116" t="inlineStr">
        <is>
          <t>OBS</t>
        </is>
      </c>
    </row>
    <row r="70" ht="21" customHeight="1" s="98">
      <c r="A70" s="125">
        <f>'bloco 03'!$I21</f>
        <v/>
      </c>
      <c r="B70" s="126">
        <f>'bloco 03'!J21</f>
        <v/>
      </c>
      <c r="C70" s="126">
        <f>'bloco 03'!K21</f>
        <v/>
      </c>
      <c r="D70" s="126">
        <f>'bloco 03'!L21</f>
        <v/>
      </c>
      <c r="E70" s="127">
        <f>IFERROR(('bloco 03'!M21),"")</f>
        <v/>
      </c>
      <c r="F70" s="128">
        <f>'bloco 03'!N21</f>
        <v/>
      </c>
      <c r="G70" s="129" t="n"/>
    </row>
    <row r="71" ht="21" customHeight="1" s="98">
      <c r="A71" s="125">
        <f>'bloco 03'!$I22</f>
        <v/>
      </c>
      <c r="B71" s="126">
        <f>'bloco 03'!J22</f>
        <v/>
      </c>
      <c r="C71" s="126">
        <f>'bloco 03'!K22</f>
        <v/>
      </c>
      <c r="D71" s="126">
        <f>'bloco 03'!L22</f>
        <v/>
      </c>
      <c r="E71" s="127">
        <f>IFERROR(('bloco 03'!M22),"")</f>
        <v/>
      </c>
      <c r="F71" s="128">
        <f>'bloco 03'!N22</f>
        <v/>
      </c>
      <c r="G71" s="129" t="n"/>
    </row>
    <row r="72" ht="21" customHeight="1" s="98">
      <c r="A72" s="125">
        <f>'bloco 03'!$I23</f>
        <v/>
      </c>
      <c r="B72" s="126">
        <f>'bloco 03'!J23</f>
        <v/>
      </c>
      <c r="C72" s="126">
        <f>'bloco 03'!K23</f>
        <v/>
      </c>
      <c r="D72" s="126">
        <f>'bloco 03'!L23</f>
        <v/>
      </c>
      <c r="E72" s="127">
        <f>IFERROR(('bloco 03'!M23),"")</f>
        <v/>
      </c>
      <c r="F72" s="128">
        <f>'bloco 03'!N23</f>
        <v/>
      </c>
      <c r="G72" s="129" t="n"/>
    </row>
    <row r="73" ht="21" customHeight="1" s="98">
      <c r="A73" s="125">
        <f>'bloco 03'!$I24</f>
        <v/>
      </c>
      <c r="B73" s="126">
        <f>'bloco 03'!J24</f>
        <v/>
      </c>
      <c r="C73" s="126">
        <f>'bloco 03'!K24</f>
        <v/>
      </c>
      <c r="D73" s="126">
        <f>'bloco 03'!L24</f>
        <v/>
      </c>
      <c r="E73" s="127">
        <f>IFERROR(('bloco 03'!M24),"")</f>
        <v/>
      </c>
      <c r="F73" s="128">
        <f>'bloco 03'!N24</f>
        <v/>
      </c>
      <c r="G73" s="129" t="n"/>
    </row>
    <row r="74" ht="21" customHeight="1" s="98">
      <c r="A74" s="125">
        <f>'bloco 03'!$I25</f>
        <v/>
      </c>
      <c r="B74" s="126">
        <f>'bloco 03'!J25</f>
        <v/>
      </c>
      <c r="C74" s="126">
        <f>'bloco 03'!K25</f>
        <v/>
      </c>
      <c r="D74" s="126">
        <f>'bloco 03'!L25</f>
        <v/>
      </c>
      <c r="E74" s="127">
        <f>IFERROR(('bloco 03'!M25),"")</f>
        <v/>
      </c>
      <c r="F74" s="128">
        <f>'bloco 03'!N25</f>
        <v/>
      </c>
      <c r="G74" s="129" t="n"/>
    </row>
    <row r="75" ht="21" customHeight="1" s="98">
      <c r="A75" s="125">
        <f>'bloco 03'!$I26</f>
        <v/>
      </c>
      <c r="B75" s="126">
        <f>'bloco 03'!J26</f>
        <v/>
      </c>
      <c r="C75" s="126">
        <f>'bloco 03'!K26</f>
        <v/>
      </c>
      <c r="D75" s="126">
        <f>'bloco 03'!L26</f>
        <v/>
      </c>
      <c r="E75" s="127">
        <f>IFERROR(('bloco 03'!M26),"")</f>
        <v/>
      </c>
      <c r="F75" s="128">
        <f>'bloco 03'!N26</f>
        <v/>
      </c>
      <c r="G75" s="129" t="n"/>
    </row>
    <row r="76" ht="21" customHeight="1" s="98">
      <c r="A76" s="125">
        <f>'bloco 03'!$I27</f>
        <v/>
      </c>
      <c r="B76" s="126">
        <f>'bloco 03'!J27</f>
        <v/>
      </c>
      <c r="C76" s="126">
        <f>'bloco 03'!K27</f>
        <v/>
      </c>
      <c r="D76" s="126">
        <f>'bloco 03'!L27</f>
        <v/>
      </c>
      <c r="E76" s="127">
        <f>IFERROR(('bloco 03'!M27),"")</f>
        <v/>
      </c>
      <c r="F76" s="128">
        <f>'bloco 03'!N27</f>
        <v/>
      </c>
      <c r="G76" s="129" t="n"/>
    </row>
    <row r="77" ht="21" customHeight="1" s="98">
      <c r="A77" s="125">
        <f>'bloco 03'!$I28</f>
        <v/>
      </c>
      <c r="B77" s="126">
        <f>'bloco 03'!J28</f>
        <v/>
      </c>
      <c r="C77" s="126">
        <f>'bloco 03'!K28</f>
        <v/>
      </c>
      <c r="D77" s="126">
        <f>'bloco 03'!L28</f>
        <v/>
      </c>
      <c r="E77" s="127">
        <f>IFERROR(('bloco 03'!M28),"")</f>
        <v/>
      </c>
      <c r="F77" s="128">
        <f>'bloco 03'!N28</f>
        <v/>
      </c>
      <c r="G77" s="129" t="n"/>
    </row>
    <row r="78" ht="21" customHeight="1" s="98">
      <c r="A78" s="125">
        <f>'bloco 03'!$I29</f>
        <v/>
      </c>
      <c r="B78" s="126">
        <f>'bloco 03'!J29</f>
        <v/>
      </c>
      <c r="C78" s="126">
        <f>'bloco 03'!K29</f>
        <v/>
      </c>
      <c r="D78" s="126">
        <f>'bloco 03'!L29</f>
        <v/>
      </c>
      <c r="E78" s="127">
        <f>IFERROR(('bloco 03'!M29),"")</f>
        <v/>
      </c>
      <c r="F78" s="128">
        <f>'bloco 03'!N29</f>
        <v/>
      </c>
      <c r="G78" s="129" t="n"/>
    </row>
    <row r="79" ht="21" customHeight="1" s="98">
      <c r="A79" s="125">
        <f>'bloco 03'!$I30</f>
        <v/>
      </c>
      <c r="B79" s="126">
        <f>'bloco 03'!J30</f>
        <v/>
      </c>
      <c r="C79" s="126">
        <f>'bloco 03'!K30</f>
        <v/>
      </c>
      <c r="D79" s="126">
        <f>'bloco 03'!L30</f>
        <v/>
      </c>
      <c r="E79" s="127">
        <f>IFERROR(('bloco 03'!M30),"")</f>
        <v/>
      </c>
      <c r="F79" s="128">
        <f>'bloco 03'!N30</f>
        <v/>
      </c>
      <c r="G79" s="129" t="n"/>
    </row>
    <row r="80" ht="26" customHeight="1" s="98">
      <c r="A80" s="118" t="inlineStr">
        <is>
          <t>TREINO 03</t>
        </is>
      </c>
    </row>
    <row r="81" ht="18" customHeight="1" s="98">
      <c r="A81" s="120" t="n"/>
      <c r="B81" s="120" t="inlineStr">
        <is>
          <t>SETS</t>
        </is>
      </c>
      <c r="C81" s="116" t="inlineStr">
        <is>
          <t>REPS</t>
        </is>
      </c>
      <c r="D81" s="116" t="inlineStr">
        <is>
          <t>KG</t>
        </is>
      </c>
      <c r="E81" s="116" t="inlineStr">
        <is>
          <t>%1RM / PSE</t>
        </is>
      </c>
      <c r="F81" s="116" t="inlineStr">
        <is>
          <t>OBS</t>
        </is>
      </c>
    </row>
    <row r="82" ht="21" customHeight="1" s="98">
      <c r="A82" s="125">
        <f>'bloco 03'!$I36</f>
        <v/>
      </c>
      <c r="B82" s="126">
        <f>'bloco 03'!J36</f>
        <v/>
      </c>
      <c r="C82" s="126">
        <f>'bloco 03'!K36</f>
        <v/>
      </c>
      <c r="D82" s="126">
        <f>'bloco 03'!L36</f>
        <v/>
      </c>
      <c r="E82" s="127">
        <f>IFERROR(('bloco 03'!M36),"")</f>
        <v/>
      </c>
      <c r="F82" s="128">
        <f>'bloco 03'!N36</f>
        <v/>
      </c>
      <c r="G82" s="129" t="n"/>
    </row>
    <row r="83" ht="21" customHeight="1" s="98">
      <c r="A83" s="125">
        <f>'bloco 03'!$I37</f>
        <v/>
      </c>
      <c r="B83" s="126">
        <f>'bloco 03'!J37</f>
        <v/>
      </c>
      <c r="C83" s="126">
        <f>'bloco 03'!K37</f>
        <v/>
      </c>
      <c r="D83" s="126">
        <f>'bloco 03'!L37</f>
        <v/>
      </c>
      <c r="E83" s="127">
        <f>IFERROR(('bloco 03'!M37),"")</f>
        <v/>
      </c>
      <c r="F83" s="128">
        <f>'bloco 03'!N37</f>
        <v/>
      </c>
      <c r="G83" s="129" t="n"/>
    </row>
    <row r="84" ht="21" customHeight="1" s="98">
      <c r="A84" s="125">
        <f>'bloco 03'!$I38</f>
        <v/>
      </c>
      <c r="B84" s="126">
        <f>'bloco 03'!J38</f>
        <v/>
      </c>
      <c r="C84" s="126">
        <f>'bloco 03'!K38</f>
        <v/>
      </c>
      <c r="D84" s="126">
        <f>'bloco 03'!L38</f>
        <v/>
      </c>
      <c r="E84" s="127">
        <f>IFERROR(('bloco 03'!M38),"")</f>
        <v/>
      </c>
      <c r="F84" s="128">
        <f>'bloco 03'!N38</f>
        <v/>
      </c>
      <c r="G84" s="129" t="n"/>
    </row>
    <row r="85" ht="21" customHeight="1" s="98">
      <c r="A85" s="125">
        <f>'bloco 03'!$I39</f>
        <v/>
      </c>
      <c r="B85" s="126">
        <f>'bloco 03'!J39</f>
        <v/>
      </c>
      <c r="C85" s="126">
        <f>'bloco 03'!K39</f>
        <v/>
      </c>
      <c r="D85" s="126">
        <f>'bloco 03'!L39</f>
        <v/>
      </c>
      <c r="E85" s="127">
        <f>IFERROR(('bloco 03'!M39),"")</f>
        <v/>
      </c>
      <c r="F85" s="128">
        <f>'bloco 03'!N39</f>
        <v/>
      </c>
      <c r="G85" s="129" t="n"/>
    </row>
    <row r="86" ht="21" customHeight="1" s="98">
      <c r="A86" s="125">
        <f>'bloco 03'!$I40</f>
        <v/>
      </c>
      <c r="B86" s="126">
        <f>'bloco 03'!J40</f>
        <v/>
      </c>
      <c r="C86" s="126">
        <f>'bloco 03'!K40</f>
        <v/>
      </c>
      <c r="D86" s="126">
        <f>'bloco 03'!L40</f>
        <v/>
      </c>
      <c r="E86" s="127">
        <f>IFERROR(('bloco 03'!M40),"")</f>
        <v/>
      </c>
      <c r="F86" s="128">
        <f>'bloco 03'!N40</f>
        <v/>
      </c>
      <c r="G86" s="129" t="n"/>
    </row>
    <row r="87" ht="21" customHeight="1" s="98">
      <c r="A87" s="125">
        <f>'bloco 03'!$I41</f>
        <v/>
      </c>
      <c r="B87" s="126">
        <f>'bloco 03'!J41</f>
        <v/>
      </c>
      <c r="C87" s="126">
        <f>'bloco 03'!K41</f>
        <v/>
      </c>
      <c r="D87" s="126">
        <f>'bloco 03'!L41</f>
        <v/>
      </c>
      <c r="E87" s="127">
        <f>IFERROR(('bloco 03'!M41),"")</f>
        <v/>
      </c>
      <c r="F87" s="128">
        <f>'bloco 03'!N41</f>
        <v/>
      </c>
      <c r="G87" s="129" t="n"/>
    </row>
    <row r="88" ht="21" customHeight="1" s="98">
      <c r="A88" s="125">
        <f>'bloco 03'!$I42</f>
        <v/>
      </c>
      <c r="B88" s="126">
        <f>'bloco 03'!J42</f>
        <v/>
      </c>
      <c r="C88" s="126">
        <f>'bloco 03'!K42</f>
        <v/>
      </c>
      <c r="D88" s="126">
        <f>'bloco 03'!L42</f>
        <v/>
      </c>
      <c r="E88" s="127">
        <f>IFERROR(('bloco 03'!M42),"")</f>
        <v/>
      </c>
      <c r="F88" s="128">
        <f>'bloco 03'!N42</f>
        <v/>
      </c>
      <c r="G88" s="129" t="n"/>
    </row>
    <row r="89" ht="21" customHeight="1" s="98">
      <c r="A89" s="125">
        <f>'bloco 03'!$I43</f>
        <v/>
      </c>
      <c r="B89" s="126">
        <f>'bloco 03'!J43</f>
        <v/>
      </c>
      <c r="C89" s="126">
        <f>'bloco 03'!K43</f>
        <v/>
      </c>
      <c r="D89" s="126">
        <f>'bloco 03'!L43</f>
        <v/>
      </c>
      <c r="E89" s="127">
        <f>IFERROR(('bloco 03'!M43),"")</f>
        <v/>
      </c>
      <c r="F89" s="128">
        <f>'bloco 03'!N43</f>
        <v/>
      </c>
      <c r="G89" s="129" t="n"/>
    </row>
    <row r="90" ht="21" customHeight="1" s="98">
      <c r="A90" s="125">
        <f>'bloco 03'!$I44</f>
        <v/>
      </c>
      <c r="B90" s="126">
        <f>'bloco 03'!J44</f>
        <v/>
      </c>
      <c r="C90" s="126">
        <f>'bloco 03'!K44</f>
        <v/>
      </c>
      <c r="D90" s="126">
        <f>'bloco 03'!L44</f>
        <v/>
      </c>
      <c r="E90" s="127">
        <f>IFERROR(('bloco 03'!M44),"")</f>
        <v/>
      </c>
      <c r="F90" s="128">
        <f>'bloco 03'!N44</f>
        <v/>
      </c>
      <c r="G90" s="129" t="n"/>
    </row>
    <row r="91" ht="21" customHeight="1" s="98">
      <c r="A91" s="125">
        <f>'bloco 03'!$I45</f>
        <v/>
      </c>
      <c r="B91" s="126">
        <f>'bloco 03'!J45</f>
        <v/>
      </c>
      <c r="C91" s="126">
        <f>'bloco 03'!K45</f>
        <v/>
      </c>
      <c r="D91" s="126">
        <f>'bloco 03'!L45</f>
        <v/>
      </c>
      <c r="E91" s="127">
        <f>IFERROR(('bloco 03'!M45),"")</f>
        <v/>
      </c>
      <c r="F91" s="128">
        <f>'bloco 03'!N45</f>
        <v/>
      </c>
      <c r="G91" s="129" t="n"/>
    </row>
    <row r="92" ht="21" customHeight="1" s="98">
      <c r="A92" s="119" t="n"/>
    </row>
    <row r="93" ht="21" customHeight="1" s="98"/>
    <row r="94" ht="21" customHeight="1" s="98"/>
    <row r="95" ht="21" customHeight="1" s="98"/>
    <row r="96" ht="21" customHeight="1" s="98"/>
    <row r="97" ht="21" customHeight="1" s="98"/>
    <row r="98" ht="21" customHeight="1" s="98"/>
    <row r="99" ht="21" customHeight="1" s="98"/>
    <row r="100" ht="21" customHeight="1" s="98"/>
    <row r="101" ht="21" customHeight="1" s="98"/>
    <row r="102" ht="21" customHeight="1" s="98"/>
    <row r="103" ht="21" customHeight="1" s="98"/>
    <row r="104" ht="21" customHeight="1" s="98"/>
    <row r="105" ht="21" customHeight="1" s="98"/>
    <row r="106" ht="21" customHeight="1" s="98"/>
    <row r="107" ht="21" customHeight="1" s="98"/>
    <row r="108" ht="21" customHeight="1" s="98"/>
    <row r="109" ht="16" customHeight="1" s="98">
      <c r="A109" s="123">
        <f>'bloco 03'!Q3</f>
        <v/>
      </c>
    </row>
    <row r="110" ht="30" customHeight="1" s="98">
      <c r="A110" s="124" t="inlineStr">
        <is>
          <t>SEMANA 03</t>
        </is>
      </c>
    </row>
    <row r="111" ht="26" customHeight="1" s="98">
      <c r="A111" s="118" t="inlineStr">
        <is>
          <t>TREINO 01</t>
        </is>
      </c>
    </row>
    <row r="112" ht="18" customHeight="1" s="98">
      <c r="A112" s="120" t="n"/>
      <c r="B112" s="120" t="inlineStr">
        <is>
          <t>SETS</t>
        </is>
      </c>
      <c r="C112" s="116" t="inlineStr">
        <is>
          <t>REPS</t>
        </is>
      </c>
      <c r="D112" s="116" t="inlineStr">
        <is>
          <t>KG</t>
        </is>
      </c>
      <c r="E112" s="116" t="inlineStr">
        <is>
          <t>%1RM / PSE</t>
        </is>
      </c>
      <c r="F112" s="116" t="inlineStr">
        <is>
          <t>OBS</t>
        </is>
      </c>
    </row>
    <row r="113" ht="21" customHeight="1" s="98">
      <c r="A113" s="125">
        <f>'bloco 03'!$P6</f>
        <v/>
      </c>
      <c r="B113" s="126">
        <f>'bloco 03'!Q6</f>
        <v/>
      </c>
      <c r="C113" s="126">
        <f>'bloco 03'!R6</f>
        <v/>
      </c>
      <c r="D113" s="126">
        <f>'bloco 03'!S6</f>
        <v/>
      </c>
      <c r="E113" s="127">
        <f>IFERROR(('bloco 03'!T6),"")</f>
        <v/>
      </c>
      <c r="F113" s="128">
        <f>'bloco 03'!U6</f>
        <v/>
      </c>
      <c r="G113" s="129" t="n"/>
    </row>
    <row r="114" ht="21" customHeight="1" s="98">
      <c r="A114" s="125">
        <f>'bloco 03'!$P7</f>
        <v/>
      </c>
      <c r="B114" s="126">
        <f>'bloco 03'!Q7</f>
        <v/>
      </c>
      <c r="C114" s="126">
        <f>'bloco 03'!R7</f>
        <v/>
      </c>
      <c r="D114" s="126">
        <f>'bloco 03'!S7</f>
        <v/>
      </c>
      <c r="E114" s="127">
        <f>IFERROR(('bloco 03'!T7),"")</f>
        <v/>
      </c>
      <c r="F114" s="128">
        <f>'bloco 03'!U7</f>
        <v/>
      </c>
      <c r="G114" s="129" t="n"/>
    </row>
    <row r="115" ht="21" customHeight="1" s="98">
      <c r="A115" s="125">
        <f>'bloco 03'!$P8</f>
        <v/>
      </c>
      <c r="B115" s="126">
        <f>'bloco 03'!Q8</f>
        <v/>
      </c>
      <c r="C115" s="126">
        <f>'bloco 03'!R8</f>
        <v/>
      </c>
      <c r="D115" s="126">
        <f>'bloco 03'!S8</f>
        <v/>
      </c>
      <c r="E115" s="127">
        <f>IFERROR(('bloco 03'!T8),"")</f>
        <v/>
      </c>
      <c r="F115" s="128">
        <f>'bloco 03'!U8</f>
        <v/>
      </c>
      <c r="G115" s="129" t="n"/>
    </row>
    <row r="116" ht="21" customHeight="1" s="98">
      <c r="A116" s="125">
        <f>'bloco 03'!$P9</f>
        <v/>
      </c>
      <c r="B116" s="126">
        <f>'bloco 03'!Q9</f>
        <v/>
      </c>
      <c r="C116" s="126">
        <f>'bloco 03'!R9</f>
        <v/>
      </c>
      <c r="D116" s="126">
        <f>'bloco 03'!S9</f>
        <v/>
      </c>
      <c r="E116" s="127">
        <f>IFERROR(('bloco 03'!T9),"")</f>
        <v/>
      </c>
      <c r="F116" s="128">
        <f>'bloco 03'!U9</f>
        <v/>
      </c>
      <c r="G116" s="129" t="n"/>
    </row>
    <row r="117" ht="21" customHeight="1" s="98">
      <c r="A117" s="125">
        <f>'bloco 03'!$P10</f>
        <v/>
      </c>
      <c r="B117" s="126">
        <f>'bloco 03'!Q10</f>
        <v/>
      </c>
      <c r="C117" s="126">
        <f>'bloco 03'!R10</f>
        <v/>
      </c>
      <c r="D117" s="126">
        <f>'bloco 03'!S10</f>
        <v/>
      </c>
      <c r="E117" s="127">
        <f>IFERROR(('bloco 03'!T10),"")</f>
        <v/>
      </c>
      <c r="F117" s="128">
        <f>'bloco 03'!U10</f>
        <v/>
      </c>
      <c r="G117" s="129" t="n"/>
    </row>
    <row r="118" ht="21" customHeight="1" s="98">
      <c r="A118" s="125">
        <f>'bloco 03'!$P11</f>
        <v/>
      </c>
      <c r="B118" s="126">
        <f>'bloco 03'!Q11</f>
        <v/>
      </c>
      <c r="C118" s="126">
        <f>'bloco 03'!R11</f>
        <v/>
      </c>
      <c r="D118" s="126">
        <f>'bloco 03'!S11</f>
        <v/>
      </c>
      <c r="E118" s="127">
        <f>IFERROR(('bloco 03'!T11),"")</f>
        <v/>
      </c>
      <c r="F118" s="128">
        <f>'bloco 03'!U11</f>
        <v/>
      </c>
      <c r="G118" s="129" t="n"/>
    </row>
    <row r="119" ht="21" customHeight="1" s="98">
      <c r="A119" s="125">
        <f>'bloco 03'!$P12</f>
        <v/>
      </c>
      <c r="B119" s="126">
        <f>'bloco 03'!Q12</f>
        <v/>
      </c>
      <c r="C119" s="126">
        <f>'bloco 03'!R12</f>
        <v/>
      </c>
      <c r="D119" s="126">
        <f>'bloco 03'!S12</f>
        <v/>
      </c>
      <c r="E119" s="127">
        <f>IFERROR(('bloco 03'!T12),"")</f>
        <v/>
      </c>
      <c r="F119" s="128">
        <f>'bloco 03'!U12</f>
        <v/>
      </c>
      <c r="G119" s="129" t="n"/>
    </row>
    <row r="120" ht="21" customHeight="1" s="98">
      <c r="A120" s="125">
        <f>'bloco 03'!$P13</f>
        <v/>
      </c>
      <c r="B120" s="126">
        <f>'bloco 03'!Q13</f>
        <v/>
      </c>
      <c r="C120" s="126">
        <f>'bloco 03'!R13</f>
        <v/>
      </c>
      <c r="D120" s="126">
        <f>'bloco 03'!S13</f>
        <v/>
      </c>
      <c r="E120" s="127">
        <f>IFERROR(('bloco 03'!T13),"")</f>
        <v/>
      </c>
      <c r="F120" s="128">
        <f>'bloco 03'!U13</f>
        <v/>
      </c>
      <c r="G120" s="129" t="n"/>
    </row>
    <row r="121" ht="21" customHeight="1" s="98">
      <c r="A121" s="125">
        <f>'bloco 03'!$P14</f>
        <v/>
      </c>
      <c r="B121" s="126">
        <f>'bloco 03'!Q14</f>
        <v/>
      </c>
      <c r="C121" s="126">
        <f>'bloco 03'!R14</f>
        <v/>
      </c>
      <c r="D121" s="126">
        <f>'bloco 03'!S14</f>
        <v/>
      </c>
      <c r="E121" s="127">
        <f>IFERROR(('bloco 03'!T14),"")</f>
        <v/>
      </c>
      <c r="F121" s="128">
        <f>'bloco 03'!U14</f>
        <v/>
      </c>
      <c r="G121" s="129" t="n"/>
    </row>
    <row r="122" ht="21" customHeight="1" s="98">
      <c r="A122" s="125">
        <f>'bloco 03'!$P15</f>
        <v/>
      </c>
      <c r="B122" s="126">
        <f>'bloco 03'!Q15</f>
        <v/>
      </c>
      <c r="C122" s="126">
        <f>'bloco 03'!R15</f>
        <v/>
      </c>
      <c r="D122" s="126">
        <f>'bloco 03'!S15</f>
        <v/>
      </c>
      <c r="E122" s="127">
        <f>IFERROR(('bloco 03'!T15),"")</f>
        <v/>
      </c>
      <c r="F122" s="128">
        <f>'bloco 03'!U15</f>
        <v/>
      </c>
      <c r="G122" s="129" t="n"/>
    </row>
    <row r="123" ht="26" customHeight="1" s="98">
      <c r="A123" s="118" t="inlineStr">
        <is>
          <t>TREINO 02</t>
        </is>
      </c>
    </row>
    <row r="124" ht="18" customHeight="1" s="98">
      <c r="A124" s="120" t="n"/>
      <c r="B124" s="120" t="inlineStr">
        <is>
          <t>SETS</t>
        </is>
      </c>
      <c r="C124" s="116" t="inlineStr">
        <is>
          <t>REPS</t>
        </is>
      </c>
      <c r="D124" s="116" t="inlineStr">
        <is>
          <t>KG</t>
        </is>
      </c>
      <c r="E124" s="116" t="inlineStr">
        <is>
          <t>%1RM / PSE</t>
        </is>
      </c>
      <c r="F124" s="116" t="inlineStr">
        <is>
          <t>OBS</t>
        </is>
      </c>
    </row>
    <row r="125" ht="21" customHeight="1" s="98">
      <c r="A125" s="125">
        <f>'bloco 03'!$P21</f>
        <v/>
      </c>
      <c r="B125" s="126">
        <f>'bloco 03'!Q21</f>
        <v/>
      </c>
      <c r="C125" s="126">
        <f>'bloco 03'!R21</f>
        <v/>
      </c>
      <c r="D125" s="126">
        <f>'bloco 03'!S21</f>
        <v/>
      </c>
      <c r="E125" s="127">
        <f>IFERROR(('bloco 03'!T21),"")</f>
        <v/>
      </c>
      <c r="F125" s="128">
        <f>'bloco 03'!U21</f>
        <v/>
      </c>
      <c r="G125" s="129" t="n"/>
    </row>
    <row r="126" ht="21" customHeight="1" s="98">
      <c r="A126" s="125">
        <f>'bloco 03'!$P22</f>
        <v/>
      </c>
      <c r="B126" s="126">
        <f>'bloco 03'!Q22</f>
        <v/>
      </c>
      <c r="C126" s="126">
        <f>'bloco 03'!R22</f>
        <v/>
      </c>
      <c r="D126" s="126">
        <f>'bloco 03'!S22</f>
        <v/>
      </c>
      <c r="E126" s="127">
        <f>IFERROR(('bloco 03'!T22),"")</f>
        <v/>
      </c>
      <c r="F126" s="128">
        <f>'bloco 03'!U22</f>
        <v/>
      </c>
      <c r="G126" s="129" t="n"/>
    </row>
    <row r="127" ht="21" customHeight="1" s="98">
      <c r="A127" s="125">
        <f>'bloco 03'!$P23</f>
        <v/>
      </c>
      <c r="B127" s="126">
        <f>'bloco 03'!Q23</f>
        <v/>
      </c>
      <c r="C127" s="126">
        <f>'bloco 03'!R23</f>
        <v/>
      </c>
      <c r="D127" s="126">
        <f>'bloco 03'!S23</f>
        <v/>
      </c>
      <c r="E127" s="127">
        <f>IFERROR(('bloco 03'!T23),"")</f>
        <v/>
      </c>
      <c r="F127" s="128">
        <f>'bloco 03'!U23</f>
        <v/>
      </c>
      <c r="G127" s="129" t="n"/>
    </row>
    <row r="128" ht="21" customHeight="1" s="98">
      <c r="A128" s="125">
        <f>'bloco 03'!$P24</f>
        <v/>
      </c>
      <c r="B128" s="126">
        <f>'bloco 03'!Q24</f>
        <v/>
      </c>
      <c r="C128" s="126">
        <f>'bloco 03'!R24</f>
        <v/>
      </c>
      <c r="D128" s="126">
        <f>'bloco 03'!S24</f>
        <v/>
      </c>
      <c r="E128" s="127">
        <f>IFERROR(('bloco 03'!T24),"")</f>
        <v/>
      </c>
      <c r="F128" s="128">
        <f>'bloco 03'!U24</f>
        <v/>
      </c>
      <c r="G128" s="129" t="n"/>
    </row>
    <row r="129" ht="21" customHeight="1" s="98">
      <c r="A129" s="125">
        <f>'bloco 03'!$P25</f>
        <v/>
      </c>
      <c r="B129" s="126">
        <f>'bloco 03'!Q25</f>
        <v/>
      </c>
      <c r="C129" s="126">
        <f>'bloco 03'!R25</f>
        <v/>
      </c>
      <c r="D129" s="126">
        <f>'bloco 03'!S25</f>
        <v/>
      </c>
      <c r="E129" s="127">
        <f>IFERROR(('bloco 03'!T25),"")</f>
        <v/>
      </c>
      <c r="F129" s="128">
        <f>'bloco 03'!U25</f>
        <v/>
      </c>
      <c r="G129" s="129" t="n"/>
    </row>
    <row r="130" ht="21" customHeight="1" s="98">
      <c r="A130" s="125">
        <f>'bloco 03'!$P26</f>
        <v/>
      </c>
      <c r="B130" s="126">
        <f>'bloco 03'!Q26</f>
        <v/>
      </c>
      <c r="C130" s="126">
        <f>'bloco 03'!R26</f>
        <v/>
      </c>
      <c r="D130" s="126">
        <f>'bloco 03'!S26</f>
        <v/>
      </c>
      <c r="E130" s="127">
        <f>IFERROR(('bloco 03'!T26),"")</f>
        <v/>
      </c>
      <c r="F130" s="128">
        <f>'bloco 03'!U26</f>
        <v/>
      </c>
      <c r="G130" s="129" t="n"/>
    </row>
    <row r="131" ht="21" customHeight="1" s="98">
      <c r="A131" s="125">
        <f>'bloco 03'!$P27</f>
        <v/>
      </c>
      <c r="B131" s="126">
        <f>'bloco 03'!Q27</f>
        <v/>
      </c>
      <c r="C131" s="126">
        <f>'bloco 03'!R27</f>
        <v/>
      </c>
      <c r="D131" s="126">
        <f>'bloco 03'!S27</f>
        <v/>
      </c>
      <c r="E131" s="127">
        <f>IFERROR(('bloco 03'!T27),"")</f>
        <v/>
      </c>
      <c r="F131" s="128">
        <f>'bloco 03'!U27</f>
        <v/>
      </c>
      <c r="G131" s="129" t="n"/>
    </row>
    <row r="132" ht="21" customHeight="1" s="98">
      <c r="A132" s="125">
        <f>'bloco 03'!$P28</f>
        <v/>
      </c>
      <c r="B132" s="126">
        <f>'bloco 03'!Q28</f>
        <v/>
      </c>
      <c r="C132" s="126">
        <f>'bloco 03'!R28</f>
        <v/>
      </c>
      <c r="D132" s="126">
        <f>'bloco 03'!S28</f>
        <v/>
      </c>
      <c r="E132" s="127">
        <f>IFERROR(('bloco 03'!T28),"")</f>
        <v/>
      </c>
      <c r="F132" s="128">
        <f>'bloco 03'!U28</f>
        <v/>
      </c>
      <c r="G132" s="129" t="n"/>
    </row>
    <row r="133" ht="21" customHeight="1" s="98">
      <c r="A133" s="125">
        <f>'bloco 03'!$P29</f>
        <v/>
      </c>
      <c r="B133" s="126">
        <f>'bloco 03'!Q29</f>
        <v/>
      </c>
      <c r="C133" s="126">
        <f>'bloco 03'!R29</f>
        <v/>
      </c>
      <c r="D133" s="126">
        <f>'bloco 03'!S29</f>
        <v/>
      </c>
      <c r="E133" s="127">
        <f>IFERROR(('bloco 03'!T29),"")</f>
        <v/>
      </c>
      <c r="F133" s="128">
        <f>'bloco 03'!U29</f>
        <v/>
      </c>
      <c r="G133" s="129" t="n"/>
    </row>
    <row r="134" ht="21" customHeight="1" s="98">
      <c r="A134" s="125">
        <f>'bloco 03'!$P30</f>
        <v/>
      </c>
      <c r="B134" s="126">
        <f>'bloco 03'!Q30</f>
        <v/>
      </c>
      <c r="C134" s="126">
        <f>'bloco 03'!R30</f>
        <v/>
      </c>
      <c r="D134" s="126">
        <f>'bloco 03'!S30</f>
        <v/>
      </c>
      <c r="E134" s="127">
        <f>IFERROR(('bloco 03'!T30),"")</f>
        <v/>
      </c>
      <c r="F134" s="128">
        <f>'bloco 03'!U30</f>
        <v/>
      </c>
      <c r="G134" s="129" t="n"/>
    </row>
    <row r="135" ht="26" customHeight="1" s="98">
      <c r="A135" s="118" t="inlineStr">
        <is>
          <t>TREINO 03</t>
        </is>
      </c>
    </row>
    <row r="136" ht="18" customHeight="1" s="98">
      <c r="A136" s="120" t="n"/>
      <c r="B136" s="120" t="inlineStr">
        <is>
          <t>SETS</t>
        </is>
      </c>
      <c r="C136" s="116" t="inlineStr">
        <is>
          <t>REPS</t>
        </is>
      </c>
      <c r="D136" s="116" t="inlineStr">
        <is>
          <t>KG</t>
        </is>
      </c>
      <c r="E136" s="116" t="inlineStr">
        <is>
          <t>%1RM / PSE</t>
        </is>
      </c>
      <c r="F136" s="116" t="inlineStr">
        <is>
          <t>OBS</t>
        </is>
      </c>
    </row>
    <row r="137" ht="21" customHeight="1" s="98">
      <c r="A137" s="125">
        <f>'bloco 03'!$P36</f>
        <v/>
      </c>
      <c r="B137" s="126">
        <f>'bloco 03'!Q36</f>
        <v/>
      </c>
      <c r="C137" s="126">
        <f>'bloco 03'!R36</f>
        <v/>
      </c>
      <c r="D137" s="126">
        <f>'bloco 03'!S36</f>
        <v/>
      </c>
      <c r="E137" s="127">
        <f>IFERROR(('bloco 03'!T36),"")</f>
        <v/>
      </c>
      <c r="F137" s="128">
        <f>'bloco 03'!U36</f>
        <v/>
      </c>
      <c r="G137" s="129" t="n"/>
    </row>
    <row r="138" ht="21" customHeight="1" s="98">
      <c r="A138" s="125">
        <f>'bloco 03'!$P37</f>
        <v/>
      </c>
      <c r="B138" s="126">
        <f>'bloco 03'!Q37</f>
        <v/>
      </c>
      <c r="C138" s="126">
        <f>'bloco 03'!R37</f>
        <v/>
      </c>
      <c r="D138" s="126">
        <f>'bloco 03'!S37</f>
        <v/>
      </c>
      <c r="E138" s="127">
        <f>IFERROR(('bloco 03'!T37),"")</f>
        <v/>
      </c>
      <c r="F138" s="128">
        <f>'bloco 03'!U37</f>
        <v/>
      </c>
      <c r="G138" s="129" t="n"/>
    </row>
    <row r="139" ht="21" customHeight="1" s="98">
      <c r="A139" s="125">
        <f>'bloco 03'!$P38</f>
        <v/>
      </c>
      <c r="B139" s="126">
        <f>'bloco 03'!Q38</f>
        <v/>
      </c>
      <c r="C139" s="126">
        <f>'bloco 03'!R38</f>
        <v/>
      </c>
      <c r="D139" s="126">
        <f>'bloco 03'!S38</f>
        <v/>
      </c>
      <c r="E139" s="127">
        <f>IFERROR(('bloco 03'!T38),"")</f>
        <v/>
      </c>
      <c r="F139" s="128">
        <f>'bloco 03'!U38</f>
        <v/>
      </c>
      <c r="G139" s="129" t="n"/>
    </row>
    <row r="140" ht="21" customHeight="1" s="98">
      <c r="A140" s="125">
        <f>'bloco 03'!$P39</f>
        <v/>
      </c>
      <c r="B140" s="126">
        <f>'bloco 03'!Q39</f>
        <v/>
      </c>
      <c r="C140" s="126">
        <f>'bloco 03'!R39</f>
        <v/>
      </c>
      <c r="D140" s="126">
        <f>'bloco 03'!S39</f>
        <v/>
      </c>
      <c r="E140" s="127">
        <f>IFERROR(('bloco 03'!T39),"")</f>
        <v/>
      </c>
      <c r="F140" s="128">
        <f>'bloco 03'!U39</f>
        <v/>
      </c>
      <c r="G140" s="129" t="n"/>
    </row>
    <row r="141" ht="21" customHeight="1" s="98">
      <c r="A141" s="125">
        <f>'bloco 03'!$P40</f>
        <v/>
      </c>
      <c r="B141" s="126">
        <f>'bloco 03'!Q40</f>
        <v/>
      </c>
      <c r="C141" s="126">
        <f>'bloco 03'!R40</f>
        <v/>
      </c>
      <c r="D141" s="126">
        <f>'bloco 03'!S40</f>
        <v/>
      </c>
      <c r="E141" s="127">
        <f>IFERROR(('bloco 03'!T40),"")</f>
        <v/>
      </c>
      <c r="F141" s="128">
        <f>'bloco 03'!U40</f>
        <v/>
      </c>
      <c r="G141" s="129" t="n"/>
    </row>
    <row r="142" ht="21" customHeight="1" s="98">
      <c r="A142" s="125">
        <f>'bloco 03'!$P41</f>
        <v/>
      </c>
      <c r="B142" s="126">
        <f>'bloco 03'!Q41</f>
        <v/>
      </c>
      <c r="C142" s="126">
        <f>'bloco 03'!R41</f>
        <v/>
      </c>
      <c r="D142" s="126">
        <f>'bloco 03'!S41</f>
        <v/>
      </c>
      <c r="E142" s="127">
        <f>IFERROR(('bloco 03'!T41),"")</f>
        <v/>
      </c>
      <c r="F142" s="128">
        <f>'bloco 03'!U41</f>
        <v/>
      </c>
      <c r="G142" s="129" t="n"/>
    </row>
    <row r="143" ht="21" customHeight="1" s="98">
      <c r="A143" s="125">
        <f>'bloco 03'!$P42</f>
        <v/>
      </c>
      <c r="B143" s="126">
        <f>'bloco 03'!Q42</f>
        <v/>
      </c>
      <c r="C143" s="126">
        <f>'bloco 03'!R42</f>
        <v/>
      </c>
      <c r="D143" s="126">
        <f>'bloco 03'!S42</f>
        <v/>
      </c>
      <c r="E143" s="127">
        <f>IFERROR(('bloco 03'!T42),"")</f>
        <v/>
      </c>
      <c r="F143" s="128">
        <f>'bloco 03'!U42</f>
        <v/>
      </c>
      <c r="G143" s="129" t="n"/>
    </row>
    <row r="144" ht="21" customHeight="1" s="98">
      <c r="A144" s="125">
        <f>'bloco 03'!$P43</f>
        <v/>
      </c>
      <c r="B144" s="126">
        <f>'bloco 03'!Q43</f>
        <v/>
      </c>
      <c r="C144" s="126">
        <f>'bloco 03'!R43</f>
        <v/>
      </c>
      <c r="D144" s="126">
        <f>'bloco 03'!S43</f>
        <v/>
      </c>
      <c r="E144" s="127">
        <f>IFERROR(('bloco 03'!T43),"")</f>
        <v/>
      </c>
      <c r="F144" s="128">
        <f>'bloco 03'!U43</f>
        <v/>
      </c>
      <c r="G144" s="129" t="n"/>
    </row>
    <row r="145" ht="21" customHeight="1" s="98">
      <c r="A145" s="125">
        <f>'bloco 03'!$P44</f>
        <v/>
      </c>
      <c r="B145" s="126">
        <f>'bloco 03'!Q44</f>
        <v/>
      </c>
      <c r="C145" s="126">
        <f>'bloco 03'!R44</f>
        <v/>
      </c>
      <c r="D145" s="126">
        <f>'bloco 03'!S44</f>
        <v/>
      </c>
      <c r="E145" s="127">
        <f>IFERROR(('bloco 03'!T44),"")</f>
        <v/>
      </c>
      <c r="F145" s="128">
        <f>'bloco 03'!U44</f>
        <v/>
      </c>
      <c r="G145" s="129" t="n"/>
    </row>
    <row r="146" ht="21" customHeight="1" s="98">
      <c r="A146" s="125">
        <f>'bloco 03'!$P45</f>
        <v/>
      </c>
      <c r="B146" s="126">
        <f>'bloco 03'!Q45</f>
        <v/>
      </c>
      <c r="C146" s="126">
        <f>'bloco 03'!R45</f>
        <v/>
      </c>
      <c r="D146" s="126">
        <f>'bloco 03'!S45</f>
        <v/>
      </c>
      <c r="E146" s="127">
        <f>IFERROR(('bloco 03'!T45),"")</f>
        <v/>
      </c>
      <c r="F146" s="128">
        <f>'bloco 03'!U45</f>
        <v/>
      </c>
      <c r="G146" s="129" t="n"/>
    </row>
    <row r="147" ht="21" customHeight="1" s="98">
      <c r="A147" s="119" t="n"/>
    </row>
    <row r="148" ht="21" customHeight="1" s="98"/>
    <row r="149" ht="21" customHeight="1" s="98"/>
    <row r="150" ht="21" customHeight="1" s="98"/>
    <row r="151" ht="21" customHeight="1" s="98"/>
    <row r="152" ht="21" customHeight="1" s="98"/>
    <row r="153" ht="21" customHeight="1" s="98"/>
    <row r="154" ht="21" customHeight="1" s="98"/>
    <row r="155" ht="21" customHeight="1" s="98"/>
    <row r="156" ht="21" customHeight="1" s="98"/>
    <row r="157" ht="21" customHeight="1" s="98"/>
    <row r="158" ht="21" customHeight="1" s="98"/>
    <row r="159" ht="21" customHeight="1" s="98"/>
    <row r="160" ht="21" customHeight="1" s="98"/>
    <row r="161" ht="21" customHeight="1" s="98"/>
    <row r="162" ht="21" customHeight="1" s="98"/>
    <row r="163" ht="21" customHeight="1" s="98"/>
    <row r="164" ht="16" customHeight="1" s="98">
      <c r="A164" s="123">
        <f>'bloco 03'!X3</f>
        <v/>
      </c>
    </row>
    <row r="165" ht="30" customHeight="1" s="98">
      <c r="A165" s="124" t="inlineStr">
        <is>
          <t>SEMANA 04</t>
        </is>
      </c>
    </row>
    <row r="166" ht="26" customHeight="1" s="98">
      <c r="A166" s="118" t="inlineStr">
        <is>
          <t>TREINO 01</t>
        </is>
      </c>
    </row>
    <row r="167" ht="18" customHeight="1" s="98">
      <c r="A167" s="120" t="n"/>
      <c r="B167" s="120" t="inlineStr">
        <is>
          <t>SETS</t>
        </is>
      </c>
      <c r="C167" s="116" t="inlineStr">
        <is>
          <t>REPS</t>
        </is>
      </c>
      <c r="D167" s="116" t="inlineStr">
        <is>
          <t>KG</t>
        </is>
      </c>
      <c r="E167" s="116" t="inlineStr">
        <is>
          <t>%1RM / PSE</t>
        </is>
      </c>
      <c r="F167" s="116" t="inlineStr">
        <is>
          <t>OBS</t>
        </is>
      </c>
    </row>
    <row r="168" ht="21" customHeight="1" s="98">
      <c r="A168" s="125">
        <f>'bloco 03'!$W6</f>
        <v/>
      </c>
      <c r="B168" s="126">
        <f>'bloco 03'!X6</f>
        <v/>
      </c>
      <c r="C168" s="126">
        <f>'bloco 03'!Y6</f>
        <v/>
      </c>
      <c r="D168" s="126">
        <f>'bloco 03'!Z6</f>
        <v/>
      </c>
      <c r="E168" s="127">
        <f>IFERROR(('bloco 03'!AA6),"")</f>
        <v/>
      </c>
      <c r="F168" s="128">
        <f>'bloco 03'!AB6</f>
        <v/>
      </c>
      <c r="G168" s="129" t="n"/>
    </row>
    <row r="169" ht="21" customHeight="1" s="98">
      <c r="A169" s="125">
        <f>'bloco 03'!$W7</f>
        <v/>
      </c>
      <c r="B169" s="126">
        <f>'bloco 03'!X7</f>
        <v/>
      </c>
      <c r="C169" s="126">
        <f>'bloco 03'!Y7</f>
        <v/>
      </c>
      <c r="D169" s="126">
        <f>'bloco 03'!Z7</f>
        <v/>
      </c>
      <c r="E169" s="127">
        <f>IFERROR(('bloco 03'!AA7),"")</f>
        <v/>
      </c>
      <c r="F169" s="128">
        <f>'bloco 03'!AB7</f>
        <v/>
      </c>
      <c r="G169" s="129" t="n"/>
    </row>
    <row r="170" ht="21" customHeight="1" s="98">
      <c r="A170" s="125">
        <f>'bloco 03'!$W8</f>
        <v/>
      </c>
      <c r="B170" s="126">
        <f>'bloco 03'!X8</f>
        <v/>
      </c>
      <c r="C170" s="126">
        <f>'bloco 03'!Y8</f>
        <v/>
      </c>
      <c r="D170" s="126">
        <f>'bloco 03'!Z8</f>
        <v/>
      </c>
      <c r="E170" s="127">
        <f>IFERROR(('bloco 03'!AA8),"")</f>
        <v/>
      </c>
      <c r="F170" s="128">
        <f>'bloco 03'!AB8</f>
        <v/>
      </c>
      <c r="G170" s="129" t="n"/>
    </row>
    <row r="171" ht="21" customHeight="1" s="98">
      <c r="A171" s="125">
        <f>'bloco 03'!$W9</f>
        <v/>
      </c>
      <c r="B171" s="126">
        <f>'bloco 03'!X9</f>
        <v/>
      </c>
      <c r="C171" s="126">
        <f>'bloco 03'!Y9</f>
        <v/>
      </c>
      <c r="D171" s="126">
        <f>'bloco 03'!Z9</f>
        <v/>
      </c>
      <c r="E171" s="127">
        <f>IFERROR(('bloco 03'!AA9),"")</f>
        <v/>
      </c>
      <c r="F171" s="128">
        <f>'bloco 03'!AB9</f>
        <v/>
      </c>
      <c r="G171" s="129" t="n"/>
    </row>
    <row r="172" ht="21" customHeight="1" s="98">
      <c r="A172" s="125">
        <f>'bloco 03'!$W10</f>
        <v/>
      </c>
      <c r="B172" s="126">
        <f>'bloco 03'!X10</f>
        <v/>
      </c>
      <c r="C172" s="126">
        <f>'bloco 03'!Y10</f>
        <v/>
      </c>
      <c r="D172" s="126">
        <f>'bloco 03'!Z10</f>
        <v/>
      </c>
      <c r="E172" s="127">
        <f>IFERROR(('bloco 03'!AA10),"")</f>
        <v/>
      </c>
      <c r="F172" s="128">
        <f>'bloco 03'!AB10</f>
        <v/>
      </c>
      <c r="G172" s="129" t="n"/>
    </row>
    <row r="173" ht="21" customHeight="1" s="98">
      <c r="A173" s="125">
        <f>'bloco 03'!$W11</f>
        <v/>
      </c>
      <c r="B173" s="126">
        <f>'bloco 03'!X11</f>
        <v/>
      </c>
      <c r="C173" s="126">
        <f>'bloco 03'!Y11</f>
        <v/>
      </c>
      <c r="D173" s="126">
        <f>'bloco 03'!Z11</f>
        <v/>
      </c>
      <c r="E173" s="127">
        <f>IFERROR(('bloco 03'!AA11),"")</f>
        <v/>
      </c>
      <c r="F173" s="128">
        <f>'bloco 03'!AB11</f>
        <v/>
      </c>
      <c r="G173" s="129" t="n"/>
    </row>
    <row r="174" ht="21" customHeight="1" s="98">
      <c r="A174" s="125">
        <f>'bloco 03'!$W12</f>
        <v/>
      </c>
      <c r="B174" s="126">
        <f>'bloco 03'!X12</f>
        <v/>
      </c>
      <c r="C174" s="126">
        <f>'bloco 03'!Y12</f>
        <v/>
      </c>
      <c r="D174" s="126">
        <f>'bloco 03'!Z12</f>
        <v/>
      </c>
      <c r="E174" s="127">
        <f>IFERROR(('bloco 03'!AA12),"")</f>
        <v/>
      </c>
      <c r="F174" s="128">
        <f>'bloco 03'!AB12</f>
        <v/>
      </c>
      <c r="G174" s="129" t="n"/>
    </row>
    <row r="175" ht="21" customHeight="1" s="98">
      <c r="A175" s="125">
        <f>'bloco 03'!$W13</f>
        <v/>
      </c>
      <c r="B175" s="126">
        <f>'bloco 03'!X13</f>
        <v/>
      </c>
      <c r="C175" s="126">
        <f>'bloco 03'!Y13</f>
        <v/>
      </c>
      <c r="D175" s="126">
        <f>'bloco 03'!Z13</f>
        <v/>
      </c>
      <c r="E175" s="127">
        <f>IFERROR(('bloco 03'!AA13),"")</f>
        <v/>
      </c>
      <c r="F175" s="128">
        <f>'bloco 03'!AB13</f>
        <v/>
      </c>
      <c r="G175" s="129" t="n"/>
    </row>
    <row r="176" ht="21" customHeight="1" s="98">
      <c r="A176" s="125">
        <f>'bloco 03'!$W14</f>
        <v/>
      </c>
      <c r="B176" s="126">
        <f>'bloco 03'!X14</f>
        <v/>
      </c>
      <c r="C176" s="126">
        <f>'bloco 03'!Y14</f>
        <v/>
      </c>
      <c r="D176" s="126">
        <f>'bloco 03'!Z14</f>
        <v/>
      </c>
      <c r="E176" s="127">
        <f>IFERROR(('bloco 03'!AA14),"")</f>
        <v/>
      </c>
      <c r="F176" s="128">
        <f>'bloco 03'!AB14</f>
        <v/>
      </c>
      <c r="G176" s="129" t="n"/>
    </row>
    <row r="177" ht="21" customHeight="1" s="98">
      <c r="A177" s="125">
        <f>'bloco 03'!$W15</f>
        <v/>
      </c>
      <c r="B177" s="126">
        <f>'bloco 03'!X15</f>
        <v/>
      </c>
      <c r="C177" s="126">
        <f>'bloco 03'!Y15</f>
        <v/>
      </c>
      <c r="D177" s="126">
        <f>'bloco 03'!Z15</f>
        <v/>
      </c>
      <c r="E177" s="127">
        <f>IFERROR(('bloco 03'!AA15),"")</f>
        <v/>
      </c>
      <c r="F177" s="128">
        <f>'bloco 03'!AB15</f>
        <v/>
      </c>
      <c r="G177" s="129" t="n"/>
    </row>
    <row r="178" ht="26" customHeight="1" s="98">
      <c r="A178" s="118" t="inlineStr">
        <is>
          <t>TREINO 02</t>
        </is>
      </c>
    </row>
    <row r="179" ht="18" customHeight="1" s="98">
      <c r="A179" s="120" t="n"/>
      <c r="B179" s="120" t="inlineStr">
        <is>
          <t>SETS</t>
        </is>
      </c>
      <c r="C179" s="116" t="inlineStr">
        <is>
          <t>REPS</t>
        </is>
      </c>
      <c r="D179" s="116" t="inlineStr">
        <is>
          <t>KG</t>
        </is>
      </c>
      <c r="E179" s="116" t="inlineStr">
        <is>
          <t>%1RM / PSE</t>
        </is>
      </c>
      <c r="F179" s="116" t="inlineStr">
        <is>
          <t>OBS</t>
        </is>
      </c>
    </row>
    <row r="180" ht="21" customHeight="1" s="98">
      <c r="A180" s="125">
        <f>'bloco 03'!$W21</f>
        <v/>
      </c>
      <c r="B180" s="126">
        <f>'bloco 03'!X21</f>
        <v/>
      </c>
      <c r="C180" s="126">
        <f>'bloco 03'!Y21</f>
        <v/>
      </c>
      <c r="D180" s="126">
        <f>'bloco 03'!Z21</f>
        <v/>
      </c>
      <c r="E180" s="127">
        <f>IFERROR(('bloco 03'!AA21),"")</f>
        <v/>
      </c>
      <c r="F180" s="128">
        <f>'bloco 03'!AB21</f>
        <v/>
      </c>
      <c r="G180" s="129" t="n"/>
    </row>
    <row r="181" ht="21" customHeight="1" s="98">
      <c r="A181" s="125">
        <f>'bloco 03'!$W22</f>
        <v/>
      </c>
      <c r="B181" s="126">
        <f>'bloco 03'!X22</f>
        <v/>
      </c>
      <c r="C181" s="126">
        <f>'bloco 03'!Y22</f>
        <v/>
      </c>
      <c r="D181" s="126">
        <f>'bloco 03'!Z22</f>
        <v/>
      </c>
      <c r="E181" s="127">
        <f>IFERROR(('bloco 03'!AA22),"")</f>
        <v/>
      </c>
      <c r="F181" s="128">
        <f>'bloco 03'!AB22</f>
        <v/>
      </c>
      <c r="G181" s="129" t="n"/>
    </row>
    <row r="182" ht="21" customHeight="1" s="98">
      <c r="A182" s="125">
        <f>'bloco 03'!$W23</f>
        <v/>
      </c>
      <c r="B182" s="126">
        <f>'bloco 03'!X23</f>
        <v/>
      </c>
      <c r="C182" s="126">
        <f>'bloco 03'!Y23</f>
        <v/>
      </c>
      <c r="D182" s="126">
        <f>'bloco 03'!Z23</f>
        <v/>
      </c>
      <c r="E182" s="127">
        <f>IFERROR(('bloco 03'!AA23),"")</f>
        <v/>
      </c>
      <c r="F182" s="128">
        <f>'bloco 03'!AB23</f>
        <v/>
      </c>
      <c r="G182" s="129" t="n"/>
    </row>
    <row r="183" ht="21" customHeight="1" s="98">
      <c r="A183" s="125">
        <f>'bloco 03'!$W24</f>
        <v/>
      </c>
      <c r="B183" s="126">
        <f>'bloco 03'!X24</f>
        <v/>
      </c>
      <c r="C183" s="126">
        <f>'bloco 03'!Y24</f>
        <v/>
      </c>
      <c r="D183" s="126">
        <f>'bloco 03'!Z24</f>
        <v/>
      </c>
      <c r="E183" s="127">
        <f>IFERROR(('bloco 03'!AA24),"")</f>
        <v/>
      </c>
      <c r="F183" s="128">
        <f>'bloco 03'!AB24</f>
        <v/>
      </c>
      <c r="G183" s="129" t="n"/>
    </row>
    <row r="184" ht="21" customHeight="1" s="98">
      <c r="A184" s="125">
        <f>'bloco 03'!$W25</f>
        <v/>
      </c>
      <c r="B184" s="126">
        <f>'bloco 03'!X25</f>
        <v/>
      </c>
      <c r="C184" s="126">
        <f>'bloco 03'!Y25</f>
        <v/>
      </c>
      <c r="D184" s="126">
        <f>'bloco 03'!Z25</f>
        <v/>
      </c>
      <c r="E184" s="127">
        <f>IFERROR(('bloco 03'!AA25),"")</f>
        <v/>
      </c>
      <c r="F184" s="128">
        <f>'bloco 03'!AB25</f>
        <v/>
      </c>
      <c r="G184" s="129" t="n"/>
    </row>
    <row r="185" ht="21" customHeight="1" s="98">
      <c r="A185" s="125">
        <f>'bloco 03'!$W26</f>
        <v/>
      </c>
      <c r="B185" s="126">
        <f>'bloco 03'!X26</f>
        <v/>
      </c>
      <c r="C185" s="126">
        <f>'bloco 03'!Y26</f>
        <v/>
      </c>
      <c r="D185" s="126">
        <f>'bloco 03'!Z26</f>
        <v/>
      </c>
      <c r="E185" s="127">
        <f>IFERROR(('bloco 03'!AA26),"")</f>
        <v/>
      </c>
      <c r="F185" s="128">
        <f>'bloco 03'!AB26</f>
        <v/>
      </c>
      <c r="G185" s="129" t="n"/>
    </row>
    <row r="186" ht="21" customHeight="1" s="98">
      <c r="A186" s="125">
        <f>'bloco 03'!$W27</f>
        <v/>
      </c>
      <c r="B186" s="126">
        <f>'bloco 03'!X27</f>
        <v/>
      </c>
      <c r="C186" s="126">
        <f>'bloco 03'!Y27</f>
        <v/>
      </c>
      <c r="D186" s="126">
        <f>'bloco 03'!Z27</f>
        <v/>
      </c>
      <c r="E186" s="127">
        <f>IFERROR(('bloco 03'!AA27),"")</f>
        <v/>
      </c>
      <c r="F186" s="128">
        <f>'bloco 03'!AB27</f>
        <v/>
      </c>
      <c r="G186" s="129" t="n"/>
    </row>
    <row r="187" ht="21" customHeight="1" s="98">
      <c r="A187" s="125">
        <f>'bloco 03'!$W28</f>
        <v/>
      </c>
      <c r="B187" s="126">
        <f>'bloco 03'!X28</f>
        <v/>
      </c>
      <c r="C187" s="126">
        <f>'bloco 03'!Y28</f>
        <v/>
      </c>
      <c r="D187" s="126">
        <f>'bloco 03'!Z28</f>
        <v/>
      </c>
      <c r="E187" s="127">
        <f>IFERROR(('bloco 03'!AA28),"")</f>
        <v/>
      </c>
      <c r="F187" s="128">
        <f>'bloco 03'!AB28</f>
        <v/>
      </c>
      <c r="G187" s="129" t="n"/>
    </row>
    <row r="188" ht="21" customHeight="1" s="98">
      <c r="A188" s="125">
        <f>'bloco 03'!$W29</f>
        <v/>
      </c>
      <c r="B188" s="126">
        <f>'bloco 03'!X29</f>
        <v/>
      </c>
      <c r="C188" s="126">
        <f>'bloco 03'!Y29</f>
        <v/>
      </c>
      <c r="D188" s="126">
        <f>'bloco 03'!Z29</f>
        <v/>
      </c>
      <c r="E188" s="127">
        <f>IFERROR(('bloco 03'!AA29),"")</f>
        <v/>
      </c>
      <c r="F188" s="128">
        <f>'bloco 03'!AB29</f>
        <v/>
      </c>
      <c r="G188" s="129" t="n"/>
    </row>
    <row r="189" ht="21" customHeight="1" s="98">
      <c r="A189" s="125">
        <f>'bloco 03'!$W30</f>
        <v/>
      </c>
      <c r="B189" s="126">
        <f>'bloco 03'!X30</f>
        <v/>
      </c>
      <c r="C189" s="126">
        <f>'bloco 03'!Y30</f>
        <v/>
      </c>
      <c r="D189" s="126">
        <f>'bloco 03'!Z30</f>
        <v/>
      </c>
      <c r="E189" s="127">
        <f>IFERROR(('bloco 03'!AA30),"")</f>
        <v/>
      </c>
      <c r="F189" s="128">
        <f>'bloco 03'!AB30</f>
        <v/>
      </c>
      <c r="G189" s="129" t="n"/>
    </row>
    <row r="190" ht="26" customHeight="1" s="98">
      <c r="A190" s="118" t="inlineStr">
        <is>
          <t>TREINO 03</t>
        </is>
      </c>
    </row>
    <row r="191" ht="18" customHeight="1" s="98">
      <c r="A191" s="120" t="n"/>
      <c r="B191" s="120" t="inlineStr">
        <is>
          <t>SETS</t>
        </is>
      </c>
      <c r="C191" s="116" t="inlineStr">
        <is>
          <t>REPS</t>
        </is>
      </c>
      <c r="D191" s="116" t="inlineStr">
        <is>
          <t>KG</t>
        </is>
      </c>
      <c r="E191" s="116" t="inlineStr">
        <is>
          <t>%1RM / PSE</t>
        </is>
      </c>
      <c r="F191" s="116" t="inlineStr">
        <is>
          <t>OBS</t>
        </is>
      </c>
    </row>
    <row r="192" ht="21" customHeight="1" s="98">
      <c r="A192" s="125">
        <f>'bloco 03'!$W36</f>
        <v/>
      </c>
      <c r="B192" s="126">
        <f>'bloco 03'!X36</f>
        <v/>
      </c>
      <c r="C192" s="126">
        <f>'bloco 03'!Y36</f>
        <v/>
      </c>
      <c r="D192" s="126">
        <f>'bloco 03'!Z36</f>
        <v/>
      </c>
      <c r="E192" s="127">
        <f>IFERROR(('bloco 03'!AA36),"")</f>
        <v/>
      </c>
      <c r="F192" s="128">
        <f>'bloco 03'!AB36</f>
        <v/>
      </c>
      <c r="G192" s="129" t="n"/>
    </row>
    <row r="193" ht="21" customHeight="1" s="98">
      <c r="A193" s="125">
        <f>'bloco 03'!$W37</f>
        <v/>
      </c>
      <c r="B193" s="126">
        <f>'bloco 03'!X37</f>
        <v/>
      </c>
      <c r="C193" s="126">
        <f>'bloco 03'!Y37</f>
        <v/>
      </c>
      <c r="D193" s="126">
        <f>'bloco 03'!Z37</f>
        <v/>
      </c>
      <c r="E193" s="127">
        <f>IFERROR(('bloco 03'!AA37),"")</f>
        <v/>
      </c>
      <c r="F193" s="128">
        <f>'bloco 03'!AB37</f>
        <v/>
      </c>
      <c r="G193" s="129" t="n"/>
    </row>
    <row r="194" ht="21" customHeight="1" s="98">
      <c r="A194" s="125">
        <f>'bloco 03'!$W38</f>
        <v/>
      </c>
      <c r="B194" s="126">
        <f>'bloco 03'!X38</f>
        <v/>
      </c>
      <c r="C194" s="126">
        <f>'bloco 03'!Y38</f>
        <v/>
      </c>
      <c r="D194" s="126">
        <f>'bloco 03'!Z38</f>
        <v/>
      </c>
      <c r="E194" s="127">
        <f>IFERROR(('bloco 03'!AA38),"")</f>
        <v/>
      </c>
      <c r="F194" s="128">
        <f>'bloco 03'!AB38</f>
        <v/>
      </c>
      <c r="G194" s="129" t="n"/>
    </row>
    <row r="195" ht="21" customHeight="1" s="98">
      <c r="A195" s="125">
        <f>'bloco 03'!$W39</f>
        <v/>
      </c>
      <c r="B195" s="126">
        <f>'bloco 03'!X39</f>
        <v/>
      </c>
      <c r="C195" s="126">
        <f>'bloco 03'!Y39</f>
        <v/>
      </c>
      <c r="D195" s="126">
        <f>'bloco 03'!Z39</f>
        <v/>
      </c>
      <c r="E195" s="127">
        <f>IFERROR(('bloco 03'!AA39),"")</f>
        <v/>
      </c>
      <c r="F195" s="128">
        <f>'bloco 03'!AB39</f>
        <v/>
      </c>
      <c r="G195" s="129" t="n"/>
    </row>
    <row r="196" ht="21" customHeight="1" s="98">
      <c r="A196" s="125">
        <f>'bloco 03'!$W40</f>
        <v/>
      </c>
      <c r="B196" s="126">
        <f>'bloco 03'!X40</f>
        <v/>
      </c>
      <c r="C196" s="126">
        <f>'bloco 03'!Y40</f>
        <v/>
      </c>
      <c r="D196" s="126">
        <f>'bloco 03'!Z40</f>
        <v/>
      </c>
      <c r="E196" s="127">
        <f>IFERROR(('bloco 03'!AA40),"")</f>
        <v/>
      </c>
      <c r="F196" s="128">
        <f>'bloco 03'!AB40</f>
        <v/>
      </c>
      <c r="G196" s="129" t="n"/>
    </row>
    <row r="197" ht="21" customHeight="1" s="98">
      <c r="A197" s="125">
        <f>'bloco 03'!$W41</f>
        <v/>
      </c>
      <c r="B197" s="126">
        <f>'bloco 03'!X41</f>
        <v/>
      </c>
      <c r="C197" s="126">
        <f>'bloco 03'!Y41</f>
        <v/>
      </c>
      <c r="D197" s="126">
        <f>'bloco 03'!Z41</f>
        <v/>
      </c>
      <c r="E197" s="127">
        <f>IFERROR(('bloco 03'!AA41),"")</f>
        <v/>
      </c>
      <c r="F197" s="128">
        <f>'bloco 03'!AB41</f>
        <v/>
      </c>
      <c r="G197" s="129" t="n"/>
    </row>
    <row r="198" ht="21" customHeight="1" s="98">
      <c r="A198" s="125">
        <f>'bloco 03'!$W42</f>
        <v/>
      </c>
      <c r="B198" s="126">
        <f>'bloco 03'!X42</f>
        <v/>
      </c>
      <c r="C198" s="126">
        <f>'bloco 03'!Y42</f>
        <v/>
      </c>
      <c r="D198" s="126">
        <f>'bloco 03'!Z42</f>
        <v/>
      </c>
      <c r="E198" s="127">
        <f>IFERROR(('bloco 03'!AA42),"")</f>
        <v/>
      </c>
      <c r="F198" s="128">
        <f>'bloco 03'!AB42</f>
        <v/>
      </c>
      <c r="G198" s="129" t="n"/>
    </row>
    <row r="199" ht="21" customHeight="1" s="98">
      <c r="A199" s="125">
        <f>'bloco 03'!$W43</f>
        <v/>
      </c>
      <c r="B199" s="126">
        <f>'bloco 03'!X43</f>
        <v/>
      </c>
      <c r="C199" s="126">
        <f>'bloco 03'!Y43</f>
        <v/>
      </c>
      <c r="D199" s="126">
        <f>'bloco 03'!Z43</f>
        <v/>
      </c>
      <c r="E199" s="127">
        <f>IFERROR(('bloco 03'!AA43),"")</f>
        <v/>
      </c>
      <c r="F199" s="128">
        <f>'bloco 03'!AB43</f>
        <v/>
      </c>
      <c r="G199" s="129" t="n"/>
    </row>
    <row r="200" ht="21" customHeight="1" s="98">
      <c r="A200" s="125">
        <f>'bloco 03'!$W44</f>
        <v/>
      </c>
      <c r="B200" s="126">
        <f>'bloco 03'!X44</f>
        <v/>
      </c>
      <c r="C200" s="126">
        <f>'bloco 03'!Y44</f>
        <v/>
      </c>
      <c r="D200" s="126">
        <f>'bloco 03'!Z44</f>
        <v/>
      </c>
      <c r="E200" s="127">
        <f>IFERROR(('bloco 03'!AA44),"")</f>
        <v/>
      </c>
      <c r="F200" s="128">
        <f>'bloco 03'!AB44</f>
        <v/>
      </c>
      <c r="G200" s="129" t="n"/>
    </row>
    <row r="201" ht="21" customHeight="1" s="98">
      <c r="A201" s="125">
        <f>'bloco 03'!$W45</f>
        <v/>
      </c>
      <c r="B201" s="126">
        <f>'bloco 03'!X45</f>
        <v/>
      </c>
      <c r="C201" s="126">
        <f>'bloco 03'!Y45</f>
        <v/>
      </c>
      <c r="D201" s="126">
        <f>'bloco 03'!Z45</f>
        <v/>
      </c>
      <c r="E201" s="127">
        <f>IFERROR(('bloco 03'!AA45),"")</f>
        <v/>
      </c>
      <c r="F201" s="128">
        <f>'bloco 03'!AB45</f>
        <v/>
      </c>
      <c r="G201" s="129" t="n"/>
    </row>
    <row r="202" ht="21" customHeight="1" s="98">
      <c r="A202" s="119" t="n"/>
    </row>
    <row r="203" ht="21" customHeight="1" s="98"/>
    <row r="204" ht="21" customHeight="1" s="98"/>
    <row r="205" ht="21" customHeight="1" s="98"/>
    <row r="206" ht="21" customHeight="1" s="98"/>
    <row r="207" ht="21" customHeight="1" s="98"/>
    <row r="208" ht="21" customHeight="1" s="98"/>
    <row r="209" ht="21" customHeight="1" s="98"/>
    <row r="210" ht="21" customHeight="1" s="98"/>
    <row r="211" ht="21" customHeight="1" s="98"/>
    <row r="212" ht="21" customHeight="1" s="98"/>
    <row r="213" ht="21" customHeight="1" s="98"/>
    <row r="214" ht="21" customHeight="1" s="98"/>
    <row r="215" ht="21" customHeight="1" s="98"/>
    <row r="216" ht="21" customHeight="1" s="98"/>
    <row r="217" ht="21" customHeight="1" s="98"/>
    <row r="218" ht="21" customHeight="1" s="98"/>
    <row r="219" ht="21" customHeight="1" s="98">
      <c r="A219" s="114" t="n"/>
      <c r="B219" s="114" t="n"/>
      <c r="C219" s="114" t="n"/>
      <c r="D219" s="114" t="n"/>
      <c r="E219" s="114" t="n"/>
      <c r="F219" s="114" t="n"/>
      <c r="G219" s="114" t="n"/>
    </row>
    <row r="220" ht="21" customHeight="1" s="98">
      <c r="A220" s="114" t="n"/>
      <c r="B220" s="114" t="n"/>
      <c r="C220" s="114" t="n"/>
      <c r="D220" s="114" t="n"/>
      <c r="E220" s="114" t="n"/>
      <c r="F220" s="114" t="n"/>
      <c r="G220" s="114" t="n"/>
    </row>
    <row r="221" ht="21" customHeight="1" s="98">
      <c r="A221" s="114" t="n"/>
      <c r="B221" s="114" t="n"/>
      <c r="C221" s="114" t="n"/>
      <c r="D221" s="114" t="n"/>
      <c r="E221" s="114" t="n"/>
      <c r="F221" s="114" t="n"/>
      <c r="G221" s="114" t="n"/>
    </row>
    <row r="222" ht="21" customHeight="1" s="98">
      <c r="A222" s="114" t="n"/>
      <c r="B222" s="114" t="n"/>
      <c r="C222" s="114" t="n"/>
      <c r="D222" s="114" t="n"/>
      <c r="E222" s="114" t="n"/>
      <c r="F222" s="114" t="n"/>
      <c r="G222" s="114" t="n"/>
    </row>
    <row r="223" ht="21" customHeight="1" s="98">
      <c r="A223" s="114" t="n"/>
      <c r="B223" s="114" t="n"/>
      <c r="C223" s="114" t="n"/>
      <c r="D223" s="114" t="n"/>
      <c r="E223" s="114" t="n"/>
      <c r="F223" s="114" t="n"/>
      <c r="G223" s="114" t="n"/>
    </row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166">
    <mergeCell ref="A202:G218"/>
    <mergeCell ref="E13:G13"/>
    <mergeCell ref="F116:G116"/>
    <mergeCell ref="F29:G29"/>
    <mergeCell ref="A17:G17"/>
    <mergeCell ref="F187:G187"/>
    <mergeCell ref="F172:G172"/>
    <mergeCell ref="F25:G25"/>
    <mergeCell ref="A109:G109"/>
    <mergeCell ref="F196:G196"/>
    <mergeCell ref="F174:G174"/>
    <mergeCell ref="F168:G168"/>
    <mergeCell ref="F84:G84"/>
    <mergeCell ref="A42:G42"/>
    <mergeCell ref="A68:G68"/>
    <mergeCell ref="A190:G190"/>
    <mergeCell ref="F143:G143"/>
    <mergeCell ref="E15:G15"/>
    <mergeCell ref="F118:G118"/>
    <mergeCell ref="A111:G111"/>
    <mergeCell ref="F133:G133"/>
    <mergeCell ref="F173:G173"/>
    <mergeCell ref="F86:G86"/>
    <mergeCell ref="F142:G142"/>
    <mergeCell ref="A30:G30"/>
    <mergeCell ref="F70:G70"/>
    <mergeCell ref="A11:G11"/>
    <mergeCell ref="F79:G79"/>
    <mergeCell ref="F144:G144"/>
    <mergeCell ref="F122:G122"/>
    <mergeCell ref="F125:G125"/>
    <mergeCell ref="F72:G72"/>
    <mergeCell ref="F185:G185"/>
    <mergeCell ref="F134:G134"/>
    <mergeCell ref="F199:G199"/>
    <mergeCell ref="F23:G23"/>
    <mergeCell ref="F81:G81"/>
    <mergeCell ref="F121:G121"/>
    <mergeCell ref="F71:G71"/>
    <mergeCell ref="F43:G43"/>
    <mergeCell ref="F176:G176"/>
    <mergeCell ref="F170:G170"/>
    <mergeCell ref="F120:G120"/>
    <mergeCell ref="F175:G175"/>
    <mergeCell ref="F88:G88"/>
    <mergeCell ref="F57:G57"/>
    <mergeCell ref="F171:G171"/>
    <mergeCell ref="A8:G8"/>
    <mergeCell ref="F19:G19"/>
    <mergeCell ref="F34:G34"/>
    <mergeCell ref="B1:G1"/>
    <mergeCell ref="F63:G63"/>
    <mergeCell ref="F146:G146"/>
    <mergeCell ref="A165:G165"/>
    <mergeCell ref="F74:G74"/>
    <mergeCell ref="F83:G83"/>
    <mergeCell ref="F138:G138"/>
    <mergeCell ref="F20:G20"/>
    <mergeCell ref="F76:G76"/>
    <mergeCell ref="F33:G33"/>
    <mergeCell ref="F45:G45"/>
    <mergeCell ref="F189:G189"/>
    <mergeCell ref="F85:G85"/>
    <mergeCell ref="F198:G198"/>
    <mergeCell ref="A166:G166"/>
    <mergeCell ref="F66:G66"/>
    <mergeCell ref="F188:G188"/>
    <mergeCell ref="F126:G126"/>
    <mergeCell ref="F75:G75"/>
    <mergeCell ref="F47:G47"/>
    <mergeCell ref="F62:G62"/>
    <mergeCell ref="F31:G31"/>
    <mergeCell ref="F46:G46"/>
    <mergeCell ref="F28:G28"/>
    <mergeCell ref="F61:G61"/>
    <mergeCell ref="F39:G39"/>
    <mergeCell ref="F167:G167"/>
    <mergeCell ref="A80:G80"/>
    <mergeCell ref="F48:G48"/>
    <mergeCell ref="A55:G55"/>
    <mergeCell ref="F136:G136"/>
    <mergeCell ref="F64:G64"/>
    <mergeCell ref="F73:G73"/>
    <mergeCell ref="F87:G87"/>
    <mergeCell ref="F128:G128"/>
    <mergeCell ref="F137:G137"/>
    <mergeCell ref="F89:G89"/>
    <mergeCell ref="F124:G124"/>
    <mergeCell ref="F21:G21"/>
    <mergeCell ref="F192:G192"/>
    <mergeCell ref="F201:G201"/>
    <mergeCell ref="F53:G53"/>
    <mergeCell ref="F139:G139"/>
    <mergeCell ref="F114:G114"/>
    <mergeCell ref="F36:G36"/>
    <mergeCell ref="F194:G194"/>
    <mergeCell ref="F50:G50"/>
    <mergeCell ref="F181:G181"/>
    <mergeCell ref="A123:G123"/>
    <mergeCell ref="A1:A3"/>
    <mergeCell ref="F91:G91"/>
    <mergeCell ref="A110:G110"/>
    <mergeCell ref="C2:G2"/>
    <mergeCell ref="F180:G180"/>
    <mergeCell ref="F141:G141"/>
    <mergeCell ref="E12:G12"/>
    <mergeCell ref="A16:G16"/>
    <mergeCell ref="F22:G22"/>
    <mergeCell ref="F115:G115"/>
    <mergeCell ref="F77:G77"/>
    <mergeCell ref="F117:G117"/>
    <mergeCell ref="E14:G14"/>
    <mergeCell ref="A18:G18"/>
    <mergeCell ref="A9:G10"/>
    <mergeCell ref="F49:G49"/>
    <mergeCell ref="F119:G119"/>
    <mergeCell ref="F69:G69"/>
    <mergeCell ref="F182:G182"/>
    <mergeCell ref="A135:G135"/>
    <mergeCell ref="F78:G78"/>
    <mergeCell ref="F191:G191"/>
    <mergeCell ref="F112:G112"/>
    <mergeCell ref="F183:G183"/>
    <mergeCell ref="F65:G65"/>
    <mergeCell ref="A92:G108"/>
    <mergeCell ref="C3:G3"/>
    <mergeCell ref="F193:G193"/>
    <mergeCell ref="F127:G127"/>
    <mergeCell ref="F40:G40"/>
    <mergeCell ref="F59:G59"/>
    <mergeCell ref="F24:G24"/>
    <mergeCell ref="F177:G177"/>
    <mergeCell ref="F169:G169"/>
    <mergeCell ref="F51:G51"/>
    <mergeCell ref="F113:G113"/>
    <mergeCell ref="F32:G32"/>
    <mergeCell ref="F145:G145"/>
    <mergeCell ref="F26:G26"/>
    <mergeCell ref="F41:G41"/>
    <mergeCell ref="F35:G35"/>
    <mergeCell ref="A178:G178"/>
    <mergeCell ref="F129:G129"/>
    <mergeCell ref="F200:G200"/>
    <mergeCell ref="F38:G38"/>
    <mergeCell ref="F90:G90"/>
    <mergeCell ref="A54:G54"/>
    <mergeCell ref="F184:G184"/>
    <mergeCell ref="F131:G131"/>
    <mergeCell ref="F27:G27"/>
    <mergeCell ref="F58:G58"/>
    <mergeCell ref="F140:G140"/>
    <mergeCell ref="F52:G52"/>
    <mergeCell ref="F67:G67"/>
    <mergeCell ref="A164:G164"/>
    <mergeCell ref="F37:G37"/>
    <mergeCell ref="F186:G186"/>
    <mergeCell ref="A56:G56"/>
    <mergeCell ref="F195:G195"/>
    <mergeCell ref="F130:G130"/>
    <mergeCell ref="F82:G82"/>
    <mergeCell ref="F60:G60"/>
    <mergeCell ref="A147:G163"/>
    <mergeCell ref="F179:G179"/>
    <mergeCell ref="F132:G132"/>
    <mergeCell ref="F197:G197"/>
    <mergeCell ref="F44:G44"/>
  </mergeCells>
  <printOptions horizontalCentered="1"/>
  <pageMargins left="0.7" right="0.7" top="0.75" bottom="0.75" header="0" footer="0"/>
  <pageSetup orientation="portrait" paperSize="9" fitToHeight="0" pageOrder="overThenDown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000000"/>
    <outlinePr summaryBelow="0" summaryRight="0"/>
    <pageSetUpPr/>
  </sheetPr>
  <dimension ref="A1:AC51"/>
  <sheetViews>
    <sheetView showGridLines="0" workbookViewId="0">
      <selection activeCell="A1" sqref="A1"/>
    </sheetView>
  </sheetViews>
  <sheetFormatPr baseColWidth="8" defaultColWidth="12.63" defaultRowHeight="15" customHeight="1"/>
  <cols>
    <col width="6.38" customWidth="1" style="98" min="1" max="1"/>
    <col width="31.38" customWidth="1" style="98" min="2" max="2"/>
    <col width="6.38" customWidth="1" style="98" min="3" max="6"/>
    <col width="9.5" customWidth="1" style="98" min="7" max="7"/>
    <col width="6.38" customWidth="1" style="98" min="8" max="8"/>
    <col width="31.38" customWidth="1" style="98" min="9" max="9"/>
    <col width="6.38" customWidth="1" style="98" min="10" max="13"/>
    <col width="9.5" customWidth="1" style="98" min="14" max="14"/>
    <col width="6.38" customWidth="1" style="98" min="15" max="15"/>
    <col width="31.38" customWidth="1" style="98" min="16" max="16"/>
    <col width="6.38" customWidth="1" style="98" min="17" max="20"/>
    <col width="9.5" customWidth="1" style="98" min="21" max="21"/>
    <col width="6.38" customWidth="1" style="98" min="22" max="22"/>
    <col width="31.38" customWidth="1" style="98" min="23" max="23"/>
    <col width="6.38" customWidth="1" style="98" min="24" max="27"/>
    <col width="9.5" customWidth="1" style="98" min="28" max="28"/>
    <col width="6.38" customWidth="1" style="98" min="29" max="29"/>
  </cols>
  <sheetData>
    <row r="1" ht="30" customHeight="1" s="98">
      <c r="A1" s="130" t="inlineStr">
        <is>
          <t>BLOCO 03</t>
        </is>
      </c>
      <c r="B1" s="130" t="n"/>
      <c r="C1" s="132" t="n"/>
      <c r="D1" s="133" t="n"/>
      <c r="E1" s="134" t="n"/>
      <c r="F1" s="134" t="n"/>
      <c r="G1" s="135" t="n"/>
      <c r="H1" s="136" t="n"/>
      <c r="I1" s="130" t="n"/>
      <c r="J1" s="134" t="n"/>
      <c r="K1" s="134" t="n"/>
      <c r="L1" s="134" t="n"/>
      <c r="M1" s="130" t="n"/>
      <c r="N1" s="135" t="n"/>
      <c r="O1" s="130" t="n"/>
      <c r="P1" s="130" t="n"/>
      <c r="Q1" s="134" t="n"/>
      <c r="R1" s="134" t="n"/>
      <c r="S1" s="134" t="n"/>
      <c r="T1" s="134" t="n"/>
      <c r="U1" s="135" t="n"/>
      <c r="V1" s="130" t="n"/>
      <c r="W1" s="130" t="n"/>
      <c r="X1" s="134" t="n"/>
      <c r="Y1" s="134" t="n"/>
      <c r="Z1" s="134" t="n"/>
      <c r="AA1" s="134" t="n"/>
      <c r="AB1" s="134" t="n"/>
      <c r="AC1" s="134" t="n"/>
    </row>
    <row r="2" ht="8" customHeight="1" s="98">
      <c r="A2" s="137" t="n"/>
      <c r="B2" s="137" t="n"/>
      <c r="C2" s="137" t="n"/>
      <c r="D2" s="137" t="n"/>
      <c r="H2" s="137" t="n"/>
      <c r="I2" s="137" t="n"/>
      <c r="J2" s="137" t="n"/>
      <c r="K2" s="137" t="n"/>
      <c r="O2" s="137" t="n"/>
      <c r="P2" s="137" t="n"/>
      <c r="Q2" s="137" t="n"/>
      <c r="R2" s="137" t="n"/>
      <c r="V2" s="137" t="n"/>
      <c r="W2" s="137" t="n"/>
      <c r="X2" s="137" t="n"/>
      <c r="Y2" s="137" t="n"/>
      <c r="AC2" s="137" t="n"/>
    </row>
    <row r="3" ht="26" customHeight="1" s="98">
      <c r="A3" s="138" t="inlineStr">
        <is>
          <t>TREINO 01</t>
        </is>
      </c>
      <c r="B3" s="139" t="n"/>
      <c r="C3" s="140">
        <f>macro!J6</f>
        <v/>
      </c>
      <c r="D3" s="141" t="n"/>
      <c r="E3" s="141" t="n"/>
      <c r="F3" s="141" t="n"/>
      <c r="G3" s="141" t="n"/>
      <c r="H3" s="118" t="n"/>
      <c r="I3" s="139" t="n"/>
      <c r="J3" s="140">
        <f>C3+7</f>
        <v/>
      </c>
      <c r="K3" s="141" t="n"/>
      <c r="L3" s="141" t="n"/>
      <c r="M3" s="141" t="n"/>
      <c r="N3" s="141" t="n"/>
      <c r="O3" s="118" t="n"/>
      <c r="P3" s="139" t="n"/>
      <c r="Q3" s="140">
        <f>J3+7</f>
        <v/>
      </c>
      <c r="R3" s="141" t="n"/>
      <c r="S3" s="141" t="n"/>
      <c r="T3" s="141" t="n"/>
      <c r="U3" s="141" t="n"/>
      <c r="V3" s="118" t="n"/>
      <c r="W3" s="139" t="n"/>
      <c r="X3" s="140">
        <f>Q3+7</f>
        <v/>
      </c>
      <c r="Y3" s="141" t="n"/>
      <c r="Z3" s="141" t="n"/>
      <c r="AA3" s="141" t="n"/>
      <c r="AB3" s="141" t="n"/>
      <c r="AC3" s="118" t="n"/>
    </row>
    <row r="4" ht="18" customHeight="1" s="98">
      <c r="A4" s="142" t="n"/>
      <c r="B4" s="143" t="n"/>
      <c r="C4" s="144" t="inlineStr">
        <is>
          <t>SETS</t>
        </is>
      </c>
      <c r="D4" s="144" t="inlineStr">
        <is>
          <t>REPS</t>
        </is>
      </c>
      <c r="E4" s="144" t="inlineStr">
        <is>
          <t>KG</t>
        </is>
      </c>
      <c r="F4" s="144" t="inlineStr">
        <is>
          <t>%1RM</t>
        </is>
      </c>
      <c r="G4" s="144" t="inlineStr">
        <is>
          <t>OBS</t>
        </is>
      </c>
      <c r="H4" s="137" t="n"/>
      <c r="I4" s="143" t="n"/>
      <c r="J4" s="144" t="inlineStr">
        <is>
          <t>SETS</t>
        </is>
      </c>
      <c r="K4" s="144" t="inlineStr">
        <is>
          <t>REPS</t>
        </is>
      </c>
      <c r="L4" s="144" t="inlineStr">
        <is>
          <t>KG</t>
        </is>
      </c>
      <c r="M4" s="144" t="inlineStr">
        <is>
          <t>%1RM</t>
        </is>
      </c>
      <c r="N4" s="144" t="inlineStr">
        <is>
          <t>OBS</t>
        </is>
      </c>
      <c r="O4" s="137" t="n"/>
      <c r="P4" s="143" t="n"/>
      <c r="Q4" s="144" t="inlineStr">
        <is>
          <t>SETS</t>
        </is>
      </c>
      <c r="R4" s="144" t="inlineStr">
        <is>
          <t>REPS</t>
        </is>
      </c>
      <c r="S4" s="144" t="inlineStr">
        <is>
          <t>KG</t>
        </is>
      </c>
      <c r="T4" s="144" t="inlineStr">
        <is>
          <t>%1RM</t>
        </is>
      </c>
      <c r="U4" s="144" t="inlineStr">
        <is>
          <t>OBS</t>
        </is>
      </c>
      <c r="V4" s="137" t="n"/>
      <c r="W4" s="143" t="n"/>
      <c r="X4" s="144" t="inlineStr">
        <is>
          <t>SETS</t>
        </is>
      </c>
      <c r="Y4" s="144" t="inlineStr">
        <is>
          <t>REPS</t>
        </is>
      </c>
      <c r="Z4" s="144" t="inlineStr">
        <is>
          <t>KG</t>
        </is>
      </c>
      <c r="AA4" s="144" t="inlineStr">
        <is>
          <t>%1RM</t>
        </is>
      </c>
      <c r="AB4" s="144" t="inlineStr">
        <is>
          <t>OBS</t>
        </is>
      </c>
      <c r="AC4" s="137" t="n"/>
    </row>
    <row r="5" ht="18" customHeight="1" s="98">
      <c r="A5" s="142" t="n"/>
      <c r="B5" s="120" t="inlineStr">
        <is>
          <t>exercícios</t>
        </is>
      </c>
      <c r="C5" s="116" t="n"/>
      <c r="D5" s="116" t="n"/>
      <c r="E5" s="116" t="n"/>
      <c r="F5" s="116" t="inlineStr">
        <is>
          <t>pse</t>
        </is>
      </c>
      <c r="G5" s="116" t="n"/>
      <c r="H5" s="137" t="n"/>
      <c r="I5" s="120" t="inlineStr">
        <is>
          <t>exercícios</t>
        </is>
      </c>
      <c r="J5" s="116" t="n"/>
      <c r="K5" s="116" t="n"/>
      <c r="L5" s="116" t="n"/>
      <c r="M5" s="116" t="inlineStr">
        <is>
          <t>pse</t>
        </is>
      </c>
      <c r="N5" s="116" t="n"/>
      <c r="O5" s="137" t="n"/>
      <c r="P5" s="120" t="inlineStr">
        <is>
          <t>exercícios</t>
        </is>
      </c>
      <c r="Q5" s="116" t="n"/>
      <c r="R5" s="116" t="n"/>
      <c r="S5" s="116" t="n"/>
      <c r="T5" s="116" t="inlineStr">
        <is>
          <t>pse</t>
        </is>
      </c>
      <c r="U5" s="116" t="n"/>
      <c r="V5" s="137" t="n"/>
      <c r="W5" s="120" t="inlineStr">
        <is>
          <t>exercícios</t>
        </is>
      </c>
      <c r="X5" s="116" t="n"/>
      <c r="Y5" s="116" t="n"/>
      <c r="Z5" s="116" t="n"/>
      <c r="AA5" s="116" t="inlineStr">
        <is>
          <t>pse</t>
        </is>
      </c>
      <c r="AB5" s="116" t="n"/>
      <c r="AC5" s="137" t="n"/>
    </row>
    <row r="6" ht="21" customHeight="1" s="98">
      <c r="A6" s="137" t="n"/>
      <c r="B6" s="125" t="n"/>
      <c r="C6" s="145" t="n"/>
      <c r="D6" s="145" t="n"/>
      <c r="E6" s="145" t="n"/>
      <c r="F6" s="127">
        <f>IFERROR(__xludf.DUMMYFUNCTION("IFERROR($E6/INDEX(prs!$D$30:$D$36,MATCH(TRUE,ARRAYFORMULA(ISNUMBER(SEARCH(prs!$A$30:$A$36,$B6))),0)),"""")"),"")</f>
        <v/>
      </c>
      <c r="G6" s="128" t="n"/>
      <c r="H6" s="149" t="n"/>
      <c r="I6" s="125" t="n"/>
      <c r="J6" s="145" t="n"/>
      <c r="K6" s="145" t="n"/>
      <c r="L6" s="145" t="n"/>
      <c r="M6" s="127">
        <f>IFERROR(__xludf.DUMMYFUNCTION("IFERROR($L6/INDEX(prs!$D$30:$D$36,MATCH(TRUE,ARRAYFORMULA(ISNUMBER(SEARCH(prs!$A$30:$A$36,$I6))),0)),"""")"),"")</f>
        <v/>
      </c>
      <c r="N6" s="128" t="n"/>
      <c r="O6" s="149" t="n"/>
      <c r="P6" s="125" t="n"/>
      <c r="Q6" s="145" t="n"/>
      <c r="R6" s="145" t="n"/>
      <c r="S6" s="145" t="n"/>
      <c r="T6" s="127">
        <f>IFERROR(__xludf.DUMMYFUNCTION("IFERROR($S6/INDEX(prs!$D$30:$D$36,MATCH(TRUE,ARRAYFORMULA(ISNUMBER(SEARCH(prs!$A$30:$A$36,$P6))),0)),"""")"),"")</f>
        <v/>
      </c>
      <c r="U6" s="128" t="n"/>
      <c r="V6" s="149" t="n"/>
      <c r="W6" s="125" t="n"/>
      <c r="X6" s="145" t="n"/>
      <c r="Y6" s="145" t="n"/>
      <c r="Z6" s="145" t="n"/>
      <c r="AA6" s="127">
        <f>IFERROR(__xludf.DUMMYFUNCTION("IFERROR($Z6/INDEX(prs!$D$30:$D$36,MATCH(TRUE,ARRAYFORMULA(ISNUMBER(SEARCH(prs!$A$30:$A$36,$W6))),0)),"""")"),"")</f>
        <v/>
      </c>
      <c r="AB6" s="128" t="n"/>
      <c r="AC6" s="137" t="n"/>
    </row>
    <row r="7" ht="21" customHeight="1" s="98">
      <c r="A7" s="137" t="n"/>
      <c r="B7" s="125" t="n"/>
      <c r="C7" s="145" t="n"/>
      <c r="D7" s="145" t="n"/>
      <c r="E7" s="145" t="n"/>
      <c r="F7" s="127">
        <f>IFERROR(__xludf.DUMMYFUNCTION("IFERROR($E7/INDEX(prs!$D$30:$D$36,MATCH(TRUE,ARRAYFORMULA(ISNUMBER(SEARCH(prs!$A$30:$A$36,$B7))),0)),"""")"),"")</f>
        <v/>
      </c>
      <c r="G7" s="128" t="n"/>
      <c r="H7" s="149" t="n"/>
      <c r="I7" s="125" t="n"/>
      <c r="J7" s="145" t="n"/>
      <c r="K7" s="145" t="n"/>
      <c r="L7" s="145" t="n"/>
      <c r="M7" s="127">
        <f>IFERROR(__xludf.DUMMYFUNCTION("IFERROR($L7/INDEX(prs!$D$30:$D$36,MATCH(TRUE,ARRAYFORMULA(ISNUMBER(SEARCH(prs!$A$30:$A$36,$I7))),0)),"""")"),"")</f>
        <v/>
      </c>
      <c r="N7" s="128" t="n"/>
      <c r="O7" s="149" t="n"/>
      <c r="P7" s="125" t="n"/>
      <c r="Q7" s="145" t="n"/>
      <c r="R7" s="145" t="n"/>
      <c r="S7" s="145" t="n"/>
      <c r="T7" s="127">
        <f>IFERROR(__xludf.DUMMYFUNCTION("IFERROR($S7/INDEX(prs!$D$30:$D$36,MATCH(TRUE,ARRAYFORMULA(ISNUMBER(SEARCH(prs!$A$30:$A$36,$P7))),0)),"""")"),"")</f>
        <v/>
      </c>
      <c r="U7" s="128" t="n"/>
      <c r="V7" s="149" t="n"/>
      <c r="W7" s="125" t="n"/>
      <c r="X7" s="145" t="n"/>
      <c r="Y7" s="145" t="n"/>
      <c r="Z7" s="145" t="n"/>
      <c r="AA7" s="127">
        <f>IFERROR(__xludf.DUMMYFUNCTION("IFERROR($Z7/INDEX(prs!$D$30:$D$36,MATCH(TRUE,ARRAYFORMULA(ISNUMBER(SEARCH(prs!$A$30:$A$36,$W7))),0)),"""")"),"")</f>
        <v/>
      </c>
      <c r="AB7" s="128" t="n"/>
      <c r="AC7" s="137" t="n"/>
    </row>
    <row r="8" ht="21" customHeight="1" s="98">
      <c r="A8" s="137" t="n"/>
      <c r="B8" s="125" t="n"/>
      <c r="C8" s="145" t="n"/>
      <c r="D8" s="145" t="n"/>
      <c r="E8" s="145" t="n"/>
      <c r="F8" s="127">
        <f>IFERROR(__xludf.DUMMYFUNCTION("IFERROR($E8/INDEX(prs!$D$30:$D$36,MATCH(TRUE,ARRAYFORMULA(ISNUMBER(SEARCH(prs!$A$30:$A$36,$B8))),0)),"""")"),"")</f>
        <v/>
      </c>
      <c r="G8" s="128" t="n"/>
      <c r="H8" s="149" t="n"/>
      <c r="I8" s="125" t="n"/>
      <c r="J8" s="145" t="n"/>
      <c r="K8" s="145" t="n"/>
      <c r="L8" s="145" t="n"/>
      <c r="M8" s="127">
        <f>IFERROR(__xludf.DUMMYFUNCTION("IFERROR($L8/INDEX(prs!$D$30:$D$36,MATCH(TRUE,ARRAYFORMULA(ISNUMBER(SEARCH(prs!$A$30:$A$36,$I8))),0)),"""")"),"")</f>
        <v/>
      </c>
      <c r="N8" s="128" t="n"/>
      <c r="O8" s="149" t="n"/>
      <c r="P8" s="125" t="n"/>
      <c r="Q8" s="145" t="n"/>
      <c r="R8" s="145" t="n"/>
      <c r="S8" s="145" t="n"/>
      <c r="T8" s="127">
        <f>IFERROR(__xludf.DUMMYFUNCTION("IFERROR($S8/INDEX(prs!$D$30:$D$36,MATCH(TRUE,ARRAYFORMULA(ISNUMBER(SEARCH(prs!$A$30:$A$36,$P8))),0)),"""")"),"")</f>
        <v/>
      </c>
      <c r="U8" s="128" t="n"/>
      <c r="V8" s="149" t="n"/>
      <c r="W8" s="125" t="n"/>
      <c r="X8" s="145" t="n"/>
      <c r="Y8" s="145" t="n"/>
      <c r="Z8" s="145" t="n"/>
      <c r="AA8" s="127">
        <f>IFERROR(__xludf.DUMMYFUNCTION("IFERROR($Z8/INDEX(prs!$D$30:$D$36,MATCH(TRUE,ARRAYFORMULA(ISNUMBER(SEARCH(prs!$A$30:$A$36,$W8))),0)),"""")"),"")</f>
        <v/>
      </c>
      <c r="AB8" s="128" t="n"/>
      <c r="AC8" s="137" t="n"/>
    </row>
    <row r="9" ht="21" customHeight="1" s="98">
      <c r="A9" s="137" t="n"/>
      <c r="B9" s="125" t="n"/>
      <c r="C9" s="145" t="n"/>
      <c r="D9" s="145" t="n"/>
      <c r="E9" s="145" t="n"/>
      <c r="F9" s="127">
        <f>IFERROR(__xludf.DUMMYFUNCTION("IFERROR($E9/INDEX(prs!$D$30:$D$36,MATCH(TRUE,ARRAYFORMULA(ISNUMBER(SEARCH(prs!$A$30:$A$36,$B9))),0)),"""")"),"")</f>
        <v/>
      </c>
      <c r="G9" s="128" t="n"/>
      <c r="H9" s="149" t="n"/>
      <c r="I9" s="125" t="n"/>
      <c r="J9" s="145" t="n"/>
      <c r="K9" s="145" t="n"/>
      <c r="L9" s="145" t="n"/>
      <c r="M9" s="127">
        <f>IFERROR(__xludf.DUMMYFUNCTION("IFERROR($L9/INDEX(prs!$D$30:$D$36,MATCH(TRUE,ARRAYFORMULA(ISNUMBER(SEARCH(prs!$A$30:$A$36,$I9))),0)),"""")"),"")</f>
        <v/>
      </c>
      <c r="N9" s="128" t="n"/>
      <c r="O9" s="149" t="n"/>
      <c r="P9" s="125" t="n"/>
      <c r="Q9" s="145" t="n"/>
      <c r="R9" s="145" t="n"/>
      <c r="S9" s="145" t="n"/>
      <c r="T9" s="127">
        <f>IFERROR(__xludf.DUMMYFUNCTION("IFERROR($S9/INDEX(prs!$D$30:$D$36,MATCH(TRUE,ARRAYFORMULA(ISNUMBER(SEARCH(prs!$A$30:$A$36,$P9))),0)),"""")"),"")</f>
        <v/>
      </c>
      <c r="U9" s="128" t="n"/>
      <c r="V9" s="149" t="n"/>
      <c r="W9" s="125" t="n"/>
      <c r="X9" s="145" t="n"/>
      <c r="Y9" s="145" t="n"/>
      <c r="Z9" s="145" t="n"/>
      <c r="AA9" s="127">
        <f>IFERROR(__xludf.DUMMYFUNCTION("IFERROR($Z9/INDEX(prs!$D$30:$D$36,MATCH(TRUE,ARRAYFORMULA(ISNUMBER(SEARCH(prs!$A$30:$A$36,$W9))),0)),"""")"),"")</f>
        <v/>
      </c>
      <c r="AB9" s="128" t="n"/>
      <c r="AC9" s="137" t="n"/>
    </row>
    <row r="10" ht="21" customHeight="1" s="98">
      <c r="A10" s="137" t="n"/>
      <c r="B10" s="125" t="n"/>
      <c r="C10" s="145" t="n"/>
      <c r="D10" s="145" t="n"/>
      <c r="E10" s="145" t="n"/>
      <c r="F10" s="127">
        <f>IFERROR(__xludf.DUMMYFUNCTION("IFERROR($E10/INDEX(prs!$D$30:$D$36,MATCH(TRUE,ARRAYFORMULA(ISNUMBER(SEARCH(prs!$A$30:$A$36,$B10))),0)),"""")"),"")</f>
        <v/>
      </c>
      <c r="G10" s="128" t="n"/>
      <c r="H10" s="149" t="n"/>
      <c r="I10" s="125" t="n"/>
      <c r="J10" s="145" t="n"/>
      <c r="K10" s="145" t="n"/>
      <c r="L10" s="145" t="n"/>
      <c r="M10" s="127">
        <f>IFERROR(__xludf.DUMMYFUNCTION("IFERROR($L10/INDEX(prs!$D$30:$D$36,MATCH(TRUE,ARRAYFORMULA(ISNUMBER(SEARCH(prs!$A$30:$A$36,$I10))),0)),"""")"),"")</f>
        <v/>
      </c>
      <c r="N10" s="128" t="n"/>
      <c r="O10" s="149" t="n"/>
      <c r="P10" s="125" t="n"/>
      <c r="Q10" s="145" t="n"/>
      <c r="R10" s="145" t="n"/>
      <c r="S10" s="145" t="n"/>
      <c r="T10" s="127">
        <f>IFERROR(__xludf.DUMMYFUNCTION("IFERROR($S10/INDEX(prs!$D$30:$D$36,MATCH(TRUE,ARRAYFORMULA(ISNUMBER(SEARCH(prs!$A$30:$A$36,$P10))),0)),"""")"),"")</f>
        <v/>
      </c>
      <c r="U10" s="128" t="n"/>
      <c r="V10" s="149" t="n"/>
      <c r="W10" s="125" t="n"/>
      <c r="X10" s="145" t="n"/>
      <c r="Y10" s="145" t="n"/>
      <c r="Z10" s="145" t="n"/>
      <c r="AA10" s="127">
        <f>IFERROR(__xludf.DUMMYFUNCTION("IFERROR($Z10/INDEX(prs!$D$30:$D$36,MATCH(TRUE,ARRAYFORMULA(ISNUMBER(SEARCH(prs!$A$30:$A$36,$W10))),0)),"""")"),"")</f>
        <v/>
      </c>
      <c r="AB10" s="128" t="n"/>
      <c r="AC10" s="137" t="n"/>
    </row>
    <row r="11" ht="21" customHeight="1" s="98">
      <c r="A11" s="137" t="n"/>
      <c r="B11" s="125" t="n"/>
      <c r="C11" s="145" t="n"/>
      <c r="D11" s="145" t="n"/>
      <c r="E11" s="145" t="n"/>
      <c r="F11" s="127">
        <f>IFERROR(__xludf.DUMMYFUNCTION("IFERROR($E11/INDEX(prs!$D$30:$D$36,MATCH(TRUE,ARRAYFORMULA(ISNUMBER(SEARCH(prs!$A$30:$A$36,$B11))),0)),"""")"),"")</f>
        <v/>
      </c>
      <c r="G11" s="128" t="n"/>
      <c r="H11" s="149" t="n"/>
      <c r="I11" s="125" t="n"/>
      <c r="J11" s="145" t="n"/>
      <c r="K11" s="145" t="n"/>
      <c r="L11" s="145" t="n"/>
      <c r="M11" s="127">
        <f>IFERROR(__xludf.DUMMYFUNCTION("IFERROR($L11/INDEX(prs!$D$30:$D$36,MATCH(TRUE,ARRAYFORMULA(ISNUMBER(SEARCH(prs!$A$30:$A$36,$I11))),0)),"""")"),"")</f>
        <v/>
      </c>
      <c r="N11" s="128" t="n"/>
      <c r="O11" s="149" t="n"/>
      <c r="P11" s="125" t="n"/>
      <c r="Q11" s="145" t="n"/>
      <c r="R11" s="145" t="n"/>
      <c r="S11" s="145" t="n"/>
      <c r="T11" s="127">
        <f>IFERROR(__xludf.DUMMYFUNCTION("IFERROR($S11/INDEX(prs!$D$30:$D$36,MATCH(TRUE,ARRAYFORMULA(ISNUMBER(SEARCH(prs!$A$30:$A$36,$P11))),0)),"""")"),"")</f>
        <v/>
      </c>
      <c r="U11" s="128" t="n"/>
      <c r="V11" s="149" t="n"/>
      <c r="W11" s="125" t="n"/>
      <c r="X11" s="145" t="n"/>
      <c r="Y11" s="145" t="n"/>
      <c r="Z11" s="145" t="n"/>
      <c r="AA11" s="127">
        <f>IFERROR(__xludf.DUMMYFUNCTION("IFERROR($Z11/INDEX(prs!$D$30:$D$36,MATCH(TRUE,ARRAYFORMULA(ISNUMBER(SEARCH(prs!$A$30:$A$36,$W11))),0)),"""")"),"")</f>
        <v/>
      </c>
      <c r="AB11" s="128" t="n"/>
      <c r="AC11" s="137" t="n"/>
    </row>
    <row r="12" ht="21" customHeight="1" s="98">
      <c r="A12" s="137" t="n"/>
      <c r="B12" s="125" t="n"/>
      <c r="C12" s="145" t="n"/>
      <c r="D12" s="145" t="n"/>
      <c r="E12" s="145" t="n"/>
      <c r="F12" s="127">
        <f>IFERROR(__xludf.DUMMYFUNCTION("IFERROR($E12/INDEX(prs!$D$30:$D$36,MATCH(TRUE,ARRAYFORMULA(ISNUMBER(SEARCH(prs!$A$30:$A$36,$B12))),0)),"""")"),"")</f>
        <v/>
      </c>
      <c r="G12" s="128" t="n"/>
      <c r="H12" s="149" t="n"/>
      <c r="I12" s="125" t="n"/>
      <c r="J12" s="145" t="n"/>
      <c r="K12" s="145" t="n"/>
      <c r="L12" s="145" t="n"/>
      <c r="M12" s="127">
        <f>IFERROR(__xludf.DUMMYFUNCTION("IFERROR($L12/INDEX(prs!$D$30:$D$36,MATCH(TRUE,ARRAYFORMULA(ISNUMBER(SEARCH(prs!$A$30:$A$36,$I12))),0)),"""")"),"")</f>
        <v/>
      </c>
      <c r="N12" s="128" t="n"/>
      <c r="O12" s="149" t="n"/>
      <c r="P12" s="125" t="n"/>
      <c r="Q12" s="145" t="n"/>
      <c r="R12" s="145" t="n"/>
      <c r="S12" s="145" t="n"/>
      <c r="T12" s="127">
        <f>IFERROR(__xludf.DUMMYFUNCTION("IFERROR($S12/INDEX(prs!$D$30:$D$36,MATCH(TRUE,ARRAYFORMULA(ISNUMBER(SEARCH(prs!$A$30:$A$36,$P12))),0)),"""")"),"")</f>
        <v/>
      </c>
      <c r="U12" s="128" t="n"/>
      <c r="V12" s="149" t="n"/>
      <c r="W12" s="125" t="n"/>
      <c r="X12" s="145" t="n"/>
      <c r="Y12" s="145" t="n"/>
      <c r="Z12" s="145" t="n"/>
      <c r="AA12" s="127">
        <f>IFERROR(__xludf.DUMMYFUNCTION("IFERROR($Z12/INDEX(prs!$D$30:$D$36,MATCH(TRUE,ARRAYFORMULA(ISNUMBER(SEARCH(prs!$A$30:$A$36,$W12))),0)),"""")"),"")</f>
        <v/>
      </c>
      <c r="AB12" s="128" t="n"/>
      <c r="AC12" s="137" t="n"/>
    </row>
    <row r="13" ht="21" customHeight="1" s="98">
      <c r="A13" s="137" t="n"/>
      <c r="B13" s="125" t="n"/>
      <c r="C13" s="145" t="n"/>
      <c r="D13" s="145" t="n"/>
      <c r="E13" s="145" t="n"/>
      <c r="F13" s="127">
        <f>IFERROR(__xludf.DUMMYFUNCTION("IFERROR($E13/INDEX(prs!$D$30:$D$36,MATCH(TRUE,ARRAYFORMULA(ISNUMBER(SEARCH(prs!$A$30:$A$36,$B13))),0)),"""")"),"")</f>
        <v/>
      </c>
      <c r="G13" s="128" t="n"/>
      <c r="H13" s="149" t="n"/>
      <c r="I13" s="125" t="n"/>
      <c r="J13" s="145" t="n"/>
      <c r="K13" s="145" t="n"/>
      <c r="L13" s="145" t="n"/>
      <c r="M13" s="127">
        <f>IFERROR(__xludf.DUMMYFUNCTION("IFERROR($L13/INDEX(prs!$D$30:$D$36,MATCH(TRUE,ARRAYFORMULA(ISNUMBER(SEARCH(prs!$A$30:$A$36,$I13))),0)),"""")"),"")</f>
        <v/>
      </c>
      <c r="N13" s="128" t="n"/>
      <c r="O13" s="149" t="n"/>
      <c r="P13" s="125" t="n"/>
      <c r="Q13" s="145" t="n"/>
      <c r="R13" s="145" t="n"/>
      <c r="S13" s="145" t="n"/>
      <c r="T13" s="127">
        <f>IFERROR(__xludf.DUMMYFUNCTION("IFERROR($S13/INDEX(prs!$D$30:$D$36,MATCH(TRUE,ARRAYFORMULA(ISNUMBER(SEARCH(prs!$A$30:$A$36,$P13))),0)),"""")"),"")</f>
        <v/>
      </c>
      <c r="U13" s="128" t="n"/>
      <c r="V13" s="149" t="n"/>
      <c r="W13" s="125" t="n"/>
      <c r="X13" s="145" t="n"/>
      <c r="Y13" s="145" t="n"/>
      <c r="Z13" s="145" t="n"/>
      <c r="AA13" s="127">
        <f>IFERROR(__xludf.DUMMYFUNCTION("IFERROR($Z13/INDEX(prs!$D$30:$D$36,MATCH(TRUE,ARRAYFORMULA(ISNUMBER(SEARCH(prs!$A$30:$A$36,$W13))),0)),"""")"),"")</f>
        <v/>
      </c>
      <c r="AB13" s="128" t="n"/>
      <c r="AC13" s="137" t="n"/>
    </row>
    <row r="14" ht="21" customHeight="1" s="98">
      <c r="A14" s="137" t="n"/>
      <c r="B14" s="125" t="n"/>
      <c r="C14" s="145" t="n"/>
      <c r="D14" s="145" t="n"/>
      <c r="E14" s="145" t="n"/>
      <c r="F14" s="127">
        <f>IFERROR(__xludf.DUMMYFUNCTION("IFERROR($E14/INDEX(prs!$D$30:$D$36,MATCH(TRUE,ARRAYFORMULA(ISNUMBER(SEARCH(prs!$A$30:$A$36,$B14))),0)),"""")"),"")</f>
        <v/>
      </c>
      <c r="G14" s="128" t="n"/>
      <c r="H14" s="149" t="n"/>
      <c r="I14" s="125" t="n"/>
      <c r="J14" s="145" t="n"/>
      <c r="K14" s="145" t="n"/>
      <c r="L14" s="145" t="n"/>
      <c r="M14" s="127">
        <f>IFERROR(__xludf.DUMMYFUNCTION("IFERROR($L14/INDEX(prs!$D$30:$D$36,MATCH(TRUE,ARRAYFORMULA(ISNUMBER(SEARCH(prs!$A$30:$A$36,$I14))),0)),"""")"),"")</f>
        <v/>
      </c>
      <c r="N14" s="128" t="n"/>
      <c r="O14" s="149" t="n"/>
      <c r="P14" s="125" t="n"/>
      <c r="Q14" s="145" t="n"/>
      <c r="R14" s="145" t="n"/>
      <c r="S14" s="145" t="n"/>
      <c r="T14" s="127">
        <f>IFERROR(__xludf.DUMMYFUNCTION("IFERROR($S14/INDEX(prs!$D$30:$D$36,MATCH(TRUE,ARRAYFORMULA(ISNUMBER(SEARCH(prs!$A$30:$A$36,$P14))),0)),"""")"),"")</f>
        <v/>
      </c>
      <c r="U14" s="128" t="n"/>
      <c r="V14" s="149" t="n"/>
      <c r="W14" s="125" t="n"/>
      <c r="X14" s="145" t="n"/>
      <c r="Y14" s="145" t="n"/>
      <c r="Z14" s="145" t="n"/>
      <c r="AA14" s="127">
        <f>IFERROR(__xludf.DUMMYFUNCTION("IFERROR($Z14/INDEX(prs!$D$30:$D$36,MATCH(TRUE,ARRAYFORMULA(ISNUMBER(SEARCH(prs!$A$30:$A$36,$W14))),0)),"""")"),"")</f>
        <v/>
      </c>
      <c r="AB14" s="128" t="n"/>
      <c r="AC14" s="137" t="n"/>
    </row>
    <row r="15" ht="21" customHeight="1" s="98">
      <c r="A15" s="137" t="n"/>
      <c r="B15" s="125" t="n"/>
      <c r="C15" s="145" t="n"/>
      <c r="D15" s="145" t="n"/>
      <c r="E15" s="145" t="n"/>
      <c r="F15" s="127">
        <f>IFERROR(__xludf.DUMMYFUNCTION("IFERROR($E15/INDEX(prs!$D$30:$D$36,MATCH(TRUE,ARRAYFORMULA(ISNUMBER(SEARCH(prs!$A$30:$A$36,$B15))),0)),"""")"),"")</f>
        <v/>
      </c>
      <c r="G15" s="128" t="n"/>
      <c r="H15" s="149" t="n"/>
      <c r="I15" s="125" t="n"/>
      <c r="J15" s="145" t="n"/>
      <c r="K15" s="145" t="n"/>
      <c r="L15" s="145" t="n"/>
      <c r="M15" s="127">
        <f>IFERROR(__xludf.DUMMYFUNCTION("IFERROR($L15/INDEX(prs!$D$30:$D$36,MATCH(TRUE,ARRAYFORMULA(ISNUMBER(SEARCH(prs!$A$30:$A$36,$I15))),0)),"""")"),"")</f>
        <v/>
      </c>
      <c r="N15" s="128" t="n"/>
      <c r="O15" s="149" t="n"/>
      <c r="P15" s="125" t="n"/>
      <c r="Q15" s="145" t="n"/>
      <c r="R15" s="145" t="n"/>
      <c r="S15" s="145" t="n"/>
      <c r="T15" s="127">
        <f>IFERROR(__xludf.DUMMYFUNCTION("IFERROR($S15/INDEX(prs!$D$30:$D$36,MATCH(TRUE,ARRAYFORMULA(ISNUMBER(SEARCH(prs!$A$30:$A$36,$P15))),0)),"""")"),"")</f>
        <v/>
      </c>
      <c r="U15" s="128" t="n"/>
      <c r="V15" s="149" t="n"/>
      <c r="W15" s="125" t="n"/>
      <c r="X15" s="145" t="n"/>
      <c r="Y15" s="145" t="n"/>
      <c r="Z15" s="145" t="n"/>
      <c r="AA15" s="127">
        <f>IFERROR(__xludf.DUMMYFUNCTION("IFERROR($Z15/INDEX(prs!$D$30:$D$36,MATCH(TRUE,ARRAYFORMULA(ISNUMBER(SEARCH(prs!$A$30:$A$36,$W15))),0)),"""")"),"")</f>
        <v/>
      </c>
      <c r="AB15" s="128" t="n"/>
      <c r="AC15" s="137" t="n"/>
    </row>
    <row r="16" ht="18" customHeight="1" s="98">
      <c r="A16" s="146" t="n"/>
      <c r="B16" s="147" t="n"/>
      <c r="C16" s="148" t="inlineStr">
        <is>
          <t>SEMANA 01</t>
        </is>
      </c>
      <c r="D16" s="129" t="n"/>
      <c r="E16" s="129" t="n"/>
      <c r="F16" s="129" t="n"/>
      <c r="G16" s="129" t="n"/>
      <c r="H16" s="137" t="n"/>
      <c r="I16" s="147" t="n"/>
      <c r="J16" s="148" t="inlineStr">
        <is>
          <t>SEMANA 02</t>
        </is>
      </c>
      <c r="K16" s="129" t="n"/>
      <c r="L16" s="129" t="n"/>
      <c r="M16" s="129" t="n"/>
      <c r="N16" s="129" t="n"/>
      <c r="O16" s="137" t="n"/>
      <c r="P16" s="147" t="n"/>
      <c r="Q16" s="148" t="inlineStr">
        <is>
          <t>SEMANA 03</t>
        </is>
      </c>
      <c r="R16" s="129" t="n"/>
      <c r="S16" s="129" t="n"/>
      <c r="T16" s="129" t="n"/>
      <c r="U16" s="129" t="n"/>
      <c r="V16" s="137" t="n"/>
      <c r="W16" s="147" t="n"/>
      <c r="X16" s="148" t="inlineStr">
        <is>
          <t>SEMANA 04</t>
        </is>
      </c>
      <c r="Y16" s="129" t="n"/>
      <c r="Z16" s="129" t="n"/>
      <c r="AA16" s="129" t="n"/>
      <c r="AB16" s="129" t="n"/>
      <c r="AC16" s="137" t="n"/>
    </row>
    <row r="17" ht="8" customHeight="1" s="98">
      <c r="A17" s="149" t="n"/>
      <c r="B17" s="149" t="n"/>
      <c r="C17" s="149" t="n"/>
      <c r="D17" s="149" t="n"/>
      <c r="H17" s="149" t="n"/>
      <c r="I17" s="149" t="n"/>
      <c r="J17" s="149" t="n"/>
      <c r="K17" s="149" t="n"/>
      <c r="O17" s="149" t="n"/>
      <c r="P17" s="149" t="n"/>
      <c r="Q17" s="149" t="n"/>
      <c r="R17" s="149" t="n"/>
      <c r="V17" s="149" t="n"/>
      <c r="W17" s="149" t="n"/>
      <c r="X17" s="149" t="n"/>
      <c r="Y17" s="149" t="n"/>
      <c r="AC17" s="149" t="n"/>
    </row>
    <row r="18" ht="26" customHeight="1" s="98">
      <c r="A18" s="138" t="inlineStr">
        <is>
          <t>TREINO 02</t>
        </is>
      </c>
      <c r="B18" s="139" t="n"/>
      <c r="C18" s="140" t="n"/>
      <c r="D18" s="141" t="n"/>
      <c r="E18" s="141" t="n"/>
      <c r="F18" s="141" t="n"/>
      <c r="G18" s="141" t="n"/>
      <c r="H18" s="118" t="n"/>
      <c r="I18" s="139" t="n"/>
      <c r="J18" s="140" t="n"/>
      <c r="K18" s="141" t="n"/>
      <c r="L18" s="141" t="n"/>
      <c r="M18" s="141" t="n"/>
      <c r="N18" s="141" t="n"/>
      <c r="O18" s="118" t="n"/>
      <c r="P18" s="139" t="n"/>
      <c r="Q18" s="140" t="n"/>
      <c r="R18" s="141" t="n"/>
      <c r="S18" s="141" t="n"/>
      <c r="T18" s="141" t="n"/>
      <c r="U18" s="141" t="n"/>
      <c r="V18" s="118" t="n"/>
      <c r="W18" s="139" t="n"/>
      <c r="X18" s="140" t="n"/>
      <c r="Y18" s="141" t="n"/>
      <c r="Z18" s="141" t="n"/>
      <c r="AA18" s="141" t="n"/>
      <c r="AB18" s="141" t="n"/>
      <c r="AC18" s="139" t="n"/>
    </row>
    <row r="19" ht="18" customHeight="1" s="98">
      <c r="A19" s="142" t="n"/>
      <c r="B19" s="143" t="n"/>
      <c r="C19" s="144" t="inlineStr">
        <is>
          <t>SETS</t>
        </is>
      </c>
      <c r="D19" s="144" t="inlineStr">
        <is>
          <t>REPS</t>
        </is>
      </c>
      <c r="E19" s="144" t="inlineStr">
        <is>
          <t>KG</t>
        </is>
      </c>
      <c r="F19" s="144" t="inlineStr">
        <is>
          <t>%1RM</t>
        </is>
      </c>
      <c r="G19" s="144" t="inlineStr">
        <is>
          <t>OBS</t>
        </is>
      </c>
      <c r="H19" s="137" t="n"/>
      <c r="I19" s="143" t="n"/>
      <c r="J19" s="144" t="inlineStr">
        <is>
          <t>SETS</t>
        </is>
      </c>
      <c r="K19" s="144" t="inlineStr">
        <is>
          <t>REPS</t>
        </is>
      </c>
      <c r="L19" s="144" t="inlineStr">
        <is>
          <t>KG</t>
        </is>
      </c>
      <c r="M19" s="144" t="inlineStr">
        <is>
          <t>%1RM</t>
        </is>
      </c>
      <c r="N19" s="144" t="inlineStr">
        <is>
          <t>OBS</t>
        </is>
      </c>
      <c r="O19" s="137" t="n"/>
      <c r="P19" s="143" t="n"/>
      <c r="Q19" s="144" t="inlineStr">
        <is>
          <t>SETS</t>
        </is>
      </c>
      <c r="R19" s="144" t="inlineStr">
        <is>
          <t>REPS</t>
        </is>
      </c>
      <c r="S19" s="144" t="inlineStr">
        <is>
          <t>KG</t>
        </is>
      </c>
      <c r="T19" s="144" t="inlineStr">
        <is>
          <t>%1RM</t>
        </is>
      </c>
      <c r="U19" s="144" t="inlineStr">
        <is>
          <t>OBS</t>
        </is>
      </c>
      <c r="V19" s="137" t="n"/>
      <c r="W19" s="143" t="n"/>
      <c r="X19" s="144" t="inlineStr">
        <is>
          <t>SETS</t>
        </is>
      </c>
      <c r="Y19" s="144" t="inlineStr">
        <is>
          <t>REPS</t>
        </is>
      </c>
      <c r="Z19" s="144" t="inlineStr">
        <is>
          <t>KG</t>
        </is>
      </c>
      <c r="AA19" s="144" t="inlineStr">
        <is>
          <t>%1RM</t>
        </is>
      </c>
      <c r="AB19" s="144" t="inlineStr">
        <is>
          <t>OBS</t>
        </is>
      </c>
      <c r="AC19" s="149" t="n"/>
    </row>
    <row r="20" ht="18" customHeight="1" s="98">
      <c r="A20" s="142" t="n"/>
      <c r="B20" s="120" t="inlineStr">
        <is>
          <t>exercícios</t>
        </is>
      </c>
      <c r="C20" s="116" t="n"/>
      <c r="D20" s="116" t="n"/>
      <c r="E20" s="116" t="n"/>
      <c r="F20" s="116" t="inlineStr">
        <is>
          <t>pse</t>
        </is>
      </c>
      <c r="G20" s="116" t="n"/>
      <c r="H20" s="137" t="n"/>
      <c r="I20" s="120" t="inlineStr">
        <is>
          <t>exercícios</t>
        </is>
      </c>
      <c r="J20" s="116" t="n"/>
      <c r="K20" s="116" t="n"/>
      <c r="L20" s="116" t="n"/>
      <c r="M20" s="116" t="inlineStr">
        <is>
          <t>pse</t>
        </is>
      </c>
      <c r="N20" s="116" t="n"/>
      <c r="O20" s="137" t="n"/>
      <c r="P20" s="120" t="inlineStr">
        <is>
          <t>exercícios</t>
        </is>
      </c>
      <c r="Q20" s="116" t="n"/>
      <c r="R20" s="116" t="n"/>
      <c r="S20" s="116" t="n"/>
      <c r="T20" s="116" t="inlineStr">
        <is>
          <t>pse</t>
        </is>
      </c>
      <c r="U20" s="116" t="n"/>
      <c r="V20" s="137" t="n"/>
      <c r="W20" s="120" t="inlineStr">
        <is>
          <t>exercícios</t>
        </is>
      </c>
      <c r="X20" s="116" t="n"/>
      <c r="Y20" s="116" t="n"/>
      <c r="Z20" s="116" t="n"/>
      <c r="AA20" s="116" t="inlineStr">
        <is>
          <t>pse</t>
        </is>
      </c>
      <c r="AB20" s="116" t="n"/>
      <c r="AC20" s="149" t="n"/>
    </row>
    <row r="21" ht="21" customHeight="1" s="98">
      <c r="A21" s="149" t="n"/>
      <c r="B21" s="125" t="n"/>
      <c r="C21" s="145" t="n"/>
      <c r="D21" s="145" t="n"/>
      <c r="E21" s="145" t="n"/>
      <c r="F21" s="127">
        <f>IFERROR(__xludf.DUMMYFUNCTION("IFERROR($E21/INDEX(prs!$D$30:$D$36,MATCH(TRUE,ARRAYFORMULA(ISNUMBER(SEARCH(prs!$A$30:$A$36,$B21))),0)),"""")"),"")</f>
        <v/>
      </c>
      <c r="G21" s="128" t="n"/>
      <c r="H21" s="149" t="n"/>
      <c r="I21" s="125" t="n"/>
      <c r="J21" s="145" t="n"/>
      <c r="K21" s="145" t="n"/>
      <c r="L21" s="145" t="n"/>
      <c r="M21" s="127">
        <f>IFERROR(__xludf.DUMMYFUNCTION("IFERROR($L21/INDEX(prs!$D$30:$D$36,MATCH(TRUE,ARRAYFORMULA(ISNUMBER(SEARCH(prs!$A$30:$A$36,$I21))),0)),"""")"),"")</f>
        <v/>
      </c>
      <c r="N21" s="128" t="n"/>
      <c r="O21" s="149" t="n"/>
      <c r="P21" s="125" t="n"/>
      <c r="Q21" s="145" t="n"/>
      <c r="R21" s="145" t="n"/>
      <c r="S21" s="145" t="n"/>
      <c r="T21" s="127">
        <f>IFERROR(__xludf.DUMMYFUNCTION("IFERROR($S21/INDEX(prs!$D$30:$D$36,MATCH(TRUE,ARRAYFORMULA(ISNUMBER(SEARCH(prs!$A$30:$A$36,$P21))),0)),"""")"),"")</f>
        <v/>
      </c>
      <c r="U21" s="128" t="n"/>
      <c r="V21" s="149" t="n"/>
      <c r="W21" s="125" t="n"/>
      <c r="X21" s="145" t="n"/>
      <c r="Y21" s="145" t="n"/>
      <c r="Z21" s="145" t="n"/>
      <c r="AA21" s="127">
        <f>IFERROR(__xludf.DUMMYFUNCTION("IFERROR($Z21/INDEX(prs!$D$30:$D$36,MATCH(TRUE,ARRAYFORMULA(ISNUMBER(SEARCH(prs!$A$30:$A$36,$W21))),0)),"""")"),"")</f>
        <v/>
      </c>
      <c r="AB21" s="128" t="n"/>
      <c r="AC21" s="149" t="n"/>
    </row>
    <row r="22" ht="21" customHeight="1" s="98">
      <c r="A22" s="149" t="n"/>
      <c r="B22" s="125" t="n"/>
      <c r="C22" s="145" t="n"/>
      <c r="D22" s="145" t="n"/>
      <c r="E22" s="145" t="n"/>
      <c r="F22" s="127">
        <f>IFERROR(__xludf.DUMMYFUNCTION("IFERROR($E22/INDEX(prs!$D$30:$D$36,MATCH(TRUE,ARRAYFORMULA(ISNUMBER(SEARCH(prs!$A$30:$A$36,$B22))),0)),"""")"),"")</f>
        <v/>
      </c>
      <c r="G22" s="128" t="n"/>
      <c r="H22" s="149" t="n"/>
      <c r="I22" s="125" t="n"/>
      <c r="J22" s="145" t="n"/>
      <c r="K22" s="145" t="n"/>
      <c r="L22" s="145" t="n"/>
      <c r="M22" s="127">
        <f>IFERROR(__xludf.DUMMYFUNCTION("IFERROR($L22/INDEX(prs!$D$30:$D$36,MATCH(TRUE,ARRAYFORMULA(ISNUMBER(SEARCH(prs!$A$30:$A$36,$I22))),0)),"""")"),"")</f>
        <v/>
      </c>
      <c r="N22" s="128" t="n"/>
      <c r="O22" s="149" t="n"/>
      <c r="P22" s="125" t="n"/>
      <c r="Q22" s="145" t="n"/>
      <c r="R22" s="145" t="n"/>
      <c r="S22" s="145" t="n"/>
      <c r="T22" s="127">
        <f>IFERROR(__xludf.DUMMYFUNCTION("IFERROR($S22/INDEX(prs!$D$30:$D$36,MATCH(TRUE,ARRAYFORMULA(ISNUMBER(SEARCH(prs!$A$30:$A$36,$P22))),0)),"""")"),"")</f>
        <v/>
      </c>
      <c r="U22" s="128" t="n"/>
      <c r="V22" s="149" t="n"/>
      <c r="W22" s="125" t="n"/>
      <c r="X22" s="145" t="n"/>
      <c r="Y22" s="145" t="n"/>
      <c r="Z22" s="145" t="n"/>
      <c r="AA22" s="127">
        <f>IFERROR(__xludf.DUMMYFUNCTION("IFERROR($Z22/INDEX(prs!$D$30:$D$36,MATCH(TRUE,ARRAYFORMULA(ISNUMBER(SEARCH(prs!$A$30:$A$36,$W22))),0)),"""")"),"")</f>
        <v/>
      </c>
      <c r="AB22" s="128" t="n"/>
      <c r="AC22" s="149" t="n"/>
    </row>
    <row r="23" ht="21" customHeight="1" s="98">
      <c r="A23" s="149" t="n"/>
      <c r="B23" s="125" t="n"/>
      <c r="C23" s="145" t="n"/>
      <c r="D23" s="145" t="n"/>
      <c r="E23" s="145" t="n"/>
      <c r="F23" s="127">
        <f>IFERROR(__xludf.DUMMYFUNCTION("IFERROR($E23/INDEX(prs!$D$30:$D$36,MATCH(TRUE,ARRAYFORMULA(ISNUMBER(SEARCH(prs!$A$30:$A$36,$B23))),0)),"""")"),"")</f>
        <v/>
      </c>
      <c r="G23" s="128" t="n"/>
      <c r="H23" s="149" t="n"/>
      <c r="I23" s="125" t="n"/>
      <c r="J23" s="145" t="n"/>
      <c r="K23" s="145" t="n"/>
      <c r="L23" s="145" t="n"/>
      <c r="M23" s="127">
        <f>IFERROR(__xludf.DUMMYFUNCTION("IFERROR($L23/INDEX(prs!$D$30:$D$36,MATCH(TRUE,ARRAYFORMULA(ISNUMBER(SEARCH(prs!$A$30:$A$36,$I23))),0)),"""")"),"")</f>
        <v/>
      </c>
      <c r="N23" s="128" t="n"/>
      <c r="O23" s="149" t="n"/>
      <c r="P23" s="125" t="n"/>
      <c r="Q23" s="145" t="n"/>
      <c r="R23" s="145" t="n"/>
      <c r="S23" s="145" t="n"/>
      <c r="T23" s="127">
        <f>IFERROR(__xludf.DUMMYFUNCTION("IFERROR($S23/INDEX(prs!$D$30:$D$36,MATCH(TRUE,ARRAYFORMULA(ISNUMBER(SEARCH(prs!$A$30:$A$36,$P23))),0)),"""")"),"")</f>
        <v/>
      </c>
      <c r="U23" s="128" t="n"/>
      <c r="V23" s="149" t="n"/>
      <c r="W23" s="125" t="n"/>
      <c r="X23" s="145" t="n"/>
      <c r="Y23" s="145" t="n"/>
      <c r="Z23" s="145" t="n"/>
      <c r="AA23" s="127">
        <f>IFERROR(__xludf.DUMMYFUNCTION("IFERROR($Z23/INDEX(prs!$D$30:$D$36,MATCH(TRUE,ARRAYFORMULA(ISNUMBER(SEARCH(prs!$A$30:$A$36,$W23))),0)),"""")"),"")</f>
        <v/>
      </c>
      <c r="AB23" s="128" t="n"/>
      <c r="AC23" s="149" t="n"/>
    </row>
    <row r="24" ht="21" customHeight="1" s="98">
      <c r="A24" s="149" t="n"/>
      <c r="B24" s="125" t="n"/>
      <c r="C24" s="145" t="n"/>
      <c r="D24" s="145" t="n"/>
      <c r="E24" s="145" t="n"/>
      <c r="F24" s="127">
        <f>IFERROR(__xludf.DUMMYFUNCTION("IFERROR($E24/INDEX(prs!$D$30:$D$36,MATCH(TRUE,ARRAYFORMULA(ISNUMBER(SEARCH(prs!$A$30:$A$36,$B24))),0)),"""")"),"")</f>
        <v/>
      </c>
      <c r="G24" s="128" t="n"/>
      <c r="H24" s="149" t="n"/>
      <c r="I24" s="125" t="n"/>
      <c r="J24" s="145" t="n"/>
      <c r="K24" s="145" t="n"/>
      <c r="L24" s="145" t="n"/>
      <c r="M24" s="127">
        <f>IFERROR(__xludf.DUMMYFUNCTION("IFERROR($L24/INDEX(prs!$D$30:$D$36,MATCH(TRUE,ARRAYFORMULA(ISNUMBER(SEARCH(prs!$A$30:$A$36,$I24))),0)),"""")"),"")</f>
        <v/>
      </c>
      <c r="N24" s="128" t="n"/>
      <c r="O24" s="149" t="n"/>
      <c r="P24" s="125" t="n"/>
      <c r="Q24" s="145" t="n"/>
      <c r="R24" s="145" t="n"/>
      <c r="S24" s="145" t="n"/>
      <c r="T24" s="127">
        <f>IFERROR(__xludf.DUMMYFUNCTION("IFERROR($S24/INDEX(prs!$D$30:$D$36,MATCH(TRUE,ARRAYFORMULA(ISNUMBER(SEARCH(prs!$A$30:$A$36,$P24))),0)),"""")"),"")</f>
        <v/>
      </c>
      <c r="U24" s="128" t="n"/>
      <c r="V24" s="149" t="n"/>
      <c r="W24" s="125" t="n"/>
      <c r="X24" s="145" t="n"/>
      <c r="Y24" s="145" t="n"/>
      <c r="Z24" s="145" t="n"/>
      <c r="AA24" s="127">
        <f>IFERROR(__xludf.DUMMYFUNCTION("IFERROR($Z24/INDEX(prs!$D$30:$D$36,MATCH(TRUE,ARRAYFORMULA(ISNUMBER(SEARCH(prs!$A$30:$A$36,$W24))),0)),"""")"),"")</f>
        <v/>
      </c>
      <c r="AB24" s="128" t="n"/>
      <c r="AC24" s="149" t="n"/>
    </row>
    <row r="25" ht="21" customHeight="1" s="98">
      <c r="A25" s="149" t="n"/>
      <c r="B25" s="125" t="n"/>
      <c r="C25" s="145" t="n"/>
      <c r="D25" s="145" t="n"/>
      <c r="E25" s="145" t="n"/>
      <c r="F25" s="127">
        <f>IFERROR(__xludf.DUMMYFUNCTION("IFERROR($E25/INDEX(prs!$D$30:$D$36,MATCH(TRUE,ARRAYFORMULA(ISNUMBER(SEARCH(prs!$A$30:$A$36,$B25))),0)),"""")"),"")</f>
        <v/>
      </c>
      <c r="G25" s="128" t="n"/>
      <c r="H25" s="149" t="n"/>
      <c r="I25" s="125" t="n"/>
      <c r="J25" s="145" t="n"/>
      <c r="K25" s="145" t="n"/>
      <c r="L25" s="145" t="n"/>
      <c r="M25" s="127">
        <f>IFERROR(__xludf.DUMMYFUNCTION("IFERROR($L25/INDEX(prs!$D$30:$D$36,MATCH(TRUE,ARRAYFORMULA(ISNUMBER(SEARCH(prs!$A$30:$A$36,$I25))),0)),"""")"),"")</f>
        <v/>
      </c>
      <c r="N25" s="128" t="n"/>
      <c r="O25" s="149" t="n"/>
      <c r="P25" s="125" t="n"/>
      <c r="Q25" s="145" t="n"/>
      <c r="R25" s="145" t="n"/>
      <c r="S25" s="145" t="n"/>
      <c r="T25" s="127">
        <f>IFERROR(__xludf.DUMMYFUNCTION("IFERROR($S25/INDEX(prs!$D$30:$D$36,MATCH(TRUE,ARRAYFORMULA(ISNUMBER(SEARCH(prs!$A$30:$A$36,$P25))),0)),"""")"),"")</f>
        <v/>
      </c>
      <c r="U25" s="128" t="n"/>
      <c r="V25" s="149" t="n"/>
      <c r="W25" s="125" t="n"/>
      <c r="X25" s="145" t="n"/>
      <c r="Y25" s="145" t="n"/>
      <c r="Z25" s="145" t="n"/>
      <c r="AA25" s="127">
        <f>IFERROR(__xludf.DUMMYFUNCTION("IFERROR($Z25/INDEX(prs!$D$30:$D$36,MATCH(TRUE,ARRAYFORMULA(ISNUMBER(SEARCH(prs!$A$30:$A$36,$W25))),0)),"""")"),"")</f>
        <v/>
      </c>
      <c r="AB25" s="128" t="n"/>
      <c r="AC25" s="149" t="n"/>
    </row>
    <row r="26" ht="21" customHeight="1" s="98">
      <c r="A26" s="149" t="n"/>
      <c r="B26" s="125" t="n"/>
      <c r="C26" s="145" t="n"/>
      <c r="D26" s="145" t="n"/>
      <c r="E26" s="145" t="n"/>
      <c r="F26" s="127">
        <f>IFERROR(__xludf.DUMMYFUNCTION("IFERROR($E26/INDEX(prs!$D$30:$D$36,MATCH(TRUE,ARRAYFORMULA(ISNUMBER(SEARCH(prs!$A$30:$A$36,$B26))),0)),"""")"),"")</f>
        <v/>
      </c>
      <c r="G26" s="128" t="n"/>
      <c r="H26" s="149" t="n"/>
      <c r="I26" s="125" t="n"/>
      <c r="J26" s="145" t="n"/>
      <c r="K26" s="145" t="n"/>
      <c r="L26" s="145" t="n"/>
      <c r="M26" s="127">
        <f>IFERROR(__xludf.DUMMYFUNCTION("IFERROR($L26/INDEX(prs!$D$30:$D$36,MATCH(TRUE,ARRAYFORMULA(ISNUMBER(SEARCH(prs!$A$30:$A$36,$I26))),0)),"""")"),"")</f>
        <v/>
      </c>
      <c r="N26" s="128" t="n"/>
      <c r="O26" s="149" t="n"/>
      <c r="P26" s="125" t="n"/>
      <c r="Q26" s="145" t="n"/>
      <c r="R26" s="145" t="n"/>
      <c r="S26" s="145" t="n"/>
      <c r="T26" s="127">
        <f>IFERROR(__xludf.DUMMYFUNCTION("IFERROR($S26/INDEX(prs!$D$30:$D$36,MATCH(TRUE,ARRAYFORMULA(ISNUMBER(SEARCH(prs!$A$30:$A$36,$P26))),0)),"""")"),"")</f>
        <v/>
      </c>
      <c r="U26" s="128" t="n"/>
      <c r="V26" s="149" t="n"/>
      <c r="W26" s="125" t="n"/>
      <c r="X26" s="145" t="n"/>
      <c r="Y26" s="145" t="n"/>
      <c r="Z26" s="145" t="n"/>
      <c r="AA26" s="127">
        <f>IFERROR(__xludf.DUMMYFUNCTION("IFERROR($Z26/INDEX(prs!$D$30:$D$36,MATCH(TRUE,ARRAYFORMULA(ISNUMBER(SEARCH(prs!$A$30:$A$36,$W26))),0)),"""")"),"")</f>
        <v/>
      </c>
      <c r="AB26" s="128" t="n"/>
      <c r="AC26" s="149" t="n"/>
    </row>
    <row r="27" ht="21" customHeight="1" s="98">
      <c r="A27" s="149" t="n"/>
      <c r="B27" s="125" t="n"/>
      <c r="C27" s="145" t="n"/>
      <c r="D27" s="145" t="n"/>
      <c r="E27" s="145" t="n"/>
      <c r="F27" s="127">
        <f>IFERROR(__xludf.DUMMYFUNCTION("IFERROR($E27/INDEX(prs!$D$30:$D$36,MATCH(TRUE,ARRAYFORMULA(ISNUMBER(SEARCH(prs!$A$30:$A$36,$B27))),0)),"""")"),"")</f>
        <v/>
      </c>
      <c r="G27" s="128" t="n"/>
      <c r="H27" s="149" t="n"/>
      <c r="I27" s="125" t="n"/>
      <c r="J27" s="145" t="n"/>
      <c r="K27" s="145" t="n"/>
      <c r="L27" s="145" t="n"/>
      <c r="M27" s="127">
        <f>IFERROR(__xludf.DUMMYFUNCTION("IFERROR($L27/INDEX(prs!$D$30:$D$36,MATCH(TRUE,ARRAYFORMULA(ISNUMBER(SEARCH(prs!$A$30:$A$36,$I27))),0)),"""")"),"")</f>
        <v/>
      </c>
      <c r="N27" s="128" t="n"/>
      <c r="O27" s="149" t="n"/>
      <c r="P27" s="125" t="n"/>
      <c r="Q27" s="145" t="n"/>
      <c r="R27" s="145" t="n"/>
      <c r="S27" s="145" t="n"/>
      <c r="T27" s="127">
        <f>IFERROR(__xludf.DUMMYFUNCTION("IFERROR($S27/INDEX(prs!$D$30:$D$36,MATCH(TRUE,ARRAYFORMULA(ISNUMBER(SEARCH(prs!$A$30:$A$36,$P27))),0)),"""")"),"")</f>
        <v/>
      </c>
      <c r="U27" s="128" t="n"/>
      <c r="V27" s="149" t="n"/>
      <c r="W27" s="125" t="n"/>
      <c r="X27" s="145" t="n"/>
      <c r="Y27" s="145" t="n"/>
      <c r="Z27" s="145" t="n"/>
      <c r="AA27" s="127">
        <f>IFERROR(__xludf.DUMMYFUNCTION("IFERROR($Z27/INDEX(prs!$D$30:$D$36,MATCH(TRUE,ARRAYFORMULA(ISNUMBER(SEARCH(prs!$A$30:$A$36,$W27))),0)),"""")"),"")</f>
        <v/>
      </c>
      <c r="AB27" s="128" t="n"/>
      <c r="AC27" s="149" t="n"/>
    </row>
    <row r="28" ht="21" customHeight="1" s="98">
      <c r="A28" s="149" t="n"/>
      <c r="B28" s="125" t="n"/>
      <c r="C28" s="145" t="n"/>
      <c r="D28" s="145" t="n"/>
      <c r="E28" s="145" t="n"/>
      <c r="F28" s="127">
        <f>IFERROR(__xludf.DUMMYFUNCTION("IFERROR($E28/INDEX(prs!$D$30:$D$36,MATCH(TRUE,ARRAYFORMULA(ISNUMBER(SEARCH(prs!$A$30:$A$36,$B28))),0)),"""")"),"")</f>
        <v/>
      </c>
      <c r="G28" s="128" t="n"/>
      <c r="H28" s="149" t="n"/>
      <c r="I28" s="125" t="n"/>
      <c r="J28" s="145" t="n"/>
      <c r="K28" s="145" t="n"/>
      <c r="L28" s="145" t="n"/>
      <c r="M28" s="127">
        <f>IFERROR(__xludf.DUMMYFUNCTION("IFERROR($L28/INDEX(prs!$D$30:$D$36,MATCH(TRUE,ARRAYFORMULA(ISNUMBER(SEARCH(prs!$A$30:$A$36,$I28))),0)),"""")"),"")</f>
        <v/>
      </c>
      <c r="N28" s="128" t="n"/>
      <c r="O28" s="149" t="n"/>
      <c r="P28" s="125" t="n"/>
      <c r="Q28" s="145" t="n"/>
      <c r="R28" s="145" t="n"/>
      <c r="S28" s="145" t="n"/>
      <c r="T28" s="127">
        <f>IFERROR(__xludf.DUMMYFUNCTION("IFERROR($S28/INDEX(prs!$D$30:$D$36,MATCH(TRUE,ARRAYFORMULA(ISNUMBER(SEARCH(prs!$A$30:$A$36,$P28))),0)),"""")"),"")</f>
        <v/>
      </c>
      <c r="U28" s="128" t="n"/>
      <c r="V28" s="149" t="n"/>
      <c r="W28" s="125" t="n"/>
      <c r="X28" s="145" t="n"/>
      <c r="Y28" s="145" t="n"/>
      <c r="Z28" s="145" t="n"/>
      <c r="AA28" s="127">
        <f>IFERROR(__xludf.DUMMYFUNCTION("IFERROR($Z28/INDEX(prs!$D$30:$D$36,MATCH(TRUE,ARRAYFORMULA(ISNUMBER(SEARCH(prs!$A$30:$A$36,$W28))),0)),"""")"),"")</f>
        <v/>
      </c>
      <c r="AB28" s="128" t="n"/>
      <c r="AC28" s="149" t="n"/>
    </row>
    <row r="29" ht="21" customHeight="1" s="98">
      <c r="A29" s="149" t="n"/>
      <c r="B29" s="125" t="n"/>
      <c r="C29" s="145" t="n"/>
      <c r="D29" s="145" t="n"/>
      <c r="E29" s="145" t="n"/>
      <c r="F29" s="127">
        <f>IFERROR(__xludf.DUMMYFUNCTION("IFERROR($E29/INDEX(prs!$D$30:$D$36,MATCH(TRUE,ARRAYFORMULA(ISNUMBER(SEARCH(prs!$A$30:$A$36,$B29))),0)),"""")"),"")</f>
        <v/>
      </c>
      <c r="G29" s="128" t="n"/>
      <c r="H29" s="149" t="n"/>
      <c r="I29" s="125" t="n"/>
      <c r="J29" s="145" t="n"/>
      <c r="K29" s="145" t="n"/>
      <c r="L29" s="145" t="n"/>
      <c r="M29" s="127">
        <f>IFERROR(__xludf.DUMMYFUNCTION("IFERROR($L29/INDEX(prs!$D$30:$D$36,MATCH(TRUE,ARRAYFORMULA(ISNUMBER(SEARCH(prs!$A$30:$A$36,$I29))),0)),"""")"),"")</f>
        <v/>
      </c>
      <c r="N29" s="128" t="n"/>
      <c r="O29" s="149" t="n"/>
      <c r="P29" s="125" t="n"/>
      <c r="Q29" s="145" t="n"/>
      <c r="R29" s="145" t="n"/>
      <c r="S29" s="145" t="n"/>
      <c r="T29" s="127">
        <f>IFERROR(__xludf.DUMMYFUNCTION("IFERROR($S29/INDEX(prs!$D$30:$D$36,MATCH(TRUE,ARRAYFORMULA(ISNUMBER(SEARCH(prs!$A$30:$A$36,$P29))),0)),"""")"),"")</f>
        <v/>
      </c>
      <c r="U29" s="128" t="n"/>
      <c r="V29" s="149" t="n"/>
      <c r="W29" s="125" t="n"/>
      <c r="X29" s="145" t="n"/>
      <c r="Y29" s="145" t="n"/>
      <c r="Z29" s="145" t="n"/>
      <c r="AA29" s="127">
        <f>IFERROR(__xludf.DUMMYFUNCTION("IFERROR($Z29/INDEX(prs!$D$30:$D$36,MATCH(TRUE,ARRAYFORMULA(ISNUMBER(SEARCH(prs!$A$30:$A$36,$W29))),0)),"""")"),"")</f>
        <v/>
      </c>
      <c r="AB29" s="128" t="n"/>
      <c r="AC29" s="149" t="n"/>
    </row>
    <row r="30" ht="21" customHeight="1" s="98">
      <c r="A30" s="149" t="n"/>
      <c r="B30" s="125" t="n"/>
      <c r="C30" s="145" t="n"/>
      <c r="D30" s="145" t="n"/>
      <c r="E30" s="145" t="n"/>
      <c r="F30" s="127">
        <f>IFERROR(__xludf.DUMMYFUNCTION("IFERROR($E30/INDEX(prs!$D$30:$D$36,MATCH(TRUE,ARRAYFORMULA(ISNUMBER(SEARCH(prs!$A$30:$A$36,$B30))),0)),"""")"),"")</f>
        <v/>
      </c>
      <c r="G30" s="128" t="n"/>
      <c r="H30" s="149" t="n"/>
      <c r="I30" s="125" t="n"/>
      <c r="J30" s="145" t="n"/>
      <c r="K30" s="145" t="n"/>
      <c r="L30" s="145" t="n"/>
      <c r="M30" s="127">
        <f>IFERROR(__xludf.DUMMYFUNCTION("IFERROR($L30/INDEX(prs!$D$30:$D$36,MATCH(TRUE,ARRAYFORMULA(ISNUMBER(SEARCH(prs!$A$30:$A$36,$I30))),0)),"""")"),"")</f>
        <v/>
      </c>
      <c r="N30" s="128" t="n"/>
      <c r="O30" s="149" t="n"/>
      <c r="P30" s="125" t="n"/>
      <c r="Q30" s="145" t="n"/>
      <c r="R30" s="145" t="n"/>
      <c r="S30" s="145" t="n"/>
      <c r="T30" s="127">
        <f>IFERROR(__xludf.DUMMYFUNCTION("IFERROR($S30/INDEX(prs!$D$30:$D$36,MATCH(TRUE,ARRAYFORMULA(ISNUMBER(SEARCH(prs!$A$30:$A$36,$P30))),0)),"""")"),"")</f>
        <v/>
      </c>
      <c r="U30" s="128" t="n"/>
      <c r="V30" s="149" t="n"/>
      <c r="W30" s="125" t="n"/>
      <c r="X30" s="145" t="n"/>
      <c r="Y30" s="145" t="n"/>
      <c r="Z30" s="145" t="n"/>
      <c r="AA30" s="127">
        <f>IFERROR(__xludf.DUMMYFUNCTION("IFERROR($Z30/INDEX(prs!$D$30:$D$36,MATCH(TRUE,ARRAYFORMULA(ISNUMBER(SEARCH(prs!$A$30:$A$36,$W30))),0)),"""")"),"")</f>
        <v/>
      </c>
      <c r="AB30" s="128" t="n"/>
      <c r="AC30" s="149" t="n"/>
    </row>
    <row r="31" ht="18" customHeight="1" s="98">
      <c r="A31" s="146" t="n"/>
      <c r="B31" s="147" t="n"/>
      <c r="C31" s="148" t="inlineStr">
        <is>
          <t>SEMANA 01</t>
        </is>
      </c>
      <c r="D31" s="129" t="n"/>
      <c r="E31" s="129" t="n"/>
      <c r="F31" s="129" t="n"/>
      <c r="G31" s="129" t="n"/>
      <c r="H31" s="137" t="n"/>
      <c r="I31" s="147" t="n"/>
      <c r="J31" s="148" t="inlineStr">
        <is>
          <t>SEMANA 02</t>
        </is>
      </c>
      <c r="K31" s="129" t="n"/>
      <c r="L31" s="129" t="n"/>
      <c r="M31" s="129" t="n"/>
      <c r="N31" s="129" t="n"/>
      <c r="O31" s="137" t="n"/>
      <c r="P31" s="147" t="n"/>
      <c r="Q31" s="148" t="inlineStr">
        <is>
          <t>SEMANA 03</t>
        </is>
      </c>
      <c r="R31" s="129" t="n"/>
      <c r="S31" s="129" t="n"/>
      <c r="T31" s="129" t="n"/>
      <c r="U31" s="129" t="n"/>
      <c r="V31" s="137" t="n"/>
      <c r="W31" s="147" t="n"/>
      <c r="X31" s="148" t="inlineStr">
        <is>
          <t>SEMANA 04</t>
        </is>
      </c>
      <c r="Y31" s="129" t="n"/>
      <c r="Z31" s="129" t="n"/>
      <c r="AA31" s="129" t="n"/>
      <c r="AB31" s="129" t="n"/>
      <c r="AC31" s="149" t="n"/>
    </row>
    <row r="32" ht="8" customHeight="1" s="98">
      <c r="A32" s="137" t="n"/>
      <c r="B32" s="149" t="n"/>
      <c r="C32" s="137" t="n"/>
      <c r="D32" s="137" t="n"/>
      <c r="H32" s="137" t="n"/>
      <c r="I32" s="149" t="n"/>
      <c r="J32" s="137" t="n"/>
      <c r="K32" s="137" t="n"/>
      <c r="O32" s="137" t="n"/>
      <c r="P32" s="149" t="n"/>
      <c r="Q32" s="137" t="n"/>
      <c r="R32" s="137" t="n"/>
      <c r="V32" s="137" t="n"/>
      <c r="W32" s="149" t="n"/>
      <c r="X32" s="137" t="n"/>
      <c r="Y32" s="137" t="n"/>
      <c r="AC32" s="137" t="n"/>
    </row>
    <row r="33" ht="26" customHeight="1" s="98">
      <c r="A33" s="138" t="inlineStr">
        <is>
          <t>TREINO 03</t>
        </is>
      </c>
      <c r="B33" s="139" t="n"/>
      <c r="C33" s="118" t="n"/>
      <c r="D33" s="141" t="n"/>
      <c r="E33" s="141" t="n"/>
      <c r="F33" s="141" t="n"/>
      <c r="G33" s="141" t="n"/>
      <c r="H33" s="118" t="n"/>
      <c r="I33" s="139" t="n"/>
      <c r="J33" s="118" t="n"/>
      <c r="K33" s="141" t="n"/>
      <c r="L33" s="141" t="n"/>
      <c r="M33" s="141" t="n"/>
      <c r="N33" s="141" t="n"/>
      <c r="O33" s="118" t="n"/>
      <c r="P33" s="139" t="n"/>
      <c r="Q33" s="118" t="n"/>
      <c r="R33" s="141" t="n"/>
      <c r="S33" s="141" t="n"/>
      <c r="T33" s="141" t="n"/>
      <c r="U33" s="141" t="n"/>
      <c r="V33" s="118" t="n"/>
      <c r="W33" s="139" t="n"/>
      <c r="X33" s="118" t="n"/>
      <c r="Y33" s="141" t="n"/>
      <c r="Z33" s="141" t="n"/>
      <c r="AA33" s="141" t="n"/>
      <c r="AB33" s="141" t="n"/>
      <c r="AC33" s="118" t="n"/>
    </row>
    <row r="34" ht="18" customHeight="1" s="98">
      <c r="A34" s="142" t="n"/>
      <c r="B34" s="143" t="n"/>
      <c r="C34" s="144" t="inlineStr">
        <is>
          <t>SETS</t>
        </is>
      </c>
      <c r="D34" s="144" t="inlineStr">
        <is>
          <t>REPS</t>
        </is>
      </c>
      <c r="E34" s="144" t="inlineStr">
        <is>
          <t>KG</t>
        </is>
      </c>
      <c r="F34" s="144" t="inlineStr">
        <is>
          <t>%1RM</t>
        </is>
      </c>
      <c r="G34" s="144" t="inlineStr">
        <is>
          <t>OBS</t>
        </is>
      </c>
      <c r="H34" s="137" t="n"/>
      <c r="I34" s="143" t="n"/>
      <c r="J34" s="144" t="inlineStr">
        <is>
          <t>SETS</t>
        </is>
      </c>
      <c r="K34" s="144" t="inlineStr">
        <is>
          <t>REPS</t>
        </is>
      </c>
      <c r="L34" s="144" t="inlineStr">
        <is>
          <t>KG</t>
        </is>
      </c>
      <c r="M34" s="144" t="inlineStr">
        <is>
          <t>%1RM</t>
        </is>
      </c>
      <c r="N34" s="144" t="inlineStr">
        <is>
          <t>OBS</t>
        </is>
      </c>
      <c r="O34" s="137" t="n"/>
      <c r="P34" s="143" t="n"/>
      <c r="Q34" s="144" t="inlineStr">
        <is>
          <t>SETS</t>
        </is>
      </c>
      <c r="R34" s="144" t="inlineStr">
        <is>
          <t>REPS</t>
        </is>
      </c>
      <c r="S34" s="144" t="inlineStr">
        <is>
          <t>KG</t>
        </is>
      </c>
      <c r="T34" s="144" t="inlineStr">
        <is>
          <t>%1RM</t>
        </is>
      </c>
      <c r="U34" s="144" t="inlineStr">
        <is>
          <t>OBS</t>
        </is>
      </c>
      <c r="V34" s="137" t="n"/>
      <c r="W34" s="143" t="n"/>
      <c r="X34" s="144" t="inlineStr">
        <is>
          <t>SETS</t>
        </is>
      </c>
      <c r="Y34" s="144" t="inlineStr">
        <is>
          <t>REPS</t>
        </is>
      </c>
      <c r="Z34" s="144" t="inlineStr">
        <is>
          <t>KG</t>
        </is>
      </c>
      <c r="AA34" s="144" t="inlineStr">
        <is>
          <t>%1RM</t>
        </is>
      </c>
      <c r="AB34" s="144" t="inlineStr">
        <is>
          <t>OBS</t>
        </is>
      </c>
      <c r="AC34" s="137" t="n"/>
    </row>
    <row r="35" ht="18" customHeight="1" s="98">
      <c r="A35" s="142" t="n"/>
      <c r="B35" s="120" t="inlineStr">
        <is>
          <t>exercícios</t>
        </is>
      </c>
      <c r="C35" s="116" t="n"/>
      <c r="D35" s="116" t="n"/>
      <c r="E35" s="116" t="n"/>
      <c r="F35" s="116" t="inlineStr">
        <is>
          <t>pse</t>
        </is>
      </c>
      <c r="G35" s="116" t="n"/>
      <c r="H35" s="137" t="n"/>
      <c r="I35" s="120" t="inlineStr">
        <is>
          <t>exercícios</t>
        </is>
      </c>
      <c r="J35" s="116" t="n"/>
      <c r="K35" s="116" t="n"/>
      <c r="L35" s="116" t="n"/>
      <c r="M35" s="116" t="inlineStr">
        <is>
          <t>pse</t>
        </is>
      </c>
      <c r="N35" s="116" t="n"/>
      <c r="O35" s="137" t="n"/>
      <c r="P35" s="120" t="inlineStr">
        <is>
          <t>exercícios</t>
        </is>
      </c>
      <c r="Q35" s="116" t="n"/>
      <c r="R35" s="116" t="n"/>
      <c r="S35" s="116" t="n"/>
      <c r="T35" s="116" t="inlineStr">
        <is>
          <t>pse</t>
        </is>
      </c>
      <c r="U35" s="116" t="n"/>
      <c r="V35" s="137" t="n"/>
      <c r="W35" s="120" t="inlineStr">
        <is>
          <t>exercícios</t>
        </is>
      </c>
      <c r="X35" s="116" t="n"/>
      <c r="Y35" s="116" t="n"/>
      <c r="Z35" s="116" t="n"/>
      <c r="AA35" s="116" t="inlineStr">
        <is>
          <t>pse</t>
        </is>
      </c>
      <c r="AB35" s="116" t="n"/>
      <c r="AC35" s="137" t="n"/>
    </row>
    <row r="36" ht="21" customHeight="1" s="98">
      <c r="A36" s="137" t="n"/>
      <c r="B36" s="125" t="n"/>
      <c r="C36" s="145" t="n"/>
      <c r="D36" s="145" t="n"/>
      <c r="E36" s="145" t="n"/>
      <c r="F36" s="127">
        <f>IFERROR(__xludf.DUMMYFUNCTION("IFERROR($E36/INDEX(prs!$D$30:$D$36,MATCH(TRUE,ARRAYFORMULA(ISNUMBER(SEARCH(prs!$A$30:$A$36,$B36))),0)),"""")"),"")</f>
        <v/>
      </c>
      <c r="G36" s="128" t="n"/>
      <c r="H36" s="149" t="n"/>
      <c r="I36" s="125" t="n"/>
      <c r="J36" s="145" t="n"/>
      <c r="K36" s="145" t="n"/>
      <c r="L36" s="145" t="n"/>
      <c r="M36" s="127">
        <f>IFERROR(__xludf.DUMMYFUNCTION("IFERROR($L36/INDEX(prs!$D$30:$D$36,MATCH(TRUE,ARRAYFORMULA(ISNUMBER(SEARCH(prs!$A$30:$A$36,$I36))),0)),"""")"),"")</f>
        <v/>
      </c>
      <c r="N36" s="128" t="n"/>
      <c r="O36" s="149" t="n"/>
      <c r="P36" s="125" t="n"/>
      <c r="Q36" s="145" t="n"/>
      <c r="R36" s="145" t="n"/>
      <c r="S36" s="145" t="n"/>
      <c r="T36" s="127">
        <f>IFERROR(__xludf.DUMMYFUNCTION("IFERROR($S36/INDEX(prs!$D$30:$D$36,MATCH(TRUE,ARRAYFORMULA(ISNUMBER(SEARCH(prs!$A$30:$A$36,$P36))),0)),"""")"),"")</f>
        <v/>
      </c>
      <c r="U36" s="128" t="n"/>
      <c r="V36" s="149" t="n"/>
      <c r="W36" s="125" t="n"/>
      <c r="X36" s="145" t="n"/>
      <c r="Y36" s="145" t="n"/>
      <c r="Z36" s="145" t="n"/>
      <c r="AA36" s="127">
        <f>IFERROR(__xludf.DUMMYFUNCTION("IFERROR($Z36/INDEX(prs!$D$30:$D$36,MATCH(TRUE,ARRAYFORMULA(ISNUMBER(SEARCH(prs!$A$30:$A$36,$W36))),0)),"""")"),"")</f>
        <v/>
      </c>
      <c r="AB36" s="128" t="n"/>
      <c r="AC36" s="137" t="n"/>
    </row>
    <row r="37" ht="21" customHeight="1" s="98">
      <c r="A37" s="137" t="n"/>
      <c r="B37" s="125" t="n"/>
      <c r="C37" s="145" t="n"/>
      <c r="D37" s="145" t="n"/>
      <c r="E37" s="145" t="n"/>
      <c r="F37" s="127">
        <f>IFERROR(__xludf.DUMMYFUNCTION("IFERROR($E37/INDEX(prs!$D$30:$D$36,MATCH(TRUE,ARRAYFORMULA(ISNUMBER(SEARCH(prs!$A$30:$A$36,$B37))),0)),"""")"),"")</f>
        <v/>
      </c>
      <c r="G37" s="128" t="n"/>
      <c r="H37" s="149" t="n"/>
      <c r="I37" s="125" t="n"/>
      <c r="J37" s="145" t="n"/>
      <c r="K37" s="145" t="n"/>
      <c r="L37" s="145" t="n"/>
      <c r="M37" s="127">
        <f>IFERROR(__xludf.DUMMYFUNCTION("IFERROR($L37/INDEX(prs!$D$30:$D$36,MATCH(TRUE,ARRAYFORMULA(ISNUMBER(SEARCH(prs!$A$30:$A$36,$I37))),0)),"""")"),"")</f>
        <v/>
      </c>
      <c r="N37" s="128" t="n"/>
      <c r="O37" s="149" t="n"/>
      <c r="P37" s="125" t="n"/>
      <c r="Q37" s="145" t="n"/>
      <c r="R37" s="145" t="n"/>
      <c r="S37" s="145" t="n"/>
      <c r="T37" s="127">
        <f>IFERROR(__xludf.DUMMYFUNCTION("IFERROR($S37/INDEX(prs!$D$30:$D$36,MATCH(TRUE,ARRAYFORMULA(ISNUMBER(SEARCH(prs!$A$30:$A$36,$P37))),0)),"""")"),"")</f>
        <v/>
      </c>
      <c r="U37" s="128" t="n"/>
      <c r="V37" s="149" t="n"/>
      <c r="W37" s="125" t="n"/>
      <c r="X37" s="145" t="n"/>
      <c r="Y37" s="145" t="n"/>
      <c r="Z37" s="145" t="n"/>
      <c r="AA37" s="127">
        <f>IFERROR(__xludf.DUMMYFUNCTION("IFERROR($Z37/INDEX(prs!$D$30:$D$36,MATCH(TRUE,ARRAYFORMULA(ISNUMBER(SEARCH(prs!$A$30:$A$36,$W37))),0)),"""")"),"")</f>
        <v/>
      </c>
      <c r="AB37" s="128" t="n"/>
      <c r="AC37" s="137" t="n"/>
    </row>
    <row r="38" ht="21" customHeight="1" s="98">
      <c r="A38" s="137" t="n"/>
      <c r="B38" s="125" t="n"/>
      <c r="C38" s="145" t="n"/>
      <c r="D38" s="145" t="n"/>
      <c r="E38" s="145" t="n"/>
      <c r="F38" s="127">
        <f>IFERROR(__xludf.DUMMYFUNCTION("IFERROR($E38/INDEX(prs!$D$30:$D$36,MATCH(TRUE,ARRAYFORMULA(ISNUMBER(SEARCH(prs!$A$30:$A$36,$B38))),0)),"""")"),"")</f>
        <v/>
      </c>
      <c r="G38" s="128" t="n"/>
      <c r="H38" s="149" t="n"/>
      <c r="I38" s="125" t="n"/>
      <c r="J38" s="145" t="n"/>
      <c r="K38" s="145" t="n"/>
      <c r="L38" s="145" t="n"/>
      <c r="M38" s="127">
        <f>IFERROR(__xludf.DUMMYFUNCTION("IFERROR($L38/INDEX(prs!$D$30:$D$36,MATCH(TRUE,ARRAYFORMULA(ISNUMBER(SEARCH(prs!$A$30:$A$36,$I38))),0)),"""")"),"")</f>
        <v/>
      </c>
      <c r="N38" s="128" t="n"/>
      <c r="O38" s="149" t="n"/>
      <c r="P38" s="125" t="n"/>
      <c r="Q38" s="145" t="n"/>
      <c r="R38" s="145" t="n"/>
      <c r="S38" s="145" t="n"/>
      <c r="T38" s="127">
        <f>IFERROR(__xludf.DUMMYFUNCTION("IFERROR($S38/INDEX(prs!$D$30:$D$36,MATCH(TRUE,ARRAYFORMULA(ISNUMBER(SEARCH(prs!$A$30:$A$36,$P38))),0)),"""")"),"")</f>
        <v/>
      </c>
      <c r="U38" s="128" t="n"/>
      <c r="V38" s="149" t="n"/>
      <c r="W38" s="125" t="n"/>
      <c r="X38" s="145" t="n"/>
      <c r="Y38" s="145" t="n"/>
      <c r="Z38" s="145" t="n"/>
      <c r="AA38" s="127">
        <f>IFERROR(__xludf.DUMMYFUNCTION("IFERROR($Z38/INDEX(prs!$D$30:$D$36,MATCH(TRUE,ARRAYFORMULA(ISNUMBER(SEARCH(prs!$A$30:$A$36,$W38))),0)),"""")"),"")</f>
        <v/>
      </c>
      <c r="AB38" s="128" t="n"/>
      <c r="AC38" s="137" t="n"/>
    </row>
    <row r="39" ht="21" customHeight="1" s="98">
      <c r="A39" s="137" t="n"/>
      <c r="B39" s="125" t="n"/>
      <c r="C39" s="145" t="n"/>
      <c r="D39" s="145" t="n"/>
      <c r="E39" s="145" t="n"/>
      <c r="F39" s="127">
        <f>IFERROR(__xludf.DUMMYFUNCTION("IFERROR($E39/INDEX(prs!$D$30:$D$36,MATCH(TRUE,ARRAYFORMULA(ISNUMBER(SEARCH(prs!$A$30:$A$36,$B39))),0)),"""")"),"")</f>
        <v/>
      </c>
      <c r="G39" s="128" t="n"/>
      <c r="H39" s="149" t="n"/>
      <c r="I39" s="125" t="n"/>
      <c r="J39" s="145" t="n"/>
      <c r="K39" s="145" t="n"/>
      <c r="L39" s="145" t="n"/>
      <c r="M39" s="127">
        <f>IFERROR(__xludf.DUMMYFUNCTION("IFERROR($L39/INDEX(prs!$D$30:$D$36,MATCH(TRUE,ARRAYFORMULA(ISNUMBER(SEARCH(prs!$A$30:$A$36,$I39))),0)),"""")"),"")</f>
        <v/>
      </c>
      <c r="N39" s="128" t="n"/>
      <c r="O39" s="149" t="n"/>
      <c r="P39" s="125" t="n"/>
      <c r="Q39" s="145" t="n"/>
      <c r="R39" s="145" t="n"/>
      <c r="S39" s="145" t="n"/>
      <c r="T39" s="127">
        <f>IFERROR(__xludf.DUMMYFUNCTION("IFERROR($S39/INDEX(prs!$D$30:$D$36,MATCH(TRUE,ARRAYFORMULA(ISNUMBER(SEARCH(prs!$A$30:$A$36,$P39))),0)),"""")"),"")</f>
        <v/>
      </c>
      <c r="U39" s="128" t="n"/>
      <c r="V39" s="149" t="n"/>
      <c r="W39" s="125" t="n"/>
      <c r="X39" s="145" t="n"/>
      <c r="Y39" s="145" t="n"/>
      <c r="Z39" s="145" t="n"/>
      <c r="AA39" s="127">
        <f>IFERROR(__xludf.DUMMYFUNCTION("IFERROR($Z39/INDEX(prs!$D$30:$D$36,MATCH(TRUE,ARRAYFORMULA(ISNUMBER(SEARCH(prs!$A$30:$A$36,$W39))),0)),"""")"),"")</f>
        <v/>
      </c>
      <c r="AB39" s="128" t="n"/>
      <c r="AC39" s="137" t="n"/>
    </row>
    <row r="40" ht="21" customHeight="1" s="98">
      <c r="A40" s="137" t="n"/>
      <c r="B40" s="125" t="n"/>
      <c r="C40" s="145" t="n"/>
      <c r="D40" s="145" t="n"/>
      <c r="E40" s="145" t="n"/>
      <c r="F40" s="127">
        <f>IFERROR(__xludf.DUMMYFUNCTION("IFERROR($E40/INDEX(prs!$D$30:$D$36,MATCH(TRUE,ARRAYFORMULA(ISNUMBER(SEARCH(prs!$A$30:$A$36,$B40))),0)),"""")"),"")</f>
        <v/>
      </c>
      <c r="G40" s="128" t="n"/>
      <c r="H40" s="149" t="n"/>
      <c r="I40" s="125" t="n"/>
      <c r="J40" s="145" t="n"/>
      <c r="K40" s="145" t="n"/>
      <c r="L40" s="145" t="n"/>
      <c r="M40" s="127">
        <f>IFERROR(__xludf.DUMMYFUNCTION("IFERROR($L40/INDEX(prs!$D$30:$D$36,MATCH(TRUE,ARRAYFORMULA(ISNUMBER(SEARCH(prs!$A$30:$A$36,$I40))),0)),"""")"),"")</f>
        <v/>
      </c>
      <c r="N40" s="128" t="n"/>
      <c r="O40" s="149" t="n"/>
      <c r="P40" s="125" t="n"/>
      <c r="Q40" s="145" t="n"/>
      <c r="R40" s="145" t="n"/>
      <c r="S40" s="145" t="n"/>
      <c r="T40" s="127">
        <f>IFERROR(__xludf.DUMMYFUNCTION("IFERROR($S40/INDEX(prs!$D$30:$D$36,MATCH(TRUE,ARRAYFORMULA(ISNUMBER(SEARCH(prs!$A$30:$A$36,$P40))),0)),"""")"),"")</f>
        <v/>
      </c>
      <c r="U40" s="128" t="n"/>
      <c r="V40" s="149" t="n"/>
      <c r="W40" s="125" t="n"/>
      <c r="X40" s="145" t="n"/>
      <c r="Y40" s="145" t="n"/>
      <c r="Z40" s="145" t="n"/>
      <c r="AA40" s="127">
        <f>IFERROR(__xludf.DUMMYFUNCTION("IFERROR($Z40/INDEX(prs!$D$30:$D$36,MATCH(TRUE,ARRAYFORMULA(ISNUMBER(SEARCH(prs!$A$30:$A$36,$W40))),0)),"""")"),"")</f>
        <v/>
      </c>
      <c r="AB40" s="128" t="n"/>
      <c r="AC40" s="137" t="n"/>
    </row>
    <row r="41" ht="21" customHeight="1" s="98">
      <c r="A41" s="137" t="n"/>
      <c r="B41" s="125" t="n"/>
      <c r="C41" s="145" t="n"/>
      <c r="D41" s="145" t="n"/>
      <c r="E41" s="145" t="n"/>
      <c r="F41" s="127">
        <f>IFERROR(__xludf.DUMMYFUNCTION("IFERROR($E41/INDEX(prs!$D$30:$D$36,MATCH(TRUE,ARRAYFORMULA(ISNUMBER(SEARCH(prs!$A$30:$A$36,$B41))),0)),"""")"),"")</f>
        <v/>
      </c>
      <c r="G41" s="128" t="n"/>
      <c r="H41" s="149" t="n"/>
      <c r="I41" s="125" t="n"/>
      <c r="J41" s="145" t="n"/>
      <c r="K41" s="145" t="n"/>
      <c r="L41" s="145" t="n"/>
      <c r="M41" s="127">
        <f>IFERROR(__xludf.DUMMYFUNCTION("IFERROR($L41/INDEX(prs!$D$30:$D$36,MATCH(TRUE,ARRAYFORMULA(ISNUMBER(SEARCH(prs!$A$30:$A$36,$I41))),0)),"""")"),"")</f>
        <v/>
      </c>
      <c r="N41" s="128" t="n"/>
      <c r="O41" s="149" t="n"/>
      <c r="P41" s="125" t="n"/>
      <c r="Q41" s="145" t="n"/>
      <c r="R41" s="145" t="n"/>
      <c r="S41" s="145" t="n"/>
      <c r="T41" s="127">
        <f>IFERROR(__xludf.DUMMYFUNCTION("IFERROR($S41/INDEX(prs!$D$30:$D$36,MATCH(TRUE,ARRAYFORMULA(ISNUMBER(SEARCH(prs!$A$30:$A$36,$P41))),0)),"""")"),"")</f>
        <v/>
      </c>
      <c r="U41" s="128" t="n"/>
      <c r="V41" s="149" t="n"/>
      <c r="W41" s="125" t="n"/>
      <c r="X41" s="145" t="n"/>
      <c r="Y41" s="145" t="n"/>
      <c r="Z41" s="145" t="n"/>
      <c r="AA41" s="127">
        <f>IFERROR(__xludf.DUMMYFUNCTION("IFERROR($Z41/INDEX(prs!$D$30:$D$36,MATCH(TRUE,ARRAYFORMULA(ISNUMBER(SEARCH(prs!$A$30:$A$36,$W41))),0)),"""")"),"")</f>
        <v/>
      </c>
      <c r="AB41" s="128" t="n"/>
      <c r="AC41" s="137" t="n"/>
    </row>
    <row r="42" ht="21" customHeight="1" s="98">
      <c r="A42" s="137" t="n"/>
      <c r="B42" s="125" t="n"/>
      <c r="C42" s="145" t="n"/>
      <c r="D42" s="145" t="n"/>
      <c r="E42" s="145" t="n"/>
      <c r="F42" s="127">
        <f>IFERROR(__xludf.DUMMYFUNCTION("IFERROR($E42/INDEX(prs!$D$30:$D$36,MATCH(TRUE,ARRAYFORMULA(ISNUMBER(SEARCH(prs!$A$30:$A$36,$B42))),0)),"""")"),"")</f>
        <v/>
      </c>
      <c r="G42" s="128" t="n"/>
      <c r="H42" s="149" t="n"/>
      <c r="I42" s="125" t="n"/>
      <c r="J42" s="145" t="n"/>
      <c r="K42" s="145" t="n"/>
      <c r="L42" s="145" t="n"/>
      <c r="M42" s="127">
        <f>IFERROR(__xludf.DUMMYFUNCTION("IFERROR($L42/INDEX(prs!$D$30:$D$36,MATCH(TRUE,ARRAYFORMULA(ISNUMBER(SEARCH(prs!$A$30:$A$36,$I42))),0)),"""")"),"")</f>
        <v/>
      </c>
      <c r="N42" s="128" t="n"/>
      <c r="O42" s="149" t="n"/>
      <c r="P42" s="125" t="n"/>
      <c r="Q42" s="145" t="n"/>
      <c r="R42" s="145" t="n"/>
      <c r="S42" s="145" t="n"/>
      <c r="T42" s="127">
        <f>IFERROR(__xludf.DUMMYFUNCTION("IFERROR($S42/INDEX(prs!$D$30:$D$36,MATCH(TRUE,ARRAYFORMULA(ISNUMBER(SEARCH(prs!$A$30:$A$36,$P42))),0)),"""")"),"")</f>
        <v/>
      </c>
      <c r="U42" s="128" t="n"/>
      <c r="V42" s="149" t="n"/>
      <c r="W42" s="125" t="n"/>
      <c r="X42" s="145" t="n"/>
      <c r="Y42" s="145" t="n"/>
      <c r="Z42" s="145" t="n"/>
      <c r="AA42" s="127">
        <f>IFERROR(__xludf.DUMMYFUNCTION("IFERROR($Z42/INDEX(prs!$D$30:$D$36,MATCH(TRUE,ARRAYFORMULA(ISNUMBER(SEARCH(prs!$A$30:$A$36,$W42))),0)),"""")"),"")</f>
        <v/>
      </c>
      <c r="AB42" s="128" t="n"/>
      <c r="AC42" s="137" t="n"/>
    </row>
    <row r="43" ht="21" customHeight="1" s="98">
      <c r="A43" s="137" t="n"/>
      <c r="B43" s="125" t="n"/>
      <c r="C43" s="145" t="n"/>
      <c r="D43" s="145" t="n"/>
      <c r="E43" s="145" t="n"/>
      <c r="F43" s="127">
        <f>IFERROR(__xludf.DUMMYFUNCTION("IFERROR($E43/INDEX(prs!$D$30:$D$36,MATCH(TRUE,ARRAYFORMULA(ISNUMBER(SEARCH(prs!$A$30:$A$36,$B43))),0)),"""")"),"")</f>
        <v/>
      </c>
      <c r="G43" s="128" t="n"/>
      <c r="H43" s="149" t="n"/>
      <c r="I43" s="125" t="n"/>
      <c r="J43" s="145" t="n"/>
      <c r="K43" s="145" t="n"/>
      <c r="L43" s="145" t="n"/>
      <c r="M43" s="127">
        <f>IFERROR(__xludf.DUMMYFUNCTION("IFERROR($L43/INDEX(prs!$D$30:$D$36,MATCH(TRUE,ARRAYFORMULA(ISNUMBER(SEARCH(prs!$A$30:$A$36,$I43))),0)),"""")"),"")</f>
        <v/>
      </c>
      <c r="N43" s="128" t="n"/>
      <c r="O43" s="149" t="n"/>
      <c r="P43" s="125" t="n"/>
      <c r="Q43" s="145" t="n"/>
      <c r="R43" s="145" t="n"/>
      <c r="S43" s="145" t="n"/>
      <c r="T43" s="127">
        <f>IFERROR(__xludf.DUMMYFUNCTION("IFERROR($S43/INDEX(prs!$D$30:$D$36,MATCH(TRUE,ARRAYFORMULA(ISNUMBER(SEARCH(prs!$A$30:$A$36,$P43))),0)),"""")"),"")</f>
        <v/>
      </c>
      <c r="U43" s="128" t="n"/>
      <c r="V43" s="149" t="n"/>
      <c r="W43" s="125" t="n"/>
      <c r="X43" s="145" t="n"/>
      <c r="Y43" s="145" t="n"/>
      <c r="Z43" s="145" t="n"/>
      <c r="AA43" s="127">
        <f>IFERROR(__xludf.DUMMYFUNCTION("IFERROR($Z43/INDEX(prs!$D$30:$D$36,MATCH(TRUE,ARRAYFORMULA(ISNUMBER(SEARCH(prs!$A$30:$A$36,$W43))),0)),"""")"),"")</f>
        <v/>
      </c>
      <c r="AB43" s="128" t="n"/>
      <c r="AC43" s="137" t="n"/>
    </row>
    <row r="44" ht="21" customHeight="1" s="98">
      <c r="A44" s="137" t="n"/>
      <c r="B44" s="125" t="n"/>
      <c r="C44" s="145" t="n"/>
      <c r="D44" s="145" t="n"/>
      <c r="E44" s="145" t="n"/>
      <c r="F44" s="127">
        <f>IFERROR(__xludf.DUMMYFUNCTION("IFERROR($E44/INDEX(prs!$D$30:$D$36,MATCH(TRUE,ARRAYFORMULA(ISNUMBER(SEARCH(prs!$A$30:$A$36,$B44))),0)),"""")"),"")</f>
        <v/>
      </c>
      <c r="G44" s="128" t="n"/>
      <c r="H44" s="149" t="n"/>
      <c r="I44" s="125" t="n"/>
      <c r="J44" s="145" t="n"/>
      <c r="K44" s="145" t="n"/>
      <c r="L44" s="145" t="n"/>
      <c r="M44" s="127">
        <f>IFERROR(__xludf.DUMMYFUNCTION("IFERROR($L44/INDEX(prs!$D$30:$D$36,MATCH(TRUE,ARRAYFORMULA(ISNUMBER(SEARCH(prs!$A$30:$A$36,$I44))),0)),"""")"),"")</f>
        <v/>
      </c>
      <c r="N44" s="128" t="n"/>
      <c r="O44" s="149" t="n"/>
      <c r="P44" s="125" t="n"/>
      <c r="Q44" s="145" t="n"/>
      <c r="R44" s="145" t="n"/>
      <c r="S44" s="145" t="n"/>
      <c r="T44" s="127">
        <f>IFERROR(__xludf.DUMMYFUNCTION("IFERROR($S44/INDEX(prs!$D$30:$D$36,MATCH(TRUE,ARRAYFORMULA(ISNUMBER(SEARCH(prs!$A$30:$A$36,$P44))),0)),"""")"),"")</f>
        <v/>
      </c>
      <c r="U44" s="128" t="n"/>
      <c r="V44" s="149" t="n"/>
      <c r="W44" s="125" t="n"/>
      <c r="X44" s="145" t="n"/>
      <c r="Y44" s="145" t="n"/>
      <c r="Z44" s="145" t="n"/>
      <c r="AA44" s="127">
        <f>IFERROR(__xludf.DUMMYFUNCTION("IFERROR($Z44/INDEX(prs!$D$30:$D$36,MATCH(TRUE,ARRAYFORMULA(ISNUMBER(SEARCH(prs!$A$30:$A$36,$W44))),0)),"""")"),"")</f>
        <v/>
      </c>
      <c r="AB44" s="128" t="n"/>
      <c r="AC44" s="137" t="n"/>
    </row>
    <row r="45" ht="21" customHeight="1" s="98">
      <c r="A45" s="137" t="n"/>
      <c r="B45" s="125" t="n"/>
      <c r="C45" s="145" t="n"/>
      <c r="D45" s="145" t="n"/>
      <c r="E45" s="145" t="n"/>
      <c r="F45" s="127">
        <f>IFERROR(__xludf.DUMMYFUNCTION("IFERROR($E45/INDEX(prs!$D$30:$D$36,MATCH(TRUE,ARRAYFORMULA(ISNUMBER(SEARCH(prs!$A$30:$A$36,$B45))),0)),"""")"),"")</f>
        <v/>
      </c>
      <c r="G45" s="128" t="n"/>
      <c r="H45" s="149" t="n"/>
      <c r="I45" s="125" t="n"/>
      <c r="J45" s="145" t="n"/>
      <c r="K45" s="145" t="n"/>
      <c r="L45" s="145" t="n"/>
      <c r="M45" s="127">
        <f>IFERROR(__xludf.DUMMYFUNCTION("IFERROR($L45/INDEX(prs!$D$30:$D$36,MATCH(TRUE,ARRAYFORMULA(ISNUMBER(SEARCH(prs!$A$30:$A$36,$I45))),0)),"""")"),"")</f>
        <v/>
      </c>
      <c r="N45" s="128" t="n"/>
      <c r="O45" s="149" t="n"/>
      <c r="P45" s="125" t="n"/>
      <c r="Q45" s="145" t="n"/>
      <c r="R45" s="145" t="n"/>
      <c r="S45" s="145" t="n"/>
      <c r="T45" s="127">
        <f>IFERROR(__xludf.DUMMYFUNCTION("IFERROR($S45/INDEX(prs!$D$30:$D$36,MATCH(TRUE,ARRAYFORMULA(ISNUMBER(SEARCH(prs!$A$30:$A$36,$P45))),0)),"""")"),"")</f>
        <v/>
      </c>
      <c r="U45" s="128" t="n"/>
      <c r="V45" s="149" t="n"/>
      <c r="W45" s="125" t="n"/>
      <c r="X45" s="145" t="n"/>
      <c r="Y45" s="145" t="n"/>
      <c r="Z45" s="145" t="n"/>
      <c r="AA45" s="127">
        <f>IFERROR(__xludf.DUMMYFUNCTION("IFERROR($Z45/INDEX(prs!$D$30:$D$36,MATCH(TRUE,ARRAYFORMULA(ISNUMBER(SEARCH(prs!$A$30:$A$36,$W45))),0)),"""")"),"")</f>
        <v/>
      </c>
      <c r="AB45" s="128" t="n"/>
      <c r="AC45" s="137" t="n"/>
    </row>
    <row r="46" ht="18" customHeight="1" s="98">
      <c r="A46" s="146" t="n"/>
      <c r="B46" s="147" t="n"/>
      <c r="C46" s="148" t="inlineStr">
        <is>
          <t>SEMANA 01</t>
        </is>
      </c>
      <c r="D46" s="129" t="n"/>
      <c r="E46" s="129" t="n"/>
      <c r="F46" s="129" t="n"/>
      <c r="G46" s="129" t="n"/>
      <c r="H46" s="137" t="n"/>
      <c r="I46" s="147" t="n"/>
      <c r="J46" s="148" t="inlineStr">
        <is>
          <t>SEMANA 02</t>
        </is>
      </c>
      <c r="K46" s="129" t="n"/>
      <c r="L46" s="129" t="n"/>
      <c r="M46" s="129" t="n"/>
      <c r="N46" s="129" t="n"/>
      <c r="O46" s="137" t="n"/>
      <c r="P46" s="147" t="n"/>
      <c r="Q46" s="148" t="inlineStr">
        <is>
          <t>SEMANA 03</t>
        </is>
      </c>
      <c r="R46" s="129" t="n"/>
      <c r="S46" s="129" t="n"/>
      <c r="T46" s="129" t="n"/>
      <c r="U46" s="129" t="n"/>
      <c r="V46" s="137" t="n"/>
      <c r="W46" s="147" t="n"/>
      <c r="X46" s="148" t="inlineStr">
        <is>
          <t>SEMANA 04</t>
        </is>
      </c>
      <c r="Y46" s="129" t="n"/>
      <c r="Z46" s="129" t="n"/>
      <c r="AA46" s="129" t="n"/>
      <c r="AB46" s="129" t="n"/>
      <c r="AC46" s="137" t="n"/>
    </row>
    <row r="47" ht="8" customHeight="1" s="98">
      <c r="A47" s="149" t="n"/>
      <c r="B47" s="149" t="n"/>
      <c r="C47" s="149" t="n"/>
      <c r="D47" s="149" t="n"/>
      <c r="H47" s="149" t="n"/>
      <c r="I47" s="149" t="n"/>
      <c r="J47" s="149" t="n"/>
      <c r="K47" s="149" t="n"/>
      <c r="O47" s="149" t="n"/>
      <c r="P47" s="149" t="n"/>
      <c r="Q47" s="149" t="n"/>
      <c r="R47" s="149" t="n"/>
      <c r="V47" s="149" t="n"/>
      <c r="W47" s="149" t="n"/>
      <c r="X47" s="149" t="n"/>
      <c r="Y47" s="149" t="n"/>
      <c r="AC47" s="149" t="n"/>
    </row>
    <row r="48" ht="21" customHeight="1" s="98">
      <c r="A48" s="150" t="n"/>
      <c r="B48" s="150" t="n"/>
      <c r="C48" s="150" t="n"/>
      <c r="D48" s="150" t="n"/>
      <c r="E48" s="150" t="n"/>
      <c r="F48" s="150" t="n"/>
      <c r="G48" s="150" t="n"/>
      <c r="H48" s="150" t="n"/>
      <c r="I48" s="150" t="n"/>
      <c r="J48" s="150" t="n"/>
      <c r="K48" s="150" t="n"/>
      <c r="L48" s="150" t="n"/>
      <c r="M48" s="150" t="n"/>
      <c r="N48" s="150" t="n"/>
      <c r="O48" s="150" t="n"/>
      <c r="P48" s="150" t="n"/>
      <c r="Q48" s="150" t="n"/>
      <c r="R48" s="150" t="n"/>
      <c r="S48" s="150" t="n"/>
      <c r="T48" s="150" t="n"/>
      <c r="U48" s="150" t="n"/>
      <c r="V48" s="150" t="n"/>
      <c r="W48" s="150" t="n"/>
      <c r="X48" s="150" t="n"/>
      <c r="Y48" s="150" t="n"/>
      <c r="Z48" s="150" t="n"/>
      <c r="AA48" s="150" t="n"/>
      <c r="AB48" s="150" t="n"/>
      <c r="AC48" s="150" t="n"/>
    </row>
    <row r="49" ht="21" customHeight="1" s="98">
      <c r="A49" s="150" t="n"/>
      <c r="B49" s="150" t="n"/>
      <c r="C49" s="150" t="n"/>
      <c r="D49" s="150" t="n"/>
      <c r="E49" s="150" t="n"/>
      <c r="F49" s="150" t="n"/>
      <c r="G49" s="150" t="n"/>
      <c r="H49" s="150" t="n"/>
      <c r="I49" s="150" t="n"/>
      <c r="J49" s="150" t="n"/>
      <c r="K49" s="150" t="n"/>
      <c r="L49" s="150" t="n"/>
      <c r="M49" s="150" t="n"/>
      <c r="N49" s="150" t="n"/>
      <c r="O49" s="150" t="n"/>
      <c r="P49" s="150" t="n"/>
      <c r="Q49" s="150" t="n"/>
      <c r="R49" s="150" t="n"/>
      <c r="S49" s="150" t="n"/>
      <c r="T49" s="150" t="n"/>
      <c r="U49" s="150" t="n"/>
      <c r="V49" s="150" t="n"/>
      <c r="W49" s="150" t="n"/>
      <c r="X49" s="150" t="n"/>
      <c r="Y49" s="150" t="n"/>
      <c r="Z49" s="150" t="n"/>
      <c r="AA49" s="150" t="n"/>
      <c r="AB49" s="150" t="n"/>
      <c r="AC49" s="150" t="n"/>
    </row>
    <row r="50" ht="21" customHeight="1" s="98">
      <c r="A50" s="150" t="n"/>
      <c r="B50" s="150" t="n"/>
      <c r="C50" s="150" t="n"/>
      <c r="D50" s="150" t="n"/>
      <c r="E50" s="150" t="n"/>
      <c r="F50" s="150" t="n"/>
      <c r="G50" s="150" t="n"/>
      <c r="H50" s="150" t="n"/>
      <c r="I50" s="150" t="n"/>
      <c r="J50" s="150" t="n"/>
      <c r="K50" s="150" t="n"/>
      <c r="L50" s="150" t="n"/>
      <c r="M50" s="150" t="n"/>
      <c r="N50" s="150" t="n"/>
      <c r="O50" s="150" t="n"/>
      <c r="P50" s="150" t="n"/>
      <c r="Q50" s="150" t="n"/>
      <c r="R50" s="150" t="n"/>
      <c r="S50" s="150" t="n"/>
      <c r="T50" s="150" t="n"/>
      <c r="U50" s="150" t="n"/>
      <c r="V50" s="150" t="n"/>
      <c r="W50" s="150" t="n"/>
      <c r="X50" s="150" t="n"/>
      <c r="Y50" s="150" t="n"/>
      <c r="Z50" s="150" t="n"/>
      <c r="AA50" s="150" t="n"/>
      <c r="AB50" s="150" t="n"/>
      <c r="AC50" s="150" t="n"/>
    </row>
    <row r="51" ht="21" customHeight="1" s="98">
      <c r="A51" s="150" t="n"/>
      <c r="B51" s="150" t="n"/>
      <c r="C51" s="150" t="n"/>
      <c r="D51" s="150" t="n"/>
      <c r="E51" s="150" t="n"/>
      <c r="F51" s="150" t="n"/>
      <c r="G51" s="150" t="n"/>
      <c r="H51" s="150" t="n"/>
      <c r="I51" s="150" t="n"/>
      <c r="J51" s="150" t="n"/>
      <c r="K51" s="150" t="n"/>
      <c r="L51" s="150" t="n"/>
      <c r="M51" s="150" t="n"/>
      <c r="N51" s="150" t="n"/>
      <c r="O51" s="150" t="n"/>
      <c r="P51" s="150" t="n"/>
      <c r="Q51" s="150" t="n"/>
      <c r="R51" s="150" t="n"/>
      <c r="S51" s="150" t="n"/>
      <c r="T51" s="150" t="n"/>
      <c r="U51" s="150" t="n"/>
      <c r="V51" s="150" t="n"/>
      <c r="W51" s="150" t="n"/>
      <c r="X51" s="150" t="n"/>
      <c r="Y51" s="150" t="n"/>
      <c r="Z51" s="150" t="n"/>
      <c r="AA51" s="150" t="n"/>
      <c r="AB51" s="150" t="n"/>
      <c r="AC51" s="150" t="n"/>
    </row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40">
    <mergeCell ref="R17:U17"/>
    <mergeCell ref="Q16:U16"/>
    <mergeCell ref="K17:N17"/>
    <mergeCell ref="Q3:U3"/>
    <mergeCell ref="C33:G33"/>
    <mergeCell ref="X46:AB46"/>
    <mergeCell ref="Q33:U33"/>
    <mergeCell ref="Q18:U18"/>
    <mergeCell ref="R2:U2"/>
    <mergeCell ref="Y32:AB32"/>
    <mergeCell ref="X16:AB16"/>
    <mergeCell ref="C16:G16"/>
    <mergeCell ref="Y47:AB47"/>
    <mergeCell ref="C31:G31"/>
    <mergeCell ref="X18:AB18"/>
    <mergeCell ref="X3:AB3"/>
    <mergeCell ref="Q31:U31"/>
    <mergeCell ref="X33:AB33"/>
    <mergeCell ref="C46:G46"/>
    <mergeCell ref="J16:N16"/>
    <mergeCell ref="K47:N47"/>
    <mergeCell ref="Q46:U46"/>
    <mergeCell ref="Y2:AB2"/>
    <mergeCell ref="K32:N32"/>
    <mergeCell ref="D2:G2"/>
    <mergeCell ref="J31:N31"/>
    <mergeCell ref="D32:G32"/>
    <mergeCell ref="D17:G17"/>
    <mergeCell ref="J3:N3"/>
    <mergeCell ref="Y17:AB17"/>
    <mergeCell ref="J46:N46"/>
    <mergeCell ref="D47:G47"/>
    <mergeCell ref="J18:N18"/>
    <mergeCell ref="K2:N2"/>
    <mergeCell ref="J33:N33"/>
    <mergeCell ref="X31:AB31"/>
    <mergeCell ref="R47:U47"/>
    <mergeCell ref="C18:G18"/>
    <mergeCell ref="R32:U32"/>
    <mergeCell ref="C3:G3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tabColor rgb="00D9D7D0"/>
    <outlinePr summaryBelow="0" summaryRight="0"/>
    <pageSetUpPr/>
  </sheetPr>
  <dimension ref="A1:J40"/>
  <sheetViews>
    <sheetView showGridLines="0" workbookViewId="0">
      <selection activeCell="A1" sqref="A1"/>
    </sheetView>
  </sheetViews>
  <sheetFormatPr baseColWidth="8" defaultColWidth="12.63" defaultRowHeight="15" customHeight="1"/>
  <cols>
    <col width="23.75" customWidth="1" style="98" min="1" max="1"/>
    <col width="12.63" customWidth="1" style="98" min="2" max="6"/>
  </cols>
  <sheetData>
    <row r="1" ht="8" customHeight="1" s="98">
      <c r="A1" s="153" t="n"/>
      <c r="B1" s="115" t="n"/>
      <c r="C1" s="115" t="n"/>
      <c r="D1" s="115" t="n"/>
      <c r="E1" s="115" t="n"/>
      <c r="F1" s="115" t="n"/>
      <c r="G1" s="115" t="n"/>
      <c r="H1" s="115" t="n"/>
      <c r="I1" s="115" t="n"/>
      <c r="J1" s="115" t="n"/>
    </row>
    <row r="2" ht="26" customHeight="1" s="98">
      <c r="A2" s="154" t="inlineStr">
        <is>
          <t>BLOCO</t>
        </is>
      </c>
      <c r="B2" s="139" t="inlineStr">
        <is>
          <t>bloco 01</t>
        </is>
      </c>
      <c r="C2" s="139" t="n"/>
      <c r="D2" s="139" t="n"/>
      <c r="E2" s="139" t="n"/>
      <c r="F2" s="139" t="n"/>
      <c r="G2" s="139" t="n"/>
      <c r="H2" s="139" t="n"/>
      <c r="I2" s="139" t="n"/>
      <c r="J2" s="139" t="n"/>
    </row>
    <row r="3" ht="18" customHeight="1" s="98">
      <c r="A3" s="155" t="inlineStr">
        <is>
          <t>DATA</t>
        </is>
      </c>
      <c r="B3" s="156">
        <f>macro!B6</f>
        <v/>
      </c>
      <c r="C3" s="115" t="n"/>
      <c r="D3" s="115" t="n"/>
      <c r="E3" s="115" t="n"/>
      <c r="F3" s="115" t="n"/>
      <c r="G3" s="115" t="n"/>
      <c r="H3" s="115" t="n"/>
      <c r="I3" s="115" t="n"/>
      <c r="J3" s="115" t="n"/>
    </row>
    <row r="4" ht="8" customHeight="1" s="98">
      <c r="A4" s="115" t="n"/>
      <c r="B4" s="115" t="n"/>
      <c r="C4" s="115" t="n"/>
      <c r="D4" s="115" t="n"/>
      <c r="E4" s="115" t="n"/>
      <c r="F4" s="115" t="n"/>
      <c r="G4" s="115" t="n"/>
      <c r="H4" s="115" t="n"/>
      <c r="I4" s="115" t="n"/>
      <c r="J4" s="115" t="n"/>
    </row>
    <row r="5" ht="18" customHeight="1" s="98">
      <c r="A5" s="116" t="n"/>
      <c r="B5" s="120" t="inlineStr">
        <is>
          <t>REPS</t>
        </is>
      </c>
      <c r="C5" s="116" t="inlineStr">
        <is>
          <t>KG</t>
        </is>
      </c>
      <c r="D5" s="157" t="n">
        <v>1</v>
      </c>
      <c r="E5" s="157" t="n">
        <v>0.95</v>
      </c>
      <c r="F5" s="157" t="n">
        <v>0.9</v>
      </c>
      <c r="G5" s="157" t="n">
        <v>0.85</v>
      </c>
      <c r="H5" s="157" t="n">
        <v>0.8</v>
      </c>
      <c r="I5" s="157" t="n">
        <v>0.75</v>
      </c>
      <c r="J5" s="157" t="n">
        <v>0.7</v>
      </c>
    </row>
    <row r="6" ht="21" customHeight="1" s="98">
      <c r="A6" s="125" t="inlineStr">
        <is>
          <t>Agachamento</t>
        </is>
      </c>
      <c r="B6" s="145" t="n"/>
      <c r="C6" s="145" t="n"/>
      <c r="D6" s="158">
        <f>C6/(1.0278-(0.0278*B6))</f>
        <v/>
      </c>
      <c r="E6" s="158">
        <f>(D6*0.95)</f>
        <v/>
      </c>
      <c r="F6" s="158">
        <f>(D6*0.9)</f>
        <v/>
      </c>
      <c r="G6" s="158">
        <f>(D6*0.85)</f>
        <v/>
      </c>
      <c r="H6" s="158">
        <f>(D6*0.8)</f>
        <v/>
      </c>
      <c r="I6" s="158">
        <f>(D6*0.75)</f>
        <v/>
      </c>
      <c r="J6" s="158">
        <f>(D6*0.7)</f>
        <v/>
      </c>
    </row>
    <row r="7" ht="21" customHeight="1" s="98">
      <c r="A7" s="125" t="inlineStr">
        <is>
          <t>Supino</t>
        </is>
      </c>
      <c r="B7" s="145" t="n"/>
      <c r="C7" s="145" t="n"/>
      <c r="D7" s="158">
        <f>C7/(1.0278-(0.0278*B7))</f>
        <v/>
      </c>
      <c r="E7" s="158">
        <f>(D7*0.95)</f>
        <v/>
      </c>
      <c r="F7" s="158">
        <f>(D7*0.9)</f>
        <v/>
      </c>
      <c r="G7" s="158">
        <f>(D7*0.85)</f>
        <v/>
      </c>
      <c r="H7" s="158">
        <f>(D7*0.8)</f>
        <v/>
      </c>
      <c r="I7" s="158">
        <f>(D7*0.75)</f>
        <v/>
      </c>
      <c r="J7" s="158">
        <f>(D7*0.7)</f>
        <v/>
      </c>
    </row>
    <row r="8" ht="21" customHeight="1" s="98">
      <c r="A8" s="125" t="inlineStr">
        <is>
          <t>Terra</t>
        </is>
      </c>
      <c r="B8" s="145" t="n"/>
      <c r="C8" s="145" t="n"/>
      <c r="D8" s="158">
        <f>C8/(1.0278-(0.0278*B8))</f>
        <v/>
      </c>
      <c r="E8" s="158">
        <f>(D8*0.95)</f>
        <v/>
      </c>
      <c r="F8" s="158">
        <f>(D8*0.9)</f>
        <v/>
      </c>
      <c r="G8" s="158">
        <f>(D8*0.85)</f>
        <v/>
      </c>
      <c r="H8" s="158">
        <f>(D8*0.8)</f>
        <v/>
      </c>
      <c r="I8" s="158">
        <f>(D8*0.75)</f>
        <v/>
      </c>
      <c r="J8" s="158">
        <f>(D8*0.7)</f>
        <v/>
      </c>
    </row>
    <row r="9" ht="21" customHeight="1" s="98">
      <c r="A9" s="125" t="inlineStr">
        <is>
          <t>Desenvolvimento</t>
        </is>
      </c>
      <c r="B9" s="145" t="n"/>
      <c r="C9" s="145" t="n"/>
      <c r="D9" s="158">
        <f>C9/(1.0278-(0.0278*B9))</f>
        <v/>
      </c>
      <c r="E9" s="158">
        <f>(D9*0.95)</f>
        <v/>
      </c>
      <c r="F9" s="158">
        <f>(D9*0.9)</f>
        <v/>
      </c>
      <c r="G9" s="158">
        <f>(D9*0.85)</f>
        <v/>
      </c>
      <c r="H9" s="158">
        <f>(D9*0.8)</f>
        <v/>
      </c>
      <c r="I9" s="158">
        <f>(D9*0.75)</f>
        <v/>
      </c>
      <c r="J9" s="158">
        <f>(D9*0.7)</f>
        <v/>
      </c>
    </row>
    <row r="10" ht="21" customHeight="1" s="98">
      <c r="A10" s="125" t="inlineStr">
        <is>
          <t>Remada</t>
        </is>
      </c>
      <c r="B10" s="145" t="n"/>
      <c r="C10" s="145" t="n"/>
      <c r="D10" s="158">
        <f>C10/(1.0278-(0.0278*B10))</f>
        <v/>
      </c>
      <c r="E10" s="158">
        <f>(D10*0.95)</f>
        <v/>
      </c>
      <c r="F10" s="158">
        <f>(D10*0.9)</f>
        <v/>
      </c>
      <c r="G10" s="158">
        <f>(D10*0.85)</f>
        <v/>
      </c>
      <c r="H10" s="158">
        <f>(D10*0.8)</f>
        <v/>
      </c>
      <c r="I10" s="158">
        <f>(D10*0.75)</f>
        <v/>
      </c>
      <c r="J10" s="158">
        <f>(D10*0.7)</f>
        <v/>
      </c>
    </row>
    <row r="11" ht="21" customHeight="1" s="98">
      <c r="A11" s="125" t="inlineStr">
        <is>
          <t>Arranco</t>
        </is>
      </c>
      <c r="B11" s="145" t="n"/>
      <c r="C11" s="145" t="n"/>
      <c r="D11" s="158">
        <f>C11/(1.0278-(0.0278*B11))</f>
        <v/>
      </c>
      <c r="E11" s="158">
        <f>(D11*0.95)</f>
        <v/>
      </c>
      <c r="F11" s="158">
        <f>(D11*0.9)</f>
        <v/>
      </c>
      <c r="G11" s="158">
        <f>(D11*0.85)</f>
        <v/>
      </c>
      <c r="H11" s="158">
        <f>(D11*0.8)</f>
        <v/>
      </c>
      <c r="I11" s="158">
        <f>(D11*0.75)</f>
        <v/>
      </c>
      <c r="J11" s="158">
        <f>(D11*0.7)</f>
        <v/>
      </c>
    </row>
    <row r="12" ht="21" customHeight="1" s="98">
      <c r="A12" s="125" t="inlineStr">
        <is>
          <t>Arremesso</t>
        </is>
      </c>
      <c r="B12" s="145" t="n"/>
      <c r="C12" s="145" t="n"/>
      <c r="D12" s="158">
        <f>C12/(1.0278-(0.0278*B12))</f>
        <v/>
      </c>
      <c r="E12" s="158">
        <f>(D12*0.95)</f>
        <v/>
      </c>
      <c r="F12" s="158">
        <f>(D12*0.9)</f>
        <v/>
      </c>
      <c r="G12" s="158">
        <f>(D12*0.85)</f>
        <v/>
      </c>
      <c r="H12" s="158">
        <f>(D12*0.8)</f>
        <v/>
      </c>
      <c r="I12" s="158">
        <f>(D12*0.75)</f>
        <v/>
      </c>
      <c r="J12" s="158">
        <f>(D12*0.7)</f>
        <v/>
      </c>
    </row>
    <row r="13" ht="8" customHeight="1" s="98">
      <c r="A13" s="153" t="n"/>
      <c r="B13" s="115" t="n"/>
      <c r="C13" s="115" t="n"/>
      <c r="D13" s="115" t="n"/>
      <c r="E13" s="115" t="n"/>
      <c r="F13" s="115" t="n"/>
      <c r="G13" s="115" t="n"/>
      <c r="H13" s="115" t="n"/>
      <c r="I13" s="115" t="n"/>
      <c r="J13" s="115" t="n"/>
    </row>
    <row r="14" ht="26" customHeight="1" s="98">
      <c r="A14" s="154" t="inlineStr">
        <is>
          <t>BLOCO</t>
        </is>
      </c>
      <c r="B14" s="139" t="inlineStr">
        <is>
          <t>bloco 02</t>
        </is>
      </c>
      <c r="C14" s="139" t="n"/>
      <c r="D14" s="139" t="n"/>
      <c r="E14" s="139" t="n"/>
      <c r="F14" s="139" t="n"/>
      <c r="G14" s="139" t="n"/>
      <c r="H14" s="139" t="n"/>
      <c r="I14" s="139" t="n"/>
      <c r="J14" s="139" t="n"/>
    </row>
    <row r="15" ht="18" customHeight="1" s="98">
      <c r="A15" s="155" t="inlineStr">
        <is>
          <t>DATA</t>
        </is>
      </c>
      <c r="B15" s="156">
        <f>B3+28</f>
        <v/>
      </c>
      <c r="C15" s="115" t="n"/>
      <c r="D15" s="115" t="n"/>
      <c r="E15" s="115" t="n"/>
      <c r="F15" s="115" t="n"/>
      <c r="G15" s="115" t="n"/>
      <c r="H15" s="115" t="n"/>
      <c r="I15" s="115" t="n"/>
      <c r="J15" s="115" t="n"/>
    </row>
    <row r="16" ht="8" customHeight="1" s="98">
      <c r="A16" s="115" t="n"/>
      <c r="B16" s="115" t="n"/>
      <c r="C16" s="115" t="n"/>
      <c r="D16" s="115" t="n"/>
      <c r="E16" s="115" t="n"/>
      <c r="F16" s="115" t="n"/>
      <c r="G16" s="115" t="n"/>
      <c r="H16" s="115" t="n"/>
      <c r="I16" s="115" t="n"/>
      <c r="J16" s="115" t="n"/>
    </row>
    <row r="17" ht="18" customHeight="1" s="98">
      <c r="A17" s="116" t="n"/>
      <c r="B17" s="120" t="inlineStr">
        <is>
          <t>REPS</t>
        </is>
      </c>
      <c r="C17" s="116" t="inlineStr">
        <is>
          <t>KG</t>
        </is>
      </c>
      <c r="D17" s="157" t="n">
        <v>1</v>
      </c>
      <c r="E17" s="157" t="n">
        <v>0.95</v>
      </c>
      <c r="F17" s="157" t="n">
        <v>0.9</v>
      </c>
      <c r="G17" s="157" t="n">
        <v>0.85</v>
      </c>
      <c r="H17" s="157" t="n">
        <v>0.8</v>
      </c>
      <c r="I17" s="157" t="n">
        <v>0.75</v>
      </c>
      <c r="J17" s="157" t="n">
        <v>0.7</v>
      </c>
    </row>
    <row r="18" ht="21" customHeight="1" s="98">
      <c r="A18" s="125" t="inlineStr">
        <is>
          <t>Agachamento</t>
        </is>
      </c>
      <c r="B18" s="145" t="n"/>
      <c r="C18" s="145" t="n"/>
      <c r="D18" s="158">
        <f>C18/(1.0278-(0.0278*B18))</f>
        <v/>
      </c>
      <c r="E18" s="158">
        <f>(D18*0.95)</f>
        <v/>
      </c>
      <c r="F18" s="158">
        <f>(D18*0.9)</f>
        <v/>
      </c>
      <c r="G18" s="158">
        <f>(D18*0.85)</f>
        <v/>
      </c>
      <c r="H18" s="158">
        <f>(D18*0.8)</f>
        <v/>
      </c>
      <c r="I18" s="158">
        <f>(D18*0.75)</f>
        <v/>
      </c>
      <c r="J18" s="158">
        <f>(D18*0.7)</f>
        <v/>
      </c>
    </row>
    <row r="19" ht="21" customHeight="1" s="98">
      <c r="A19" s="125" t="inlineStr">
        <is>
          <t>Supino</t>
        </is>
      </c>
      <c r="B19" s="145" t="n"/>
      <c r="C19" s="145" t="n"/>
      <c r="D19" s="158">
        <f>C19/(1.0278-(0.0278*B19))</f>
        <v/>
      </c>
      <c r="E19" s="158">
        <f>(D19*0.95)</f>
        <v/>
      </c>
      <c r="F19" s="158">
        <f>(D19*0.9)</f>
        <v/>
      </c>
      <c r="G19" s="158">
        <f>(D19*0.85)</f>
        <v/>
      </c>
      <c r="H19" s="158">
        <f>(D19*0.8)</f>
        <v/>
      </c>
      <c r="I19" s="158">
        <f>(D19*0.75)</f>
        <v/>
      </c>
      <c r="J19" s="158">
        <f>(D19*0.7)</f>
        <v/>
      </c>
    </row>
    <row r="20" ht="21" customHeight="1" s="98">
      <c r="A20" s="125" t="inlineStr">
        <is>
          <t>Terra</t>
        </is>
      </c>
      <c r="B20" s="145" t="n"/>
      <c r="C20" s="145" t="n"/>
      <c r="D20" s="158">
        <f>C20/(1.0278-(0.0278*B20))</f>
        <v/>
      </c>
      <c r="E20" s="158">
        <f>(D20*0.95)</f>
        <v/>
      </c>
      <c r="F20" s="158">
        <f>(D20*0.9)</f>
        <v/>
      </c>
      <c r="G20" s="158">
        <f>(D20*0.85)</f>
        <v/>
      </c>
      <c r="H20" s="158">
        <f>(D20*0.8)</f>
        <v/>
      </c>
      <c r="I20" s="158">
        <f>(D20*0.75)</f>
        <v/>
      </c>
      <c r="J20" s="158">
        <f>(D20*0.7)</f>
        <v/>
      </c>
    </row>
    <row r="21" ht="21" customHeight="1" s="98">
      <c r="A21" s="125" t="inlineStr">
        <is>
          <t>Desenvolvimento</t>
        </is>
      </c>
      <c r="B21" s="145" t="n"/>
      <c r="C21" s="145" t="n"/>
      <c r="D21" s="158">
        <f>C21/(1.0278-(0.0278*B21))</f>
        <v/>
      </c>
      <c r="E21" s="158">
        <f>(D21*0.95)</f>
        <v/>
      </c>
      <c r="F21" s="158">
        <f>(D21*0.9)</f>
        <v/>
      </c>
      <c r="G21" s="158">
        <f>(D21*0.85)</f>
        <v/>
      </c>
      <c r="H21" s="158">
        <f>(D21*0.8)</f>
        <v/>
      </c>
      <c r="I21" s="158">
        <f>(D21*0.75)</f>
        <v/>
      </c>
      <c r="J21" s="158">
        <f>(D21*0.7)</f>
        <v/>
      </c>
    </row>
    <row r="22" ht="21" customHeight="1" s="98">
      <c r="A22" s="125" t="inlineStr">
        <is>
          <t>Remada</t>
        </is>
      </c>
      <c r="B22" s="145" t="n"/>
      <c r="C22" s="145" t="n"/>
      <c r="D22" s="158">
        <f>C22/(1.0278-(0.0278*B22))</f>
        <v/>
      </c>
      <c r="E22" s="158">
        <f>(D22*0.95)</f>
        <v/>
      </c>
      <c r="F22" s="158">
        <f>(D22*0.9)</f>
        <v/>
      </c>
      <c r="G22" s="158">
        <f>(D22*0.85)</f>
        <v/>
      </c>
      <c r="H22" s="158">
        <f>(D22*0.8)</f>
        <v/>
      </c>
      <c r="I22" s="158">
        <f>(D22*0.75)</f>
        <v/>
      </c>
      <c r="J22" s="158">
        <f>(D22*0.7)</f>
        <v/>
      </c>
    </row>
    <row r="23" ht="21" customHeight="1" s="98">
      <c r="A23" s="125" t="inlineStr">
        <is>
          <t>Arranco</t>
        </is>
      </c>
      <c r="B23" s="145" t="n"/>
      <c r="C23" s="145" t="n"/>
      <c r="D23" s="158">
        <f>C23/(1.0278-(0.0278*B23))</f>
        <v/>
      </c>
      <c r="E23" s="158">
        <f>(D23*0.95)</f>
        <v/>
      </c>
      <c r="F23" s="158">
        <f>(D23*0.9)</f>
        <v/>
      </c>
      <c r="G23" s="158">
        <f>(D23*0.85)</f>
        <v/>
      </c>
      <c r="H23" s="158">
        <f>(D23*0.8)</f>
        <v/>
      </c>
      <c r="I23" s="158">
        <f>(D23*0.75)</f>
        <v/>
      </c>
      <c r="J23" s="158">
        <f>(D23*0.7)</f>
        <v/>
      </c>
    </row>
    <row r="24" ht="21" customHeight="1" s="98">
      <c r="A24" s="125" t="inlineStr">
        <is>
          <t>Arremesso</t>
        </is>
      </c>
      <c r="B24" s="145" t="n"/>
      <c r="C24" s="145" t="n"/>
      <c r="D24" s="158">
        <f>C24/(1.0278-(0.0278*B24))</f>
        <v/>
      </c>
      <c r="E24" s="158">
        <f>(D24*0.95)</f>
        <v/>
      </c>
      <c r="F24" s="158">
        <f>(D24*0.9)</f>
        <v/>
      </c>
      <c r="G24" s="158">
        <f>(D24*0.85)</f>
        <v/>
      </c>
      <c r="H24" s="158">
        <f>(D24*0.8)</f>
        <v/>
      </c>
      <c r="I24" s="158">
        <f>(D24*0.75)</f>
        <v/>
      </c>
      <c r="J24" s="158">
        <f>(D24*0.7)</f>
        <v/>
      </c>
    </row>
    <row r="25" ht="8" customHeight="1" s="98">
      <c r="A25" s="153" t="n"/>
      <c r="B25" s="115" t="n"/>
      <c r="C25" s="115" t="n"/>
      <c r="D25" s="115" t="n"/>
      <c r="E25" s="115" t="n"/>
      <c r="F25" s="115" t="n"/>
      <c r="G25" s="115" t="n"/>
      <c r="H25" s="115" t="n"/>
      <c r="I25" s="115" t="n"/>
      <c r="J25" s="115" t="n"/>
    </row>
    <row r="26" ht="26" customHeight="1" s="98">
      <c r="A26" s="154" t="inlineStr">
        <is>
          <t>BLOCO</t>
        </is>
      </c>
      <c r="B26" s="139" t="inlineStr">
        <is>
          <t>bloco 03</t>
        </is>
      </c>
      <c r="C26" s="139" t="n"/>
      <c r="D26" s="139" t="n"/>
      <c r="E26" s="139" t="n"/>
      <c r="F26" s="139" t="n"/>
      <c r="G26" s="139" t="n"/>
      <c r="H26" s="139" t="n"/>
      <c r="I26" s="139" t="n"/>
      <c r="J26" s="139" t="n"/>
    </row>
    <row r="27" ht="18" customHeight="1" s="98">
      <c r="A27" s="155" t="inlineStr">
        <is>
          <t>DATA</t>
        </is>
      </c>
      <c r="B27" s="156">
        <f>B15+28</f>
        <v/>
      </c>
      <c r="C27" s="115" t="n"/>
      <c r="D27" s="115" t="n"/>
      <c r="E27" s="115" t="n"/>
      <c r="F27" s="115" t="n"/>
      <c r="G27" s="115" t="n"/>
      <c r="H27" s="115" t="n"/>
      <c r="I27" s="115" t="n"/>
      <c r="J27" s="115" t="n"/>
    </row>
    <row r="28" ht="8" customHeight="1" s="98">
      <c r="A28" s="115" t="n"/>
      <c r="B28" s="115" t="n"/>
      <c r="C28" s="115" t="n"/>
      <c r="D28" s="115" t="n"/>
      <c r="E28" s="115" t="n"/>
      <c r="F28" s="115" t="n"/>
      <c r="G28" s="115" t="n"/>
      <c r="H28" s="115" t="n"/>
      <c r="I28" s="115" t="n"/>
      <c r="J28" s="115" t="n"/>
    </row>
    <row r="29" ht="18" customHeight="1" s="98">
      <c r="A29" s="116" t="n"/>
      <c r="B29" s="120" t="inlineStr">
        <is>
          <t>REPS</t>
        </is>
      </c>
      <c r="C29" s="116" t="inlineStr">
        <is>
          <t>KG</t>
        </is>
      </c>
      <c r="D29" s="157" t="n">
        <v>1</v>
      </c>
      <c r="E29" s="157" t="n">
        <v>0.95</v>
      </c>
      <c r="F29" s="157" t="n">
        <v>0.9</v>
      </c>
      <c r="G29" s="157" t="n">
        <v>0.85</v>
      </c>
      <c r="H29" s="157" t="n">
        <v>0.8</v>
      </c>
      <c r="I29" s="157" t="n">
        <v>0.75</v>
      </c>
      <c r="J29" s="157" t="n">
        <v>0.7</v>
      </c>
    </row>
    <row r="30" ht="21" customHeight="1" s="98">
      <c r="A30" s="125" t="inlineStr">
        <is>
          <t>Agachamento</t>
        </is>
      </c>
      <c r="B30" s="145" t="n"/>
      <c r="C30" s="145" t="n"/>
      <c r="D30" s="158">
        <f>C30/(1.0278-(0.0278*B30))</f>
        <v/>
      </c>
      <c r="E30" s="158">
        <f>(D30*0.95)</f>
        <v/>
      </c>
      <c r="F30" s="158">
        <f>(D30*0.9)</f>
        <v/>
      </c>
      <c r="G30" s="158">
        <f>(D30*0.85)</f>
        <v/>
      </c>
      <c r="H30" s="158">
        <f>(D30*0.8)</f>
        <v/>
      </c>
      <c r="I30" s="158">
        <f>(D30*0.75)</f>
        <v/>
      </c>
      <c r="J30" s="158">
        <f>(D30*0.7)</f>
        <v/>
      </c>
    </row>
    <row r="31" ht="21" customHeight="1" s="98">
      <c r="A31" s="125" t="inlineStr">
        <is>
          <t>Supino</t>
        </is>
      </c>
      <c r="B31" s="145" t="n"/>
      <c r="C31" s="145" t="n"/>
      <c r="D31" s="158">
        <f>C31/(1.0278-(0.0278*B31))</f>
        <v/>
      </c>
      <c r="E31" s="158">
        <f>(D31*0.95)</f>
        <v/>
      </c>
      <c r="F31" s="158">
        <f>(D31*0.9)</f>
        <v/>
      </c>
      <c r="G31" s="158">
        <f>(D31*0.85)</f>
        <v/>
      </c>
      <c r="H31" s="158">
        <f>(D31*0.8)</f>
        <v/>
      </c>
      <c r="I31" s="158">
        <f>(D31*0.75)</f>
        <v/>
      </c>
      <c r="J31" s="158">
        <f>(D31*0.7)</f>
        <v/>
      </c>
    </row>
    <row r="32" ht="21" customHeight="1" s="98">
      <c r="A32" s="125" t="inlineStr">
        <is>
          <t>Terra</t>
        </is>
      </c>
      <c r="B32" s="145" t="n"/>
      <c r="C32" s="145" t="n"/>
      <c r="D32" s="158">
        <f>C32/(1.0278-(0.0278*B32))</f>
        <v/>
      </c>
      <c r="E32" s="158">
        <f>(D32*0.95)</f>
        <v/>
      </c>
      <c r="F32" s="158">
        <f>(D32*0.9)</f>
        <v/>
      </c>
      <c r="G32" s="158">
        <f>(D32*0.85)</f>
        <v/>
      </c>
      <c r="H32" s="158">
        <f>(D32*0.8)</f>
        <v/>
      </c>
      <c r="I32" s="158">
        <f>(D32*0.75)</f>
        <v/>
      </c>
      <c r="J32" s="158">
        <f>(D32*0.7)</f>
        <v/>
      </c>
    </row>
    <row r="33" ht="21" customHeight="1" s="98">
      <c r="A33" s="125" t="inlineStr">
        <is>
          <t>Desenvolvimento</t>
        </is>
      </c>
      <c r="B33" s="145" t="n"/>
      <c r="C33" s="145" t="n"/>
      <c r="D33" s="158">
        <f>C33/(1.0278-(0.0278*B33))</f>
        <v/>
      </c>
      <c r="E33" s="158">
        <f>(D33*0.95)</f>
        <v/>
      </c>
      <c r="F33" s="158">
        <f>(D33*0.9)</f>
        <v/>
      </c>
      <c r="G33" s="158">
        <f>(D33*0.85)</f>
        <v/>
      </c>
      <c r="H33" s="158">
        <f>(D33*0.8)</f>
        <v/>
      </c>
      <c r="I33" s="158">
        <f>(D33*0.75)</f>
        <v/>
      </c>
      <c r="J33" s="158">
        <f>(D33*0.7)</f>
        <v/>
      </c>
    </row>
    <row r="34" ht="21" customHeight="1" s="98">
      <c r="A34" s="125" t="inlineStr">
        <is>
          <t>Remada</t>
        </is>
      </c>
      <c r="B34" s="145" t="n"/>
      <c r="C34" s="145" t="n"/>
      <c r="D34" s="158">
        <f>C34/(1.0278-(0.0278*B34))</f>
        <v/>
      </c>
      <c r="E34" s="158">
        <f>(D34*0.95)</f>
        <v/>
      </c>
      <c r="F34" s="158">
        <f>(D34*0.9)</f>
        <v/>
      </c>
      <c r="G34" s="158">
        <f>(D34*0.85)</f>
        <v/>
      </c>
      <c r="H34" s="158">
        <f>(D34*0.8)</f>
        <v/>
      </c>
      <c r="I34" s="158">
        <f>(D34*0.75)</f>
        <v/>
      </c>
      <c r="J34" s="158">
        <f>(D34*0.7)</f>
        <v/>
      </c>
    </row>
    <row r="35" ht="21" customHeight="1" s="98">
      <c r="A35" s="125" t="inlineStr">
        <is>
          <t>Arranco</t>
        </is>
      </c>
      <c r="B35" s="145" t="n"/>
      <c r="C35" s="145" t="n"/>
      <c r="D35" s="158">
        <f>C35/(1.0278-(0.0278*B35))</f>
        <v/>
      </c>
      <c r="E35" s="158">
        <f>(D35*0.95)</f>
        <v/>
      </c>
      <c r="F35" s="158">
        <f>(D35*0.9)</f>
        <v/>
      </c>
      <c r="G35" s="158">
        <f>(D35*0.85)</f>
        <v/>
      </c>
      <c r="H35" s="158">
        <f>(D35*0.8)</f>
        <v/>
      </c>
      <c r="I35" s="158">
        <f>(D35*0.75)</f>
        <v/>
      </c>
      <c r="J35" s="158">
        <f>(D35*0.7)</f>
        <v/>
      </c>
    </row>
    <row r="36" ht="21" customHeight="1" s="98">
      <c r="A36" s="125" t="inlineStr">
        <is>
          <t>Arremesso</t>
        </is>
      </c>
      <c r="B36" s="145" t="n"/>
      <c r="C36" s="145" t="n"/>
      <c r="D36" s="158">
        <f>C36/(1.0278-(0.0278*B36))</f>
        <v/>
      </c>
      <c r="E36" s="158">
        <f>(D36*0.95)</f>
        <v/>
      </c>
      <c r="F36" s="158">
        <f>(D36*0.9)</f>
        <v/>
      </c>
      <c r="G36" s="158">
        <f>(D36*0.85)</f>
        <v/>
      </c>
      <c r="H36" s="158">
        <f>(D36*0.8)</f>
        <v/>
      </c>
      <c r="I36" s="158">
        <f>(D36*0.75)</f>
        <v/>
      </c>
      <c r="J36" s="158">
        <f>(D36*0.7)</f>
        <v/>
      </c>
    </row>
    <row r="37" ht="21" customHeight="1" s="98">
      <c r="A37" s="114" t="n"/>
      <c r="B37" s="114" t="n"/>
      <c r="C37" s="114" t="n"/>
      <c r="D37" s="114" t="n"/>
      <c r="E37" s="114" t="n"/>
      <c r="F37" s="114" t="n"/>
      <c r="G37" s="114" t="n"/>
      <c r="H37" s="114" t="n"/>
      <c r="I37" s="114" t="n"/>
      <c r="J37" s="114" t="n"/>
    </row>
    <row r="38" ht="21" customHeight="1" s="98">
      <c r="A38" s="114" t="n"/>
      <c r="B38" s="114" t="n"/>
      <c r="C38" s="114" t="n"/>
      <c r="D38" s="114" t="n"/>
      <c r="E38" s="114" t="n"/>
      <c r="F38" s="114" t="n"/>
      <c r="G38" s="114" t="n"/>
      <c r="H38" s="114" t="n"/>
      <c r="I38" s="114" t="n"/>
      <c r="J38" s="114" t="n"/>
    </row>
    <row r="39" ht="21" customHeight="1" s="98">
      <c r="A39" s="114" t="n"/>
      <c r="B39" s="114" t="n"/>
      <c r="C39" s="114" t="n"/>
      <c r="D39" s="114" t="n"/>
      <c r="E39" s="114" t="n"/>
      <c r="F39" s="114" t="n"/>
      <c r="G39" s="114" t="n"/>
      <c r="H39" s="114" t="n"/>
      <c r="I39" s="114" t="n"/>
      <c r="J39" s="114" t="n"/>
    </row>
    <row r="40" ht="21" customHeight="1" s="98">
      <c r="A40" s="114" t="n"/>
      <c r="B40" s="114" t="n"/>
      <c r="C40" s="114" t="n"/>
      <c r="D40" s="114" t="n"/>
      <c r="E40" s="114" t="n"/>
      <c r="F40" s="114" t="n"/>
      <c r="G40" s="114" t="n"/>
      <c r="H40" s="114" t="n"/>
      <c r="I40" s="114" t="n"/>
      <c r="J40" s="114" t="n"/>
    </row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tabColor rgb="00D9D7D0"/>
    <outlinePr summaryBelow="0" summaryRight="0"/>
    <pageSetUpPr/>
  </sheetPr>
  <dimension ref="A1:M47"/>
  <sheetViews>
    <sheetView showGridLines="0" workbookViewId="0">
      <selection activeCell="A1" sqref="A1"/>
    </sheetView>
  </sheetViews>
  <sheetFormatPr baseColWidth="8" defaultColWidth="12.63" defaultRowHeight="15" customHeight="1"/>
  <cols>
    <col width="9.5" customWidth="1" style="98" min="1" max="13"/>
  </cols>
  <sheetData>
    <row r="1" ht="21" customHeight="1" s="98">
      <c r="A1" s="145" t="n"/>
      <c r="B1" s="145" t="inlineStr">
        <is>
          <t>BLOCO 01</t>
        </is>
      </c>
      <c r="F1" s="145" t="inlineStr">
        <is>
          <t>BLOCO 02</t>
        </is>
      </c>
      <c r="J1" s="145" t="inlineStr">
        <is>
          <t>BLOCO 03</t>
        </is>
      </c>
    </row>
    <row r="2" ht="18" customHeight="1" s="98">
      <c r="A2" s="143" t="n"/>
      <c r="B2" s="144" t="inlineStr">
        <is>
          <t>S01</t>
        </is>
      </c>
      <c r="C2" s="144" t="inlineStr">
        <is>
          <t>S02</t>
        </is>
      </c>
      <c r="D2" s="144" t="inlineStr">
        <is>
          <t>S03</t>
        </is>
      </c>
      <c r="E2" s="144" t="inlineStr">
        <is>
          <t>S04</t>
        </is>
      </c>
      <c r="F2" s="144" t="inlineStr">
        <is>
          <t>S05</t>
        </is>
      </c>
      <c r="G2" s="144" t="inlineStr">
        <is>
          <t>S06</t>
        </is>
      </c>
      <c r="H2" s="144" t="inlineStr">
        <is>
          <t>S07</t>
        </is>
      </c>
      <c r="I2" s="144" t="inlineStr">
        <is>
          <t>S08</t>
        </is>
      </c>
      <c r="J2" s="144" t="inlineStr">
        <is>
          <t>S09</t>
        </is>
      </c>
      <c r="K2" s="144" t="inlineStr">
        <is>
          <t>S10</t>
        </is>
      </c>
      <c r="L2" s="144" t="inlineStr">
        <is>
          <t>S11</t>
        </is>
      </c>
      <c r="M2" s="144" t="inlineStr">
        <is>
          <t>S12</t>
        </is>
      </c>
    </row>
    <row r="3" ht="18" customHeight="1" s="98">
      <c r="A3" s="113" t="inlineStr">
        <is>
          <t>VTT</t>
        </is>
      </c>
      <c r="B3" s="159">
        <f>SUMPRODUCT('bloco 01'!C6:C15, 'bloco 01'!D6:D15, 'bloco 01'!E6:E15) + SUMPRODUCT('bloco 01'!C21:C30, 'bloco 01'!D21:D30, 'bloco 01'!E21:E30) + SUMPRODUCT('bloco 01'!C36:C45, 'bloco 01'!D36:D45, 'bloco 01'!E36:E45)</f>
        <v/>
      </c>
      <c r="C3" s="159">
        <f>SUMPRODUCT('bloco 01'!J6:J15, 'bloco 01'!K6:K15, 'bloco 01'!L6:L15) + SUMPRODUCT('bloco 01'!J21:J30, 'bloco 01'!K21:K30, 'bloco 01'!L21:L30) + SUMPRODUCT('bloco 01'!J36:J45, 'bloco 01'!K36:K45, 'bloco 01'!L36:L45)</f>
        <v/>
      </c>
      <c r="D3" s="159">
        <f>SUMPRODUCT('bloco 01'!Q6:Q15, 'bloco 01'!R6:R15, 'bloco 01'!S6:S15) + SUMPRODUCT('bloco 01'!Q21:Q30, 'bloco 01'!R21:R30, 'bloco 01'!S21:S30) + SUMPRODUCT('bloco 01'!Q36:Q45, 'bloco 01'!R36:R45, 'bloco 01'!S36:S45)</f>
        <v/>
      </c>
      <c r="E3" s="159">
        <f>SUMPRODUCT('bloco 01'!X6:X15, 'bloco 01'!Y6:Y15, 'bloco 01'!Z6:Z15) + SUMPRODUCT('bloco 01'!X21:X30, 'bloco 01'!Y21:Y30, 'bloco 01'!Z21:Z30) + SUMPRODUCT('bloco 01'!X36:X45, 'bloco 01'!Y36:Y45, 'bloco 01'!Z36:Z45)</f>
        <v/>
      </c>
      <c r="F3" s="159">
        <f>SUMPRODUCT('bloco 02'!C6:C15, 'bloco 02'!D6:D15, 'bloco 02'!E6:E15) + SUMPRODUCT('bloco 02'!C21:C30, 'bloco 02'!D21:D30, 'bloco 02'!E21:E30) + SUMPRODUCT('bloco 02'!C36:C45, 'bloco 02'!D36:D45, 'bloco 02'!E36:E45)</f>
        <v/>
      </c>
      <c r="G3" s="159">
        <f>SUMPRODUCT('bloco 02'!J6:J15, 'bloco 02'!K6:K15, 'bloco 02'!L6:L15) + SUMPRODUCT('bloco 02'!J21:J30, 'bloco 02'!K21:K30, 'bloco 02'!L21:L30) + SUMPRODUCT('bloco 02'!J36:J45, 'bloco 02'!K36:K45, 'bloco 02'!L36:L45)</f>
        <v/>
      </c>
      <c r="H3" s="159">
        <f>SUMPRODUCT('bloco 02'!Q6:Q15, 'bloco 02'!R6:R15, 'bloco 02'!S6:S15) + SUMPRODUCT('bloco 02'!Q21:Q30, 'bloco 02'!R21:R30, 'bloco 02'!S21:S30) + SUMPRODUCT('bloco 02'!Q36:Q45, 'bloco 02'!R36:R45, 'bloco 02'!S36:S45)</f>
        <v/>
      </c>
      <c r="I3" s="159">
        <f>SUMPRODUCT('bloco 02'!X6:X15, 'bloco 02'!Y6:Y15, 'bloco 02'!Z6:Z15) + SUMPRODUCT('bloco 02'!X21:X30, 'bloco 02'!Y21:Y30, 'bloco 02'!Z21:Z30) + SUMPRODUCT('bloco 02'!X36:X45, 'bloco 02'!Y36:Y45, 'bloco 02'!Z36:Z45)</f>
        <v/>
      </c>
      <c r="J3" s="159">
        <f>SUMPRODUCT('bloco 03'!C6:C15, 'bloco 03'!D6:D15, 'bloco 03'!E6:E15) + SUMPRODUCT('bloco 03'!C21:C30, 'bloco 03'!D21:D30, 'bloco 03'!E21:E30) + SUMPRODUCT('bloco 03'!C36:C45, 'bloco 03'!D36:D45, 'bloco 03'!E36:E45)</f>
        <v/>
      </c>
      <c r="K3" s="159">
        <f>SUMPRODUCT('bloco 03'!J6:J15, 'bloco 03'!K6:K15, 'bloco 03'!L6:L15) + SUMPRODUCT('bloco 03'!J21:J30, 'bloco 03'!K21:K30, 'bloco 03'!L21:L30) + SUMPRODUCT('bloco 03'!J36:J45, 'bloco 03'!K36:K45, 'bloco 03'!L36:L45)</f>
        <v/>
      </c>
      <c r="L3" s="159">
        <f>SUMPRODUCT('bloco 03'!Q6:Q15, 'bloco 03'!R6:R15, 'bloco 03'!S6:S15) + SUMPRODUCT('bloco 03'!Q21:Q30, 'bloco 03'!R21:R30, 'bloco 03'!S21:S30) + SUMPRODUCT('bloco 03'!Q36:Q45, 'bloco 03'!R36:R45, 'bloco 03'!S36:S45)</f>
        <v/>
      </c>
      <c r="M3" s="159">
        <f>SUMPRODUCT('bloco 03'!X6:X15, 'bloco 03'!Y6:Y15, 'bloco 03'!Z6:Z15) + SUMPRODUCT('bloco 03'!X21:X30, 'bloco 03'!Y21:Y30, 'bloco 03'!Z21:Z30) + SUMPRODUCT('bloco 03'!X36:X45, 'bloco 03'!Y36:Y45, 'bloco 03'!Z36:Z45)</f>
        <v/>
      </c>
    </row>
    <row r="4" ht="18" customHeight="1" s="98">
      <c r="A4" s="113" t="inlineStr">
        <is>
          <t>VTR</t>
        </is>
      </c>
      <c r="B4" s="159">
        <f>SUMPRODUCT('bloco 01'!C6:C15, 'bloco 01'!D6:D15) + SUMPRODUCT('bloco 01'!C21:C30, 'bloco 01'!D21:D30) + SUMPRODUCT('bloco 01'!C36:C45, 'bloco 01'!D36:D45)</f>
        <v/>
      </c>
      <c r="C4" s="159">
        <f>SUMPRODUCT('bloco 01'!J6:J15, 'bloco 01'!K6:K15) + SUMPRODUCT('bloco 01'!J21:J30, 'bloco 01'!K21:K30) + SUMPRODUCT('bloco 01'!J36:J45, 'bloco 01'!K36:K45)</f>
        <v/>
      </c>
      <c r="D4" s="159">
        <f>SUMPRODUCT('bloco 01'!Q6:Q15, 'bloco 01'!R6:R15) + SUMPRODUCT('bloco 01'!Q21:Q30, 'bloco 01'!R21:R30) + SUMPRODUCT('bloco 01'!Q36:Q45, 'bloco 01'!R36:R45)</f>
        <v/>
      </c>
      <c r="E4" s="159">
        <f>SUMPRODUCT('bloco 01'!X6:X15, 'bloco 01'!Y6:Y15) + SUMPRODUCT('bloco 01'!X21:X30, 'bloco 01'!Y21:Y30) + SUMPRODUCT('bloco 01'!X36:X45, 'bloco 01'!Y36:Y45)</f>
        <v/>
      </c>
      <c r="F4" s="159">
        <f>SUMPRODUCT('bloco 02'!C6:C15, 'bloco 02'!D6:D15) + SUMPRODUCT('bloco 02'!C21:C30, 'bloco 02'!D21:D30) + SUMPRODUCT('bloco 02'!C36:C45, 'bloco 02'!D36:D45)</f>
        <v/>
      </c>
      <c r="G4" s="159">
        <f>SUMPRODUCT('bloco 02'!J6:J15, 'bloco 02'!K6:K15) + SUMPRODUCT('bloco 02'!J21:J30, 'bloco 02'!K21:K30) + SUMPRODUCT('bloco 02'!J36:J45, 'bloco 02'!K36:K45)</f>
        <v/>
      </c>
      <c r="H4" s="159">
        <f>SUMPRODUCT('bloco 02'!Q6:Q15, 'bloco 02'!R6:R15) + SUMPRODUCT('bloco 02'!Q21:Q30, 'bloco 02'!R21:R30) + SUMPRODUCT('bloco 02'!Q36:Q45, 'bloco 02'!R36:R45)</f>
        <v/>
      </c>
      <c r="I4" s="159">
        <f>SUMPRODUCT('bloco 02'!X6:X15, 'bloco 02'!Y6:Y15) + SUMPRODUCT('bloco 02'!X21:X30, 'bloco 02'!Y21:Y30) + SUMPRODUCT('bloco 02'!X36:X45, 'bloco 02'!Y36:Y45)</f>
        <v/>
      </c>
      <c r="J4" s="159">
        <f>SUMPRODUCT('bloco 03'!C6:C15, 'bloco 03'!D6:D15) + SUMPRODUCT('bloco 03'!C21:C30, 'bloco 03'!D21:D30) + SUMPRODUCT('bloco 03'!C36:C45, 'bloco 03'!D36:D45)</f>
        <v/>
      </c>
      <c r="K4" s="159">
        <f>SUMPRODUCT('bloco 03'!J6:J15, 'bloco 03'!K6:K15) + SUMPRODUCT('bloco 03'!J21:J30, 'bloco 03'!K21:K30) + SUMPRODUCT('bloco 03'!J36:J45, 'bloco 03'!K36:K45)</f>
        <v/>
      </c>
      <c r="L4" s="159">
        <f>SUMPRODUCT('bloco 03'!Q6:Q15, 'bloco 03'!R6:R15) + SUMPRODUCT('bloco 03'!Q21:Q30, 'bloco 03'!R21:R30) + SUMPRODUCT('bloco 03'!Q36:Q45, 'bloco 03'!R36:R45)</f>
        <v/>
      </c>
      <c r="M4" s="159">
        <f>SUMPRODUCT('bloco 03'!X6:X15, 'bloco 03'!Y6:Y15) + SUMPRODUCT('bloco 03'!X21:X30, 'bloco 03'!Y21:Y30) + SUMPRODUCT('bloco 03'!X36:X45, 'bloco 03'!Y36:Y45)</f>
        <v/>
      </c>
    </row>
    <row r="5" ht="18" customHeight="1" s="98">
      <c r="A5" s="113" t="inlineStr">
        <is>
          <t>%1RM</t>
        </is>
      </c>
      <c r="B5" s="157">
        <f t="array" ref="B5">IFERROR(AVERAGEIF({'bloco 01'!F6:F15; 'bloco 01'!F21:F30; 'bloco 01'!F36:F45}, "&gt;0"), "")</f>
        <v/>
      </c>
      <c r="C5" s="157">
        <f t="array" ref="C5">IFERROR(AVERAGEIF({'bloco 01'!M6:M15; 'bloco 01'!M21:M30; 'bloco 01'!M36:M45}, "&gt;0"), "")</f>
        <v/>
      </c>
      <c r="D5" s="157">
        <f t="array" ref="D5">IFERROR(AVERAGEIF({'bloco 01'!T6:T15; 'bloco 01'!T21:T30; 'bloco 01'!T36:T45}, "&gt;0"), "")</f>
        <v/>
      </c>
      <c r="E5" s="157">
        <f t="array" ref="E5">IFERROR(AVERAGEIF({'bloco 01'!AA6:AA15; 'bloco 01'!AA21:AA30; 'bloco 01'!AA36:AA45}, "&gt;0"), "")</f>
        <v/>
      </c>
      <c r="F5" s="157">
        <f t="array" ref="F5">IFERROR(AVERAGEIF({'bloco 02'!F6:F15; 'bloco 02'!F21:F30; 'bloco 02'!F36:F45}, "&gt;0"), "")</f>
        <v/>
      </c>
      <c r="G5" s="157">
        <f t="array" ref="G5">IFERROR(AVERAGEIF({'bloco 02'!M6:M15; 'bloco 02'!M21:M30; 'bloco 02'!M36:M45}, "&gt;0"), "")</f>
        <v/>
      </c>
      <c r="H5" s="157">
        <f t="array" ref="H5">IFERROR(AVERAGEIF({'bloco 02'!T6:T15; 'bloco 02'!T21:T30; 'bloco 02'!T36:T45}, "&gt;0"), "")</f>
        <v/>
      </c>
      <c r="I5" s="157">
        <f t="array" ref="I5">IFERROR(AVERAGEIF({'bloco 02'!AA6:AA15; 'bloco 02'!AA21:AA30; 'bloco 02'!AA36:AA45}, "&gt;0"), "")</f>
        <v/>
      </c>
      <c r="J5" s="157">
        <f t="array" ref="J5">IFERROR(AVERAGEIF({'bloco 03'!F6:F15; 'bloco 03'!F21:F30; 'bloco 03'!F36:F45}, "&gt;0"), "")</f>
        <v/>
      </c>
      <c r="K5" s="157">
        <f t="array" ref="K5">IFERROR(AVERAGEIF({'bloco 03'!M6:M15; 'bloco 03'!M21:M30; 'bloco 03'!M36:M45}, "&gt;0"), "")</f>
        <v/>
      </c>
      <c r="L5" s="157">
        <f t="array" ref="L5">IFERROR(AVERAGEIF({'bloco 03'!T6:T15; 'bloco 03'!T21:T30; 'bloco 03'!T36:T45}, "&gt;0"), "")</f>
        <v/>
      </c>
      <c r="M5" s="157">
        <f t="array" ref="M5">IFERROR(AVERAGEIF({'bloco 03'!AA6:AA15; 'bloco 03'!AA21:AA30; 'bloco 03'!AA36:AA45}, "&gt;0"), "")</f>
        <v/>
      </c>
    </row>
    <row r="6" ht="18" customHeight="1" s="98">
      <c r="A6" s="113" t="inlineStr">
        <is>
          <t>DATA</t>
        </is>
      </c>
      <c r="B6" s="160" t="n">
        <v>46246</v>
      </c>
      <c r="C6" s="160">
        <f>B6+7</f>
        <v/>
      </c>
      <c r="D6" s="160">
        <f>C6+7</f>
        <v/>
      </c>
      <c r="E6" s="160">
        <f>D6+7</f>
        <v/>
      </c>
      <c r="F6" s="160">
        <f>E6+7</f>
        <v/>
      </c>
      <c r="G6" s="160">
        <f>F6+7</f>
        <v/>
      </c>
      <c r="H6" s="160">
        <f>G6+7</f>
        <v/>
      </c>
      <c r="I6" s="160">
        <f>H6+7</f>
        <v/>
      </c>
      <c r="J6" s="160">
        <f>I6+7</f>
        <v/>
      </c>
      <c r="K6" s="160">
        <f>J6+7</f>
        <v/>
      </c>
      <c r="L6" s="160">
        <f>K6+7</f>
        <v/>
      </c>
      <c r="M6" s="160">
        <f>L6+7</f>
        <v/>
      </c>
    </row>
    <row r="7" ht="18" customHeight="1" s="98">
      <c r="A7" s="155" t="inlineStr">
        <is>
          <t>OBS</t>
        </is>
      </c>
      <c r="B7" s="161" t="n"/>
      <c r="C7" s="161" t="n"/>
      <c r="D7" s="161" t="n"/>
      <c r="E7" s="161" t="n"/>
      <c r="F7" s="161" t="n"/>
      <c r="G7" s="161" t="n"/>
      <c r="H7" s="161" t="n"/>
      <c r="I7" s="161" t="n"/>
      <c r="J7" s="161" t="n"/>
      <c r="K7" s="161" t="n"/>
      <c r="L7" s="161" t="n"/>
      <c r="M7" s="161" t="n"/>
    </row>
    <row r="8" ht="21" customHeight="1" s="98">
      <c r="A8" s="114" t="n"/>
      <c r="B8" s="114" t="n"/>
      <c r="C8" s="114" t="n"/>
      <c r="D8" s="114" t="n"/>
      <c r="E8" s="114" t="n"/>
      <c r="F8" s="114" t="n"/>
      <c r="G8" s="114" t="n"/>
      <c r="H8" s="114" t="n"/>
      <c r="I8" s="114" t="n"/>
      <c r="J8" s="114" t="n"/>
      <c r="K8" s="114" t="n"/>
      <c r="L8" s="114" t="n"/>
      <c r="M8" s="114" t="n"/>
    </row>
    <row r="9" ht="21" customHeight="1" s="98">
      <c r="A9" s="114" t="n"/>
      <c r="B9" s="114" t="n"/>
      <c r="C9" s="114" t="n"/>
      <c r="D9" s="114" t="n"/>
      <c r="E9" s="114" t="n"/>
      <c r="F9" s="114" t="n"/>
      <c r="G9" s="114" t="n"/>
      <c r="H9" s="114" t="n"/>
      <c r="I9" s="114" t="n"/>
      <c r="J9" s="114" t="n"/>
      <c r="K9" s="114" t="n"/>
      <c r="L9" s="114" t="n"/>
      <c r="M9" s="114" t="n"/>
    </row>
    <row r="10" ht="21" customHeight="1" s="98">
      <c r="A10" s="114" t="n"/>
      <c r="B10" s="114" t="n"/>
      <c r="C10" s="114" t="n"/>
      <c r="D10" s="114" t="n"/>
      <c r="E10" s="114" t="n"/>
      <c r="F10" s="114" t="n"/>
      <c r="G10" s="114" t="n"/>
      <c r="H10" s="114" t="n"/>
      <c r="I10" s="114" t="n"/>
      <c r="J10" s="114" t="n"/>
      <c r="K10" s="114" t="n"/>
      <c r="L10" s="114" t="n"/>
      <c r="M10" s="114" t="n"/>
    </row>
    <row r="11" ht="21" customHeight="1" s="98">
      <c r="A11" s="114" t="n"/>
      <c r="B11" s="114" t="n"/>
      <c r="C11" s="114" t="n"/>
      <c r="D11" s="114" t="n"/>
      <c r="E11" s="114" t="n"/>
      <c r="F11" s="114" t="n"/>
      <c r="G11" s="114" t="n"/>
      <c r="H11" s="114" t="n"/>
      <c r="I11" s="114" t="n"/>
      <c r="J11" s="114" t="n"/>
      <c r="K11" s="114" t="n"/>
      <c r="L11" s="114" t="n"/>
      <c r="M11" s="114" t="n"/>
    </row>
    <row r="12" ht="21" customHeight="1" s="98">
      <c r="A12" s="114" t="n"/>
      <c r="B12" s="114" t="n"/>
      <c r="C12" s="114" t="n"/>
      <c r="D12" s="114" t="n"/>
      <c r="E12" s="114" t="n"/>
      <c r="F12" s="114" t="n"/>
      <c r="G12" s="114" t="n"/>
      <c r="H12" s="114" t="n"/>
      <c r="I12" s="114" t="n"/>
      <c r="J12" s="114" t="n"/>
      <c r="K12" s="114" t="n"/>
      <c r="L12" s="114" t="n"/>
      <c r="M12" s="114" t="n"/>
    </row>
    <row r="13" ht="21" customHeight="1" s="98">
      <c r="A13" s="114" t="n"/>
      <c r="B13" s="114" t="n"/>
      <c r="C13" s="114" t="n"/>
      <c r="D13" s="114" t="n"/>
      <c r="E13" s="114" t="n"/>
      <c r="F13" s="114" t="n"/>
      <c r="G13" s="114" t="n"/>
      <c r="H13" s="114" t="n"/>
      <c r="I13" s="114" t="n"/>
      <c r="J13" s="114" t="n"/>
      <c r="K13" s="114" t="n"/>
      <c r="L13" s="114" t="n"/>
      <c r="M13" s="114" t="n"/>
    </row>
    <row r="14" ht="21" customHeight="1" s="98">
      <c r="A14" s="114" t="n"/>
      <c r="B14" s="114" t="n"/>
      <c r="C14" s="114" t="n"/>
      <c r="D14" s="114" t="n"/>
      <c r="E14" s="114" t="n"/>
      <c r="F14" s="114" t="n"/>
      <c r="G14" s="114" t="n"/>
      <c r="H14" s="114" t="n"/>
      <c r="I14" s="114" t="n"/>
      <c r="J14" s="114" t="n"/>
      <c r="K14" s="114" t="n"/>
      <c r="L14" s="114" t="n"/>
      <c r="M14" s="114" t="n"/>
    </row>
    <row r="15" ht="21" customHeight="1" s="98">
      <c r="A15" s="114" t="n"/>
      <c r="B15" s="114" t="n"/>
      <c r="C15" s="114" t="n"/>
      <c r="D15" s="114" t="n"/>
      <c r="E15" s="114" t="n"/>
      <c r="F15" s="114" t="n"/>
      <c r="G15" s="114" t="n"/>
      <c r="H15" s="114" t="n"/>
      <c r="I15" s="114" t="n"/>
      <c r="J15" s="114" t="n"/>
      <c r="K15" s="114" t="n"/>
      <c r="L15" s="114" t="n"/>
      <c r="M15" s="114" t="n"/>
    </row>
    <row r="16" ht="21" customHeight="1" s="98">
      <c r="A16" s="114" t="n"/>
      <c r="B16" s="114" t="n"/>
      <c r="C16" s="114" t="n"/>
      <c r="D16" s="114" t="n"/>
      <c r="E16" s="114" t="n"/>
      <c r="F16" s="114" t="n"/>
      <c r="G16" s="114" t="n"/>
      <c r="H16" s="114" t="n"/>
      <c r="I16" s="114" t="n"/>
      <c r="J16" s="114" t="n"/>
      <c r="K16" s="114" t="n"/>
      <c r="L16" s="114" t="n"/>
      <c r="M16" s="114" t="n"/>
    </row>
    <row r="17" ht="21" customHeight="1" s="98">
      <c r="A17" s="114" t="n"/>
      <c r="B17" s="114" t="n"/>
      <c r="C17" s="114" t="n"/>
      <c r="D17" s="114" t="n"/>
      <c r="E17" s="114" t="n"/>
      <c r="F17" s="114" t="n"/>
      <c r="G17" s="114" t="n"/>
      <c r="H17" s="114" t="n"/>
      <c r="I17" s="114" t="n"/>
      <c r="J17" s="114" t="n"/>
      <c r="K17" s="114" t="n"/>
      <c r="L17" s="114" t="n"/>
      <c r="M17" s="114" t="n"/>
    </row>
    <row r="18" ht="21" customHeight="1" s="98">
      <c r="A18" s="114" t="n"/>
      <c r="B18" s="114" t="n"/>
      <c r="C18" s="114" t="n"/>
      <c r="D18" s="114" t="n"/>
      <c r="E18" s="114" t="n"/>
      <c r="F18" s="114" t="n"/>
      <c r="G18" s="114" t="n"/>
      <c r="H18" s="114" t="n"/>
      <c r="I18" s="114" t="n"/>
      <c r="J18" s="114" t="n"/>
      <c r="K18" s="114" t="n"/>
      <c r="L18" s="114" t="n"/>
      <c r="M18" s="114" t="n"/>
    </row>
    <row r="19" ht="21" customHeight="1" s="98">
      <c r="A19" s="114" t="n"/>
      <c r="B19" s="114" t="n"/>
      <c r="C19" s="114" t="n"/>
      <c r="D19" s="114" t="n"/>
      <c r="E19" s="114" t="n"/>
      <c r="F19" s="114" t="n"/>
      <c r="G19" s="114" t="n"/>
      <c r="H19" s="114" t="n"/>
      <c r="I19" s="114" t="n"/>
      <c r="J19" s="114" t="n"/>
      <c r="K19" s="114" t="n"/>
      <c r="L19" s="114" t="n"/>
      <c r="M19" s="114" t="n"/>
    </row>
    <row r="20" ht="21" customHeight="1" s="98">
      <c r="A20" s="114" t="n"/>
      <c r="B20" s="114" t="n"/>
      <c r="C20" s="114" t="n"/>
      <c r="D20" s="114" t="n"/>
      <c r="E20" s="114" t="n"/>
      <c r="F20" s="114" t="n"/>
      <c r="G20" s="114" t="n"/>
      <c r="H20" s="114" t="n"/>
      <c r="I20" s="114" t="n"/>
      <c r="J20" s="114" t="n"/>
      <c r="K20" s="114" t="n"/>
      <c r="L20" s="114" t="n"/>
      <c r="M20" s="114" t="n"/>
    </row>
    <row r="21" ht="21" customHeight="1" s="98">
      <c r="A21" s="114" t="n"/>
      <c r="B21" s="114" t="n"/>
      <c r="C21" s="114" t="n"/>
      <c r="D21" s="114" t="n"/>
      <c r="E21" s="114" t="n"/>
      <c r="F21" s="114" t="n"/>
      <c r="G21" s="114" t="n"/>
      <c r="H21" s="114" t="n"/>
      <c r="I21" s="114" t="n"/>
      <c r="J21" s="114" t="n"/>
      <c r="K21" s="114" t="n"/>
      <c r="L21" s="114" t="n"/>
      <c r="M21" s="114" t="n"/>
    </row>
    <row r="22" ht="21" customHeight="1" s="98">
      <c r="A22" s="114" t="n"/>
      <c r="B22" s="114" t="n"/>
      <c r="C22" s="114" t="n"/>
      <c r="D22" s="114" t="n"/>
      <c r="E22" s="114" t="n"/>
      <c r="F22" s="114" t="n"/>
      <c r="G22" s="114" t="n"/>
      <c r="H22" s="114" t="n"/>
      <c r="I22" s="114" t="n"/>
      <c r="J22" s="114" t="n"/>
      <c r="K22" s="114" t="n"/>
      <c r="L22" s="114" t="n"/>
      <c r="M22" s="114" t="n"/>
    </row>
    <row r="23" ht="21" customHeight="1" s="98">
      <c r="A23" s="114" t="n"/>
      <c r="B23" s="114" t="n"/>
      <c r="C23" s="114" t="n"/>
      <c r="D23" s="114" t="n"/>
      <c r="E23" s="114" t="n"/>
      <c r="F23" s="114" t="n"/>
      <c r="G23" s="114" t="n"/>
      <c r="H23" s="114" t="n"/>
      <c r="I23" s="114" t="n"/>
      <c r="J23" s="114" t="n"/>
      <c r="K23" s="114" t="n"/>
      <c r="L23" s="114" t="n"/>
      <c r="M23" s="114" t="n"/>
    </row>
    <row r="24" ht="21" customHeight="1" s="98">
      <c r="A24" s="114" t="n"/>
      <c r="B24" s="114" t="n"/>
      <c r="C24" s="114" t="n"/>
      <c r="D24" s="114" t="n"/>
      <c r="E24" s="114" t="n"/>
      <c r="F24" s="114" t="n"/>
      <c r="G24" s="114" t="n"/>
      <c r="H24" s="114" t="n"/>
      <c r="I24" s="114" t="n"/>
      <c r="J24" s="114" t="n"/>
      <c r="K24" s="114" t="n"/>
      <c r="L24" s="114" t="n"/>
      <c r="M24" s="114" t="n"/>
    </row>
    <row r="25" ht="21" customHeight="1" s="98">
      <c r="A25" s="114" t="n"/>
      <c r="B25" s="114" t="n"/>
      <c r="C25" s="114" t="n"/>
      <c r="D25" s="114" t="n"/>
      <c r="E25" s="114" t="n"/>
      <c r="F25" s="114" t="n"/>
      <c r="G25" s="114" t="n"/>
      <c r="H25" s="114" t="n"/>
      <c r="I25" s="114" t="n"/>
      <c r="J25" s="114" t="n"/>
      <c r="K25" s="114" t="n"/>
      <c r="L25" s="114" t="n"/>
      <c r="M25" s="114" t="n"/>
    </row>
    <row r="26" ht="21" customHeight="1" s="98">
      <c r="A26" s="114" t="n"/>
      <c r="B26" s="114" t="n"/>
      <c r="C26" s="114" t="n"/>
      <c r="D26" s="114" t="n"/>
      <c r="E26" s="114" t="n"/>
      <c r="F26" s="114" t="n"/>
      <c r="G26" s="114" t="n"/>
      <c r="H26" s="114" t="n"/>
      <c r="I26" s="114" t="n"/>
      <c r="J26" s="114" t="n"/>
      <c r="K26" s="114" t="n"/>
      <c r="L26" s="114" t="n"/>
      <c r="M26" s="114" t="n"/>
    </row>
    <row r="27" ht="21" customHeight="1" s="98">
      <c r="A27" s="114" t="n"/>
      <c r="B27" s="114" t="n"/>
      <c r="C27" s="114" t="n"/>
      <c r="D27" s="114" t="n"/>
      <c r="E27" s="114" t="n"/>
      <c r="F27" s="114" t="n"/>
      <c r="G27" s="114" t="n"/>
      <c r="H27" s="114" t="n"/>
      <c r="I27" s="114" t="n"/>
      <c r="J27" s="114" t="n"/>
      <c r="K27" s="114" t="n"/>
      <c r="L27" s="114" t="n"/>
      <c r="M27" s="114" t="n"/>
    </row>
    <row r="28" ht="21" customHeight="1" s="98">
      <c r="A28" s="114" t="n"/>
      <c r="B28" s="114" t="n"/>
      <c r="C28" s="114" t="n"/>
      <c r="D28" s="114" t="n"/>
      <c r="E28" s="114" t="n"/>
      <c r="F28" s="114" t="n"/>
      <c r="G28" s="114" t="n"/>
      <c r="H28" s="114" t="n"/>
      <c r="I28" s="114" t="n"/>
      <c r="J28" s="114" t="n"/>
      <c r="K28" s="114" t="n"/>
      <c r="L28" s="114" t="n"/>
      <c r="M28" s="114" t="n"/>
    </row>
    <row r="29" ht="21" customHeight="1" s="98">
      <c r="A29" s="114" t="n"/>
      <c r="B29" s="114" t="n"/>
      <c r="C29" s="114" t="n"/>
      <c r="D29" s="114" t="n"/>
      <c r="E29" s="114" t="n"/>
      <c r="F29" s="114" t="n"/>
      <c r="G29" s="114" t="n"/>
      <c r="H29" s="114" t="n"/>
      <c r="I29" s="114" t="n"/>
      <c r="J29" s="114" t="n"/>
      <c r="K29" s="114" t="n"/>
      <c r="L29" s="114" t="n"/>
      <c r="M29" s="114" t="n"/>
    </row>
    <row r="30" ht="21" customHeight="1" s="98">
      <c r="A30" s="114" t="n"/>
      <c r="B30" s="114" t="n"/>
      <c r="C30" s="114" t="n"/>
      <c r="D30" s="114" t="n"/>
      <c r="E30" s="114" t="n"/>
      <c r="F30" s="114" t="n"/>
      <c r="G30" s="114" t="n"/>
      <c r="H30" s="114" t="n"/>
      <c r="I30" s="114" t="n"/>
      <c r="J30" s="114" t="n"/>
      <c r="K30" s="114" t="n"/>
      <c r="L30" s="114" t="n"/>
      <c r="M30" s="114" t="n"/>
    </row>
    <row r="31" ht="21" customHeight="1" s="98">
      <c r="A31" s="114" t="n"/>
      <c r="B31" s="114" t="n"/>
      <c r="C31" s="114" t="n"/>
      <c r="D31" s="114" t="n"/>
      <c r="E31" s="114" t="n"/>
      <c r="F31" s="114" t="n"/>
      <c r="G31" s="114" t="n"/>
      <c r="H31" s="114" t="n"/>
      <c r="I31" s="114" t="n"/>
      <c r="J31" s="114" t="n"/>
      <c r="K31" s="114" t="n"/>
      <c r="L31" s="114" t="n"/>
      <c r="M31" s="114" t="n"/>
    </row>
    <row r="32" ht="21" customHeight="1" s="98">
      <c r="A32" s="114" t="n"/>
      <c r="B32" s="114" t="n"/>
      <c r="C32" s="114" t="n"/>
      <c r="D32" s="114" t="n"/>
      <c r="E32" s="114" t="n"/>
      <c r="F32" s="114" t="n"/>
      <c r="G32" s="114" t="n"/>
      <c r="H32" s="114" t="n"/>
      <c r="I32" s="114" t="n"/>
      <c r="J32" s="114" t="n"/>
      <c r="K32" s="114" t="n"/>
      <c r="L32" s="114" t="n"/>
      <c r="M32" s="114" t="n"/>
    </row>
    <row r="33" ht="21" customHeight="1" s="98">
      <c r="A33" s="114" t="n"/>
      <c r="B33" s="114" t="n"/>
      <c r="C33" s="114" t="n"/>
      <c r="D33" s="114" t="n"/>
      <c r="E33" s="114" t="n"/>
      <c r="F33" s="114" t="n"/>
      <c r="G33" s="114" t="n"/>
      <c r="H33" s="114" t="n"/>
      <c r="I33" s="114" t="n"/>
      <c r="J33" s="114" t="n"/>
      <c r="K33" s="114" t="n"/>
      <c r="L33" s="114" t="n"/>
      <c r="M33" s="114" t="n"/>
    </row>
    <row r="34" ht="21" customHeight="1" s="98">
      <c r="A34" s="114" t="n"/>
      <c r="B34" s="114" t="n"/>
      <c r="C34" s="114" t="n"/>
      <c r="D34" s="114" t="n"/>
      <c r="E34" s="114" t="n"/>
      <c r="F34" s="114" t="n"/>
      <c r="G34" s="114" t="n"/>
      <c r="H34" s="114" t="n"/>
      <c r="I34" s="114" t="n"/>
      <c r="J34" s="114" t="n"/>
      <c r="K34" s="114" t="n"/>
      <c r="L34" s="114" t="n"/>
      <c r="M34" s="114" t="n"/>
    </row>
    <row r="35" ht="21" customHeight="1" s="98">
      <c r="A35" s="114" t="n"/>
      <c r="B35" s="114" t="n"/>
      <c r="C35" s="114" t="n"/>
      <c r="D35" s="114" t="n"/>
      <c r="E35" s="114" t="n"/>
      <c r="F35" s="114" t="n"/>
      <c r="G35" s="114" t="n"/>
      <c r="H35" s="114" t="n"/>
      <c r="I35" s="114" t="n"/>
      <c r="J35" s="114" t="n"/>
      <c r="K35" s="114" t="n"/>
      <c r="L35" s="114" t="n"/>
      <c r="M35" s="114" t="n"/>
    </row>
    <row r="36" ht="21" customHeight="1" s="98">
      <c r="A36" s="114" t="n"/>
      <c r="B36" s="114" t="n"/>
      <c r="C36" s="114" t="n"/>
      <c r="D36" s="114" t="n"/>
      <c r="E36" s="114" t="n"/>
      <c r="F36" s="114" t="n"/>
      <c r="G36" s="114" t="n"/>
      <c r="H36" s="114" t="n"/>
      <c r="I36" s="114" t="n"/>
      <c r="J36" s="114" t="n"/>
      <c r="K36" s="114" t="n"/>
      <c r="L36" s="114" t="n"/>
      <c r="M36" s="114" t="n"/>
    </row>
    <row r="37" ht="21" customHeight="1" s="98">
      <c r="A37" s="114" t="n"/>
      <c r="B37" s="114" t="n"/>
      <c r="C37" s="114" t="n"/>
      <c r="D37" s="114" t="n"/>
      <c r="E37" s="114" t="n"/>
      <c r="F37" s="114" t="n"/>
      <c r="G37" s="114" t="n"/>
      <c r="H37" s="114" t="n"/>
      <c r="I37" s="114" t="n"/>
      <c r="J37" s="114" t="n"/>
      <c r="K37" s="114" t="n"/>
      <c r="L37" s="114" t="n"/>
      <c r="M37" s="114" t="n"/>
    </row>
    <row r="38" ht="21" customHeight="1" s="98">
      <c r="A38" s="114" t="n"/>
      <c r="B38" s="114" t="n"/>
      <c r="C38" s="114" t="n"/>
      <c r="D38" s="114" t="n"/>
      <c r="E38" s="114" t="n"/>
      <c r="F38" s="114" t="n"/>
      <c r="G38" s="114" t="n"/>
      <c r="H38" s="114" t="n"/>
      <c r="I38" s="114" t="n"/>
      <c r="J38" s="114" t="n"/>
      <c r="K38" s="114" t="n"/>
      <c r="L38" s="114" t="n"/>
      <c r="M38" s="114" t="n"/>
    </row>
    <row r="39" ht="21" customHeight="1" s="98">
      <c r="A39" s="114" t="n"/>
      <c r="B39" s="114" t="n"/>
      <c r="C39" s="114" t="n"/>
      <c r="D39" s="114" t="n"/>
      <c r="E39" s="114" t="n"/>
      <c r="F39" s="114" t="n"/>
      <c r="G39" s="114" t="n"/>
      <c r="H39" s="114" t="n"/>
      <c r="I39" s="114" t="n"/>
      <c r="J39" s="114" t="n"/>
      <c r="K39" s="114" t="n"/>
      <c r="L39" s="114" t="n"/>
      <c r="M39" s="114" t="n"/>
    </row>
    <row r="40" ht="21" customHeight="1" s="98">
      <c r="A40" s="114" t="n"/>
      <c r="B40" s="114" t="n"/>
      <c r="C40" s="114" t="n"/>
      <c r="D40" s="114" t="n"/>
      <c r="E40" s="114" t="n"/>
      <c r="F40" s="114" t="n"/>
      <c r="G40" s="114" t="n"/>
      <c r="H40" s="114" t="n"/>
      <c r="I40" s="114" t="n"/>
      <c r="J40" s="114" t="n"/>
      <c r="K40" s="114" t="n"/>
      <c r="L40" s="114" t="n"/>
      <c r="M40" s="114" t="n"/>
    </row>
    <row r="41" ht="21" customHeight="1" s="98">
      <c r="A41" s="114" t="n"/>
      <c r="B41" s="114" t="n"/>
      <c r="C41" s="114" t="n"/>
      <c r="D41" s="114" t="n"/>
      <c r="E41" s="114" t="n"/>
      <c r="F41" s="114" t="n"/>
      <c r="G41" s="114" t="n"/>
      <c r="H41" s="114" t="n"/>
      <c r="I41" s="114" t="n"/>
      <c r="J41" s="114" t="n"/>
      <c r="K41" s="114" t="n"/>
      <c r="L41" s="114" t="n"/>
      <c r="M41" s="114" t="n"/>
    </row>
    <row r="42" ht="21" customHeight="1" s="98">
      <c r="A42" s="114" t="n"/>
      <c r="B42" s="114" t="n"/>
      <c r="C42" s="114" t="n"/>
      <c r="D42" s="114" t="n"/>
      <c r="E42" s="114" t="n"/>
      <c r="F42" s="114" t="n"/>
      <c r="G42" s="114" t="n"/>
      <c r="H42" s="114" t="n"/>
      <c r="I42" s="114" t="n"/>
      <c r="J42" s="114" t="n"/>
      <c r="K42" s="114" t="n"/>
      <c r="L42" s="114" t="n"/>
      <c r="M42" s="114" t="n"/>
    </row>
    <row r="43" ht="21" customHeight="1" s="98">
      <c r="A43" s="114" t="n"/>
      <c r="B43" s="114" t="n"/>
      <c r="C43" s="114" t="n"/>
      <c r="D43" s="114" t="n"/>
      <c r="E43" s="114" t="n"/>
      <c r="F43" s="114" t="n"/>
      <c r="G43" s="114" t="n"/>
      <c r="H43" s="114" t="n"/>
      <c r="I43" s="114" t="n"/>
      <c r="J43" s="114" t="n"/>
      <c r="K43" s="114" t="n"/>
      <c r="L43" s="114" t="n"/>
      <c r="M43" s="114" t="n"/>
    </row>
    <row r="44" ht="21" customHeight="1" s="98">
      <c r="A44" s="114" t="n"/>
      <c r="B44" s="114" t="n"/>
      <c r="C44" s="114" t="n"/>
      <c r="D44" s="114" t="n"/>
      <c r="E44" s="114" t="n"/>
      <c r="F44" s="114" t="n"/>
      <c r="G44" s="114" t="n"/>
      <c r="H44" s="114" t="n"/>
      <c r="I44" s="114" t="n"/>
      <c r="J44" s="114" t="n"/>
      <c r="K44" s="114" t="n"/>
      <c r="L44" s="114" t="n"/>
      <c r="M44" s="114" t="n"/>
    </row>
    <row r="45" ht="21" customHeight="1" s="98">
      <c r="A45" s="114" t="n"/>
      <c r="B45" s="114" t="n"/>
      <c r="C45" s="114" t="n"/>
      <c r="D45" s="114" t="n"/>
      <c r="E45" s="114" t="n"/>
      <c r="F45" s="114" t="n"/>
      <c r="G45" s="114" t="n"/>
      <c r="H45" s="114" t="n"/>
      <c r="I45" s="114" t="n"/>
      <c r="J45" s="114" t="n"/>
      <c r="K45" s="114" t="n"/>
      <c r="L45" s="114" t="n"/>
      <c r="M45" s="114" t="n"/>
    </row>
    <row r="46" ht="21" customHeight="1" s="98">
      <c r="A46" s="114" t="n"/>
      <c r="B46" s="114" t="n"/>
      <c r="C46" s="114" t="n"/>
      <c r="D46" s="114" t="n"/>
      <c r="E46" s="114" t="n"/>
      <c r="F46" s="114" t="n"/>
      <c r="G46" s="114" t="n"/>
      <c r="H46" s="114" t="n"/>
      <c r="I46" s="114" t="n"/>
      <c r="J46" s="114" t="n"/>
      <c r="K46" s="114" t="n"/>
      <c r="L46" s="114" t="n"/>
      <c r="M46" s="114" t="n"/>
    </row>
    <row r="47" ht="21" customHeight="1" s="98">
      <c r="A47" s="114" t="n"/>
      <c r="B47" s="114" t="n"/>
      <c r="C47" s="114" t="n"/>
      <c r="D47" s="114" t="n"/>
      <c r="E47" s="114" t="n"/>
      <c r="F47" s="114" t="n"/>
      <c r="G47" s="114" t="n"/>
      <c r="H47" s="114" t="n"/>
      <c r="I47" s="114" t="n"/>
      <c r="J47" s="114" t="n"/>
      <c r="K47" s="114" t="n"/>
      <c r="L47" s="114" t="n"/>
      <c r="M47" s="114" t="n"/>
    </row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3">
    <mergeCell ref="B1:E1"/>
    <mergeCell ref="J1:M1"/>
    <mergeCell ref="F1:I1"/>
  </mergeCells>
  <pageMargins left="0.75" right="0.75" top="1" bottom="1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2026-10-21T20:42:07Z</dcterms:created>
  <dcterms:modified xmlns:dcterms="http://purl.org/dc/terms/" xmlns:xsi="http://www.w3.org/2001/XMLSchema-instance" xsi:type="dcterms:W3CDTF">2026-10-21T20:42:09Z</dcterms:modified>
</cp:coreProperties>
</file>