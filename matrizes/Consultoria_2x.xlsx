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uno 01" sheetId="1" r:id="rId5"/>
    <sheet state="visible" name="bloco 01" sheetId="2" r:id="rId6"/>
    <sheet state="visible" name="aluno 02" sheetId="3" r:id="rId7"/>
    <sheet state="visible" name="bloco 02" sheetId="4" r:id="rId8"/>
    <sheet state="visible" name="aluno 03" sheetId="5" r:id="rId9"/>
    <sheet state="visible" name="bloco 03" sheetId="6" r:id="rId10"/>
    <sheet state="visible" name="prs" sheetId="7" r:id="rId11"/>
    <sheet state="visible" name="macro" sheetId="8" r:id="rId12"/>
  </sheets>
  <definedNames/>
  <calcPr/>
</workbook>
</file>

<file path=xl/sharedStrings.xml><?xml version="1.0" encoding="utf-8"?>
<sst xmlns="http://schemas.openxmlformats.org/spreadsheetml/2006/main" count="455" uniqueCount="53">
  <si>
    <t>BLOCO 01</t>
  </si>
  <si>
    <t>BLOCO 02</t>
  </si>
  <si>
    <t>PLANILHA DE TREINAMENTO</t>
  </si>
  <si>
    <t>NOME</t>
  </si>
  <si>
    <t>OBJETIVO</t>
  </si>
  <si>
    <t>SEGUNDA</t>
  </si>
  <si>
    <t>TERÇA</t>
  </si>
  <si>
    <t>QUARTA</t>
  </si>
  <si>
    <t>QUINTA</t>
  </si>
  <si>
    <t>SEXTA</t>
  </si>
  <si>
    <t>TREINO 01</t>
  </si>
  <si>
    <t>OBS</t>
  </si>
  <si>
    <t>AQC</t>
  </si>
  <si>
    <t>SETS</t>
  </si>
  <si>
    <t>REPS / TEMPO</t>
  </si>
  <si>
    <t>KG</t>
  </si>
  <si>
    <t>REPS</t>
  </si>
  <si>
    <t>SEMANA 01</t>
  </si>
  <si>
    <t>%1RM</t>
  </si>
  <si>
    <t>%1RM / PSE</t>
  </si>
  <si>
    <t>exercícios</t>
  </si>
  <si>
    <t>pse</t>
  </si>
  <si>
    <t>TREINO 02</t>
  </si>
  <si>
    <t>SEMANA 02</t>
  </si>
  <si>
    <t>SEMANA 03</t>
  </si>
  <si>
    <t>SEMANA 04</t>
  </si>
  <si>
    <t>BLOCO 03</t>
  </si>
  <si>
    <t>BLOCO</t>
  </si>
  <si>
    <t>bloco 01</t>
  </si>
  <si>
    <t>DATA</t>
  </si>
  <si>
    <t>Agachamento</t>
  </si>
  <si>
    <t>Supino</t>
  </si>
  <si>
    <t>Terra</t>
  </si>
  <si>
    <t>Desenvolvimento</t>
  </si>
  <si>
    <t>Remada</t>
  </si>
  <si>
    <t>Arranco</t>
  </si>
  <si>
    <t>Arremesso</t>
  </si>
  <si>
    <t>bloco 02</t>
  </si>
  <si>
    <t>bloco 03</t>
  </si>
  <si>
    <t>S01</t>
  </si>
  <si>
    <t>S02</t>
  </si>
  <si>
    <t>S03</t>
  </si>
  <si>
    <t>S04</t>
  </si>
  <si>
    <t>S05</t>
  </si>
  <si>
    <t>S06</t>
  </si>
  <si>
    <t>S07</t>
  </si>
  <si>
    <t>S08</t>
  </si>
  <si>
    <t>S09</t>
  </si>
  <si>
    <t>S10</t>
  </si>
  <si>
    <t>S11</t>
  </si>
  <si>
    <t>S12</t>
  </si>
  <si>
    <t>VTT</t>
  </si>
  <si>
    <t>VTR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</si>
</sst>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&quot;/&quot;mm"/>
    <numFmt numFmtId="165" formatCode="dd/mm"/>
    <numFmt numFmtId="166" formatCode="dd/MM/yyyy"/>
  </numFmts>
  <fonts count="21">
    <font>
      <sz val="10.0"/>
      <color rgb="FF000000"/>
      <name val="Arial"/>
      <scheme val="minor"/>
    </font>
    <font>
      <b/>
      <color rgb="FFFFFFFF"/>
      <name val="Arial"/>
    </font>
    <font>
      <sz val="12.0"/>
      <color rgb="FFFFFFFF"/>
      <name val="Arial"/>
    </font>
    <font>
      <b/>
      <sz val="20.0"/>
      <color theme="1"/>
      <name val="Arial"/>
    </font>
    <font>
      <b/>
      <sz val="12.0"/>
      <color theme="1"/>
      <name val="Arial"/>
    </font>
    <font>
      <sz val="10.0"/>
      <color rgb="FF000000"/>
      <name val="Arial"/>
    </font>
    <font>
      <color theme="1"/>
      <name val="Arial"/>
    </font>
    <font>
      <b/>
      <sz val="9.0"/>
      <color rgb="FFFFFFFF"/>
      <name val="Arial"/>
    </font>
    <font>
      <b/>
      <sz val="12.0"/>
      <color rgb="FFFFFFFF"/>
      <name val="Playfair Display"/>
    </font>
    <font>
      <color rgb="FFFFFFFF"/>
      <name val="Playfair Display"/>
    </font>
    <font>
      <color theme="1"/>
      <name val="Playfair Display"/>
    </font>
    <font>
      <color rgb="FFFFFFFF"/>
      <name val="Arial"/>
    </font>
    <font>
      <b/>
      <sz val="12.0"/>
      <color rgb="FFFFFFFF"/>
      <name val="Arial"/>
    </font>
    <font>
      <b/>
      <color rgb="FFFF0000"/>
      <name val="Arial"/>
    </font>
    <font>
      <b/>
      <color rgb="FF000000"/>
      <name val="Arial"/>
    </font>
    <font>
      <b/>
      <sz val="14.0"/>
      <color rgb="FFFFFFFF"/>
      <name val="Arial"/>
    </font>
    <font>
      <color rgb="FF000000"/>
      <name val="Arial"/>
    </font>
    <font>
      <b/>
      <sz val="16.0"/>
      <color rgb="FFFFFFFF"/>
      <name val="Arial"/>
    </font>
    <font>
      <b/>
      <color theme="1"/>
      <name val="Arial"/>
    </font>
    <font/>
    <font>
      <b/>
      <sz val="10.0"/>
      <color rgb="FFFFFFFF"/>
      <name val="Arial"/>
    </font>
  </fonts>
  <fills count="6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</fills>
  <borders count="13">
    <border/>
    <border>
      <left style="thin">
        <color rgb="FF000000"/>
      </left>
    </border>
    <border>
      <right style="medium">
        <color rgb="FF000000"/>
      </right>
    </border>
    <border>
      <top style="medium">
        <color rgb="FF000000"/>
      </top>
    </border>
    <border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F3F3F3"/>
      </right>
    </border>
  </borders>
  <cellStyleXfs count="1">
    <xf borderId="0" fillId="0" fontId="0" numFmtId="0" applyAlignment="1" applyFont="1"/>
  </cellStyleXfs>
  <cellXfs count="9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/>
    </xf>
    <xf borderId="0" fillId="2" fontId="1" numFmtId="0" xfId="0" applyFill="1" applyFont="1"/>
    <xf borderId="0" fillId="2" fontId="1" numFmtId="3" xfId="0" applyAlignment="1" applyFill="1" applyFont="1" applyNumberFormat="1">
      <alignment horizontal="center"/>
    </xf>
    <xf borderId="0" fillId="2" fontId="1" numFmtId="164" xfId="0" applyAlignment="1" applyFill="1" applyFont="1" applyNumberFormat="1">
      <alignment horizontal="center"/>
    </xf>
    <xf borderId="0" fillId="2" fontId="1" numFmtId="0" xfId="0" applyAlignment="1" applyFill="1" applyFont="1">
      <alignment horizontal="center"/>
    </xf>
    <xf borderId="0" fillId="2" fontId="2" numFmtId="0" xfId="0" applyAlignment="1" applyFill="1" applyFont="1">
      <alignment horizontal="center" vertical="center"/>
    </xf>
    <xf borderId="0" fillId="2" fontId="1" numFmtId="0" xfId="0" applyAlignment="1" applyFill="1" applyFont="1">
      <alignment horizontal="right"/>
    </xf>
    <xf borderId="0" fillId="2" fontId="1" numFmtId="165" xfId="0" applyAlignment="1" applyFill="1" applyFont="1" applyNumberFormat="1">
      <alignment horizontal="left"/>
    </xf>
    <xf borderId="0" fillId="0" fontId="3" numFmtId="0" xfId="0" applyAlignment="1" applyFont="1">
      <alignment horizontal="center" vertical="center"/>
    </xf>
    <xf borderId="0" fillId="0" fontId="4" numFmtId="0" xfId="0" applyAlignment="1" applyFont="1">
      <alignment horizontal="right" vertical="center"/>
    </xf>
    <xf borderId="0" fillId="0" fontId="5" numFmtId="0" xfId="0" applyFont="1"/>
    <xf borderId="0" fillId="0" fontId="6" numFmtId="0" xfId="0" applyAlignment="1" applyFont="1">
      <alignment vertical="bottom"/>
    </xf>
    <xf borderId="0" fillId="2" fontId="7" numFmtId="0" xfId="0" applyFill="1" applyFont="1"/>
    <xf borderId="0" fillId="2" fontId="8" numFmtId="0" xfId="0" applyFill="1" applyFont="1"/>
    <xf borderId="0" fillId="2" fontId="4" numFmtId="0" xfId="0" applyFill="1" applyFont="1"/>
    <xf borderId="0" fillId="3" fontId="1" numFmtId="0" xfId="0" applyAlignment="1" applyFill="1" applyFont="1">
      <alignment horizontal="center"/>
    </xf>
    <xf borderId="0" fillId="2" fontId="9" numFmtId="0" xfId="0" applyFill="1" applyFont="1"/>
    <xf borderId="0" fillId="2" fontId="10" numFmtId="0" xfId="0" applyFill="1" applyFont="1"/>
    <xf borderId="0" fillId="2" fontId="6" numFmtId="0" xfId="0" applyFill="1" applyFont="1"/>
    <xf borderId="0" fillId="2" fontId="11" numFmtId="0" xfId="0" applyAlignment="1" applyFill="1" applyFont="1">
      <alignment horizontal="center"/>
    </xf>
    <xf borderId="0" fillId="2" fontId="12" numFmtId="0" xfId="0" applyAlignment="1" applyFill="1" applyFont="1">
      <alignment horizontal="center"/>
    </xf>
    <xf borderId="0" fillId="2" fontId="13" numFmtId="0" xfId="0" applyAlignment="1" applyFill="1" applyFont="1">
      <alignment horizontal="center"/>
    </xf>
    <xf borderId="0" fillId="2" fontId="11" numFmtId="0" xfId="0" applyFill="1" applyFont="1"/>
    <xf borderId="0" fillId="0" fontId="14" numFmtId="0" xfId="0" applyAlignment="1" applyFont="1">
      <alignment horizontal="center"/>
    </xf>
    <xf borderId="0" fillId="2" fontId="14" numFmtId="0" xfId="0" applyAlignment="1" applyFill="1" applyFont="1">
      <alignment horizontal="center"/>
    </xf>
    <xf borderId="0" fillId="3" fontId="15" numFmtId="0" xfId="0" applyAlignment="1" applyFill="1" applyFont="1">
      <alignment horizontal="center" vertical="center"/>
    </xf>
    <xf borderId="0" fillId="0" fontId="16" numFmtId="0" xfId="0" applyAlignment="1" applyFont="1">
      <alignment horizontal="center" vertical="center"/>
    </xf>
    <xf borderId="0" fillId="2" fontId="1" numFmtId="164" xfId="0" applyAlignment="1" applyFill="1" applyFont="1" applyNumberFormat="1">
      <alignment horizontal="center" vertical="bottom"/>
    </xf>
    <xf borderId="0" fillId="2" fontId="1" numFmtId="0" xfId="0" applyAlignment="1" applyFill="1" applyFont="1">
      <alignment vertical="bottom"/>
    </xf>
    <xf borderId="0" fillId="3" fontId="11" numFmtId="0" xfId="0" applyAlignment="1" applyFill="1" applyFont="1">
      <alignment horizontal="center"/>
    </xf>
    <xf borderId="0" fillId="2" fontId="1" numFmtId="0" xfId="0" applyAlignment="1" applyFill="1" applyFont="1">
      <alignment horizontal="center" vertical="bottom"/>
    </xf>
    <xf borderId="0" fillId="0" fontId="6" numFmtId="0" xfId="0" applyAlignment="1" applyFont="1">
      <alignment horizontal="left"/>
    </xf>
    <xf borderId="0" fillId="0" fontId="6" numFmtId="0" xfId="0" applyAlignment="1" applyFont="1">
      <alignment horizontal="right"/>
    </xf>
    <xf borderId="0" fillId="0" fontId="6" numFmtId="0" xfId="0" applyFont="1"/>
    <xf borderId="0" fillId="0" fontId="6" numFmtId="0" xfId="0" applyAlignment="1" applyFont="1">
      <alignment horizontal="center"/>
    </xf>
    <xf borderId="0" fillId="4" fontId="6" numFmtId="0" xfId="0" applyAlignment="1" applyFill="1" applyFont="1">
      <alignment horizontal="left"/>
    </xf>
    <xf borderId="0" fillId="4" fontId="6" numFmtId="0" xfId="0" applyAlignment="1" applyFill="1" applyFont="1">
      <alignment horizontal="right"/>
    </xf>
    <xf borderId="0" fillId="2" fontId="12" numFmtId="164" xfId="0" applyAlignment="1" applyFill="1" applyFont="1" applyNumberFormat="1">
      <alignment horizontal="center" vertical="center"/>
    </xf>
    <xf borderId="0" fillId="2" fontId="17" numFmtId="0" xfId="0" applyAlignment="1" applyFill="1" applyFont="1">
      <alignment horizontal="center" vertical="center"/>
    </xf>
    <xf borderId="0" fillId="0" fontId="6" numFmtId="0" xfId="0" applyAlignment="1" applyFont="1">
      <alignment horizontal="center" vertical="bottom"/>
    </xf>
    <xf borderId="1" fillId="2" fontId="1" numFmtId="0" xfId="0" applyAlignment="1" applyBorder="1" applyFill="1" applyFont="1">
      <alignment horizontal="center"/>
    </xf>
    <xf borderId="0" fillId="3" fontId="1" numFmtId="0" xfId="0" applyAlignment="1" applyFill="1" applyFont="1">
      <alignment horizontal="center" vertical="center"/>
    </xf>
    <xf borderId="2" fillId="0" fontId="6" numFmtId="0" xfId="0" applyBorder="1" applyFont="1"/>
    <xf borderId="0" fillId="5" fontId="6" numFmtId="0" xfId="0" applyAlignment="1" applyFill="1" applyFont="1">
      <alignment horizontal="center"/>
    </xf>
    <xf borderId="2" fillId="5" fontId="6" numFmtId="0" xfId="0" applyAlignment="1" applyBorder="1" applyFill="1" applyFont="1">
      <alignment horizontal="center"/>
    </xf>
    <xf borderId="0" fillId="0" fontId="6" numFmtId="9" xfId="0" applyAlignment="1" applyFont="1" applyNumberFormat="1">
      <alignment horizontal="center" vertical="bottom"/>
    </xf>
    <xf borderId="0" fillId="0" fontId="6" numFmtId="9" xfId="0" applyAlignment="1" applyFont="1" applyNumberFormat="1">
      <alignment horizontal="center"/>
    </xf>
    <xf borderId="0" fillId="3" fontId="6" numFmtId="0" xfId="0" applyAlignment="1" applyFill="1" applyFont="1">
      <alignment vertical="bottom"/>
    </xf>
    <xf borderId="0" fillId="3" fontId="6" numFmtId="0" xfId="0" applyFill="1" applyFont="1"/>
    <xf borderId="0" fillId="5" fontId="6" numFmtId="0" xfId="0" applyAlignment="1" applyFill="1" applyFont="1">
      <alignment horizontal="center" vertical="bottom"/>
    </xf>
    <xf borderId="2" fillId="5" fontId="6" numFmtId="0" xfId="0" applyAlignment="1" applyBorder="1" applyFill="1" applyFont="1">
      <alignment horizontal="center" vertical="bottom"/>
    </xf>
    <xf borderId="0" fillId="2" fontId="6" numFmtId="0" xfId="0" applyAlignment="1" applyFill="1" applyFont="1">
      <alignment vertical="bottom"/>
    </xf>
    <xf borderId="2" fillId="0" fontId="6" numFmtId="0" xfId="0" applyAlignment="1" applyBorder="1" applyFont="1">
      <alignment vertical="bottom"/>
    </xf>
    <xf borderId="0" fillId="3" fontId="11" numFmtId="0" xfId="0" applyFill="1" applyFont="1"/>
    <xf borderId="0" fillId="3" fontId="18" numFmtId="0" xfId="0" applyAlignment="1" applyFill="1" applyFont="1">
      <alignment horizontal="right"/>
    </xf>
    <xf borderId="3" fillId="2" fontId="1" numFmtId="0" xfId="0" applyAlignment="1" applyBorder="1" applyFill="1" applyFont="1">
      <alignment horizontal="right"/>
    </xf>
    <xf borderId="3" fillId="2" fontId="11" numFmtId="0" xfId="0" applyBorder="1" applyFill="1" applyFont="1"/>
    <xf borderId="4" fillId="2" fontId="1" numFmtId="0" xfId="0" applyAlignment="1" applyBorder="1" applyFill="1" applyFont="1">
      <alignment horizontal="right"/>
    </xf>
    <xf borderId="4" fillId="2" fontId="11" numFmtId="166" xfId="0" applyAlignment="1" applyBorder="1" applyFill="1" applyFont="1" applyNumberFormat="1">
      <alignment horizontal="left"/>
    </xf>
    <xf borderId="5" fillId="2" fontId="1" numFmtId="0" xfId="0" applyAlignment="1" applyBorder="1" applyFill="1" applyFont="1">
      <alignment horizontal="center" vertical="bottom"/>
    </xf>
    <xf borderId="3" fillId="2" fontId="1" numFmtId="0" xfId="0" applyBorder="1" applyFill="1" applyFont="1"/>
    <xf borderId="3" fillId="2" fontId="1" numFmtId="0" xfId="0" applyAlignment="1" applyBorder="1" applyFill="1" applyFont="1">
      <alignment horizontal="center"/>
    </xf>
    <xf borderId="3" fillId="2" fontId="1" numFmtId="9" xfId="0" applyAlignment="1" applyBorder="1" applyFill="1" applyFont="1" applyNumberFormat="1">
      <alignment horizontal="center" vertical="bottom"/>
    </xf>
    <xf borderId="6" fillId="2" fontId="1" numFmtId="9" xfId="0" applyAlignment="1" applyBorder="1" applyFill="1" applyFont="1" applyNumberFormat="1">
      <alignment horizontal="center" vertical="bottom"/>
    </xf>
    <xf borderId="7" fillId="0" fontId="6" numFmtId="0" xfId="0" applyAlignment="1" applyBorder="1" applyFont="1">
      <alignment vertical="bottom"/>
    </xf>
    <xf borderId="5" fillId="5" fontId="6" numFmtId="0" xfId="0" applyAlignment="1" applyBorder="1" applyFill="1" applyFont="1">
      <alignment horizontal="center"/>
    </xf>
    <xf borderId="6" fillId="5" fontId="6" numFmtId="0" xfId="0" applyAlignment="1" applyBorder="1" applyFill="1" applyFont="1">
      <alignment horizontal="center"/>
    </xf>
    <xf borderId="0" fillId="4" fontId="16" numFmtId="1" xfId="0" applyAlignment="1" applyFill="1" applyFont="1" applyNumberFormat="1">
      <alignment horizontal="center" vertical="bottom"/>
    </xf>
    <xf borderId="2" fillId="4" fontId="16" numFmtId="1" xfId="0" applyAlignment="1" applyBorder="1" applyFill="1" applyFont="1" applyNumberFormat="1">
      <alignment horizontal="center" vertical="bottom"/>
    </xf>
    <xf borderId="7" fillId="5" fontId="6" numFmtId="0" xfId="0" applyAlignment="1" applyBorder="1" applyFill="1" applyFont="1">
      <alignment horizontal="center"/>
    </xf>
    <xf borderId="7" fillId="5" fontId="6" numFmtId="0" xfId="0" applyAlignment="1" applyBorder="1" applyFill="1" applyFont="1">
      <alignment horizontal="center" vertical="bottom"/>
    </xf>
    <xf borderId="8" fillId="0" fontId="6" numFmtId="0" xfId="0" applyAlignment="1" applyBorder="1" applyFont="1">
      <alignment vertical="bottom"/>
    </xf>
    <xf borderId="8" fillId="5" fontId="6" numFmtId="0" xfId="0" applyAlignment="1" applyBorder="1" applyFill="1" applyFont="1">
      <alignment horizontal="center" vertical="bottom"/>
    </xf>
    <xf borderId="9" fillId="5" fontId="6" numFmtId="0" xfId="0" applyAlignment="1" applyBorder="1" applyFill="1" applyFont="1">
      <alignment horizontal="center" vertical="bottom"/>
    </xf>
    <xf borderId="4" fillId="4" fontId="16" numFmtId="1" xfId="0" applyAlignment="1" applyBorder="1" applyFill="1" applyFont="1" applyNumberFormat="1">
      <alignment horizontal="center" vertical="bottom"/>
    </xf>
    <xf borderId="9" fillId="4" fontId="16" numFmtId="1" xfId="0" applyAlignment="1" applyBorder="1" applyFill="1" applyFont="1" applyNumberFormat="1">
      <alignment horizontal="center" vertical="bottom"/>
    </xf>
    <xf borderId="3" fillId="4" fontId="16" numFmtId="1" xfId="0" applyAlignment="1" applyBorder="1" applyFill="1" applyFont="1" applyNumberFormat="1">
      <alignment horizontal="center" vertical="bottom"/>
    </xf>
    <xf borderId="6" fillId="4" fontId="16" numFmtId="1" xfId="0" applyAlignment="1" applyBorder="1" applyFill="1" applyFont="1" applyNumberFormat="1">
      <alignment horizontal="center" vertical="bottom"/>
    </xf>
    <xf borderId="10" fillId="0" fontId="6" numFmtId="0" xfId="0" applyAlignment="1" applyBorder="1" applyFont="1">
      <alignment vertical="bottom"/>
    </xf>
    <xf borderId="11" fillId="0" fontId="6" numFmtId="0" xfId="0" applyAlignment="1" applyBorder="1" applyFont="1">
      <alignment vertical="bottom"/>
    </xf>
    <xf borderId="0" fillId="5" fontId="6" numFmtId="0" xfId="0" applyFill="1" applyFont="1"/>
    <xf borderId="0" fillId="5" fontId="18" numFmtId="0" xfId="0" applyAlignment="1" applyFill="1" applyFont="1">
      <alignment horizontal="center"/>
    </xf>
    <xf borderId="12" fillId="0" fontId="19" numFmtId="0" xfId="0" applyBorder="1" applyFont="1"/>
    <xf borderId="0" fillId="2" fontId="1" numFmtId="0" xfId="0" applyAlignment="1" applyFill="1" applyFont="1">
      <alignment vertical="center"/>
    </xf>
    <xf borderId="0" fillId="2" fontId="1" numFmtId="0" xfId="0" applyAlignment="1" applyFill="1" applyFont="1">
      <alignment horizontal="center" vertical="center"/>
    </xf>
    <xf borderId="12" fillId="2" fontId="1" numFmtId="0" xfId="0" applyAlignment="1" applyBorder="1" applyFill="1" applyFont="1">
      <alignment horizontal="center" vertical="center"/>
    </xf>
    <xf borderId="0" fillId="2" fontId="1" numFmtId="0" xfId="0" applyAlignment="1" applyFill="1" applyFont="1">
      <alignment horizontal="right" vertical="center"/>
    </xf>
    <xf borderId="0" fillId="2" fontId="11" numFmtId="3" xfId="0" applyAlignment="1" applyFill="1" applyFont="1" applyNumberFormat="1">
      <alignment horizontal="center" vertical="center"/>
    </xf>
    <xf borderId="0" fillId="2" fontId="1" numFmtId="9" xfId="0" applyAlignment="1" applyFill="1" applyFont="1" applyNumberFormat="1">
      <alignment horizontal="center" vertical="bottom"/>
    </xf>
    <xf borderId="12" fillId="2" fontId="11" numFmtId="3" xfId="0" applyAlignment="1" applyBorder="1" applyFill="1" applyFont="1" applyNumberFormat="1">
      <alignment horizontal="center" vertical="center"/>
    </xf>
    <xf borderId="0" fillId="2" fontId="11" numFmtId="9" xfId="0" applyAlignment="1" applyFill="1" applyFont="1" applyNumberFormat="1">
      <alignment horizontal="center" vertical="center"/>
    </xf>
    <xf borderId="12" fillId="2" fontId="11" numFmtId="9" xfId="0" applyAlignment="1" applyBorder="1" applyFill="1" applyFont="1" applyNumberFormat="1">
      <alignment horizontal="center" vertical="center"/>
    </xf>
    <xf borderId="0" fillId="3" fontId="1" numFmtId="0" xfId="0" applyAlignment="1" applyFill="1" applyFont="1">
      <alignment horizontal="right" vertical="center"/>
    </xf>
    <xf borderId="0" fillId="3" fontId="1" numFmtId="164" xfId="0" applyAlignment="1" applyFill="1" applyFont="1" applyNumberFormat="1">
      <alignment horizontal="center" vertical="center"/>
    </xf>
    <xf borderId="12" fillId="3" fontId="1" numFmtId="164" xfId="0" applyAlignment="1" applyBorder="1" applyFill="1" applyFont="1" applyNumberFormat="1">
      <alignment horizontal="center" vertical="center"/>
    </xf>
    <xf borderId="0" fillId="3" fontId="20" numFmtId="49" xfId="0" applyAlignment="1" applyFill="1" applyFont="1" applyNumberFormat="1">
      <alignment horizontal="left" vertical="center"/>
    </xf>
    <xf borderId="12" fillId="3" fontId="20" numFmtId="49" xfId="0" applyAlignment="1" applyBorder="1" applyFill="1" applyFont="1" applyNumberFormat="1">
      <alignment horizontal="left" vertic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000000"/>
                </a:solidFill>
                <a:latin typeface="+mn-lt"/>
              </a:defRPr>
            </a:pPr>
            <a:r>
              <a:rPr b="1" i="0">
                <a:solidFill>
                  <a:srgbClr val="000000"/>
                </a:solidFill>
                <a:latin typeface="+mn-lt"/>
              </a:rPr>
              <a:t>VTT x VTR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tx>
            <c:strRef>
              <c:f>macro!$A$3</c:f>
            </c:strRef>
          </c:tx>
          <c:spPr>
            <a:solidFill>
              <a:srgbClr val="1C4587"/>
            </a:solidFill>
            <a:ln cmpd="sng">
              <a:noFill/>
            </a:ln>
          </c:spPr>
          <c:invertIfNegative val="0"/>
          <c:cat>
            <c:strRef>
              <c:f>macro!$B$2:$M$2</c:f>
            </c:strRef>
          </c:cat>
          <c:val>
            <c:numRef>
              <c:f>macro!$B$3:$M$3</c:f>
              <c:numCache/>
            </c:numRef>
          </c:val>
        </c:ser>
        <c:axId val="594659605"/>
        <c:axId val="924464043"/>
      </c:barChart>
      <c:lineChart>
        <c:varyColors val="0"/>
        <c:ser>
          <c:idx val="1"/>
          <c:order val="1"/>
          <c:tx>
            <c:strRef>
              <c:f>macro!$A$4</c:f>
            </c:strRef>
          </c:tx>
          <c:spPr>
            <a:ln cmpd="sng">
              <a:solidFill>
                <a:srgbClr val="FF9900"/>
              </a:solidFill>
            </a:ln>
          </c:spPr>
          <c:marker>
            <c:symbol val="none"/>
          </c:marker>
          <c:cat>
            <c:strRef>
              <c:f>macro!$B$2:$M$2</c:f>
            </c:strRef>
          </c:cat>
          <c:val>
            <c:numRef>
              <c:f>macro!$B$4:$M$4</c:f>
              <c:numCache/>
            </c:numRef>
          </c:val>
          <c:smooth val="0"/>
        </c:ser>
        <c:axId val="594659605"/>
        <c:axId val="924464043"/>
      </c:lineChart>
      <c:catAx>
        <c:axId val="5946596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924464043"/>
      </c:catAx>
      <c:valAx>
        <c:axId val="9244640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>
                <a:solidFill>
                  <a:srgbClr val="000000"/>
                </a:solidFill>
                <a:latin typeface="+mn-lt"/>
              </a:defRPr>
            </a:pPr>
          </a:p>
        </c:txPr>
        <c:crossAx val="594659605"/>
      </c:valAx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0</xdr:rowOff>
    </xdr:from>
    <xdr:ext cx="1590675" cy="15906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110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153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0</xdr:rowOff>
    </xdr:from>
    <xdr:ext cx="1590675" cy="15906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110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153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142875</xdr:colOff>
      <xdr:row>0</xdr:row>
      <xdr:rowOff>0</xdr:rowOff>
    </xdr:from>
    <xdr:ext cx="1590675" cy="1590675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110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153</xdr:row>
      <xdr:rowOff>0</xdr:rowOff>
    </xdr:from>
    <xdr:ext cx="20002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6</xdr:row>
      <xdr:rowOff>447675</xdr:rowOff>
    </xdr:from>
    <xdr:ext cx="9420225" cy="2457450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7" width="12.63"/>
  </cols>
  <sheetData>
    <row r="1" ht="37.5" customHeight="1">
      <c r="A1" s="6"/>
      <c r="B1" s="9" t="s">
        <v>2</v>
      </c>
    </row>
    <row r="2" ht="15.75" customHeight="1">
      <c r="B2" s="10" t="s">
        <v>3</v>
      </c>
      <c r="C2" s="11"/>
    </row>
    <row r="3" ht="15.75" customHeight="1">
      <c r="B3" s="10" t="s">
        <v>4</v>
      </c>
      <c r="C3" s="12"/>
    </row>
    <row r="4" ht="15.75" customHeight="1">
      <c r="A4" s="13"/>
      <c r="B4" s="14"/>
      <c r="C4" s="15"/>
      <c r="D4" s="17"/>
      <c r="E4" s="18"/>
      <c r="F4" s="19"/>
      <c r="G4" s="19"/>
    </row>
    <row r="5" ht="15.75" customHeight="1">
      <c r="A5" s="20"/>
      <c r="B5" s="21" t="s">
        <v>5</v>
      </c>
      <c r="C5" s="21" t="s">
        <v>6</v>
      </c>
      <c r="D5" s="21" t="s">
        <v>7</v>
      </c>
      <c r="E5" s="21" t="s">
        <v>8</v>
      </c>
      <c r="F5" s="21" t="s">
        <v>9</v>
      </c>
      <c r="G5" s="5"/>
    </row>
    <row r="6" ht="15.75" customHeight="1">
      <c r="A6" s="22"/>
      <c r="B6" s="24"/>
      <c r="C6" s="24"/>
      <c r="D6" s="24"/>
      <c r="E6" s="24"/>
      <c r="F6" s="24"/>
      <c r="G6" s="5"/>
    </row>
    <row r="7" ht="15.75" customHeight="1">
      <c r="A7" s="22"/>
      <c r="B7" s="25"/>
      <c r="C7" s="25"/>
      <c r="D7" s="25"/>
      <c r="E7" s="25"/>
      <c r="F7" s="25"/>
      <c r="G7" s="25"/>
    </row>
    <row r="8" ht="15.75" customHeight="1">
      <c r="A8" s="26" t="s">
        <v>11</v>
      </c>
    </row>
    <row r="9" ht="15.75" customHeight="1">
      <c r="A9" s="27"/>
    </row>
    <row r="10" ht="15.75" customHeight="1"/>
    <row r="11" ht="15.75" customHeight="1">
      <c r="A11" s="26" t="s">
        <v>12</v>
      </c>
    </row>
    <row r="12" ht="15.75" customHeight="1">
      <c r="A12" s="2"/>
      <c r="B12" s="29" t="s">
        <v>13</v>
      </c>
      <c r="C12" s="29" t="s">
        <v>14</v>
      </c>
      <c r="D12" s="31" t="s">
        <v>15</v>
      </c>
      <c r="E12" s="31" t="s">
        <v>11</v>
      </c>
    </row>
    <row r="13" ht="15.75" customHeight="1">
      <c r="A13" s="32"/>
      <c r="B13" s="33"/>
      <c r="C13" s="33"/>
      <c r="D13" s="33"/>
      <c r="E13" s="35"/>
    </row>
    <row r="14" ht="15.75" customHeight="1">
      <c r="A14" s="36"/>
      <c r="B14" s="37"/>
      <c r="C14" s="37"/>
      <c r="D14" s="33"/>
      <c r="E14" s="35"/>
    </row>
    <row r="15" ht="15.75" customHeight="1">
      <c r="A15" s="32"/>
      <c r="B15" s="33"/>
      <c r="C15" s="33"/>
      <c r="D15" s="33"/>
      <c r="E15" s="35"/>
    </row>
    <row r="16" ht="15.75" customHeight="1">
      <c r="A16" s="38">
        <f>'bloco 01'!C3</f>
        <v>46246</v>
      </c>
    </row>
    <row r="17" ht="15.75" customHeight="1">
      <c r="A17" s="39" t="s">
        <v>17</v>
      </c>
    </row>
    <row r="18" ht="15.75" customHeight="1">
      <c r="A18" s="26" t="s">
        <v>10</v>
      </c>
    </row>
    <row r="19" ht="15.75" customHeight="1">
      <c r="A19" s="29"/>
      <c r="B19" s="29" t="s">
        <v>13</v>
      </c>
      <c r="C19" s="31" t="s">
        <v>16</v>
      </c>
      <c r="D19" s="31" t="s">
        <v>15</v>
      </c>
      <c r="E19" s="31" t="s">
        <v>19</v>
      </c>
      <c r="F19" s="31" t="s">
        <v>11</v>
      </c>
    </row>
    <row r="20" ht="15.75" customHeight="1">
      <c r="A20" s="12" t="str">
        <f>'bloco 01'!$B$6</f>
        <v/>
      </c>
      <c r="B20" s="40" t="str">
        <f>'bloco 01'!C6</f>
        <v/>
      </c>
      <c r="C20" s="40" t="str">
        <f>'bloco 01'!D6</f>
        <v/>
      </c>
      <c r="D20" s="40" t="str">
        <f>'bloco 01'!E6</f>
        <v/>
      </c>
      <c r="E20" s="46" t="str">
        <f>IFERROR(('bloco 01'!F6),"")</f>
        <v/>
      </c>
      <c r="F20" s="47" t="str">
        <f>'bloco 01'!G6</f>
        <v/>
      </c>
    </row>
    <row r="21" ht="15.75" customHeight="1">
      <c r="A21" s="12" t="str">
        <f>'bloco 01'!$B$7</f>
        <v/>
      </c>
      <c r="B21" s="40" t="str">
        <f>'bloco 01'!C7</f>
        <v/>
      </c>
      <c r="C21" s="40" t="str">
        <f>'bloco 01'!D7</f>
        <v/>
      </c>
      <c r="D21" s="40" t="str">
        <f>'bloco 01'!E7</f>
        <v/>
      </c>
      <c r="E21" s="46" t="str">
        <f>IFERROR(('bloco 01'!F7),"")</f>
        <v/>
      </c>
      <c r="F21" s="47" t="str">
        <f>'bloco 01'!G7</f>
        <v/>
      </c>
    </row>
    <row r="22" ht="15.75" customHeight="1">
      <c r="A22" s="12" t="str">
        <f>'bloco 01'!$B$8</f>
        <v/>
      </c>
      <c r="B22" s="40" t="str">
        <f>'bloco 01'!C8</f>
        <v/>
      </c>
      <c r="C22" s="40" t="str">
        <f>'bloco 01'!D8</f>
        <v/>
      </c>
      <c r="D22" s="40" t="str">
        <f>'bloco 01'!E8</f>
        <v/>
      </c>
      <c r="E22" s="46" t="str">
        <f>IFERROR(('bloco 01'!F8),"")</f>
        <v/>
      </c>
      <c r="F22" s="47" t="str">
        <f>'bloco 01'!G8</f>
        <v/>
      </c>
    </row>
    <row r="23" ht="15.75" customHeight="1">
      <c r="A23" s="12" t="str">
        <f>'bloco 01'!$B$9</f>
        <v/>
      </c>
      <c r="B23" s="40" t="str">
        <f>'bloco 01'!C9</f>
        <v/>
      </c>
      <c r="C23" s="40" t="str">
        <f>'bloco 01'!D9</f>
        <v/>
      </c>
      <c r="D23" s="40" t="str">
        <f>'bloco 01'!E9</f>
        <v/>
      </c>
      <c r="E23" s="46" t="str">
        <f>IFERROR(('bloco 01'!F9),"")</f>
        <v/>
      </c>
      <c r="F23" s="47" t="str">
        <f>'bloco 01'!G9</f>
        <v/>
      </c>
    </row>
    <row r="24" ht="15.75" customHeight="1">
      <c r="A24" s="12" t="str">
        <f>'bloco 01'!$B$10</f>
        <v/>
      </c>
      <c r="B24" s="40" t="str">
        <f>'bloco 01'!C10</f>
        <v/>
      </c>
      <c r="C24" s="40" t="str">
        <f>'bloco 01'!D10</f>
        <v/>
      </c>
      <c r="D24" s="40" t="str">
        <f>'bloco 01'!E10</f>
        <v/>
      </c>
      <c r="E24" s="46" t="str">
        <f>IFERROR(('bloco 01'!F10),"")</f>
        <v/>
      </c>
      <c r="F24" s="47" t="str">
        <f>'bloco 01'!G10</f>
        <v/>
      </c>
    </row>
    <row r="25" ht="15.75" customHeight="1">
      <c r="A25" s="12" t="str">
        <f>'bloco 01'!$B$11</f>
        <v/>
      </c>
      <c r="B25" s="40" t="str">
        <f>'bloco 01'!C11</f>
        <v/>
      </c>
      <c r="C25" s="40" t="str">
        <f>'bloco 01'!D11</f>
        <v/>
      </c>
      <c r="D25" s="40" t="str">
        <f>'bloco 01'!E11</f>
        <v/>
      </c>
      <c r="E25" s="46" t="str">
        <f>IFERROR(('bloco 01'!F11),"")</f>
        <v/>
      </c>
      <c r="F25" s="47" t="str">
        <f>'bloco 01'!G11</f>
        <v/>
      </c>
    </row>
    <row r="26" ht="15.75" customHeight="1">
      <c r="A26" s="12" t="str">
        <f>'bloco 01'!$B$12</f>
        <v/>
      </c>
      <c r="B26" s="40" t="str">
        <f>'bloco 01'!C12</f>
        <v/>
      </c>
      <c r="C26" s="40" t="str">
        <f>'bloco 01'!D12</f>
        <v/>
      </c>
      <c r="D26" s="40" t="str">
        <f>'bloco 01'!E12</f>
        <v/>
      </c>
      <c r="E26" s="46" t="str">
        <f>IFERROR(('bloco 01'!F12),"")</f>
        <v/>
      </c>
      <c r="F26" s="47" t="str">
        <f>'bloco 01'!G12</f>
        <v/>
      </c>
    </row>
    <row r="27" ht="15.75" customHeight="1">
      <c r="A27" s="12" t="str">
        <f>'bloco 01'!$B$13</f>
        <v/>
      </c>
      <c r="B27" s="40" t="str">
        <f>'bloco 01'!C13</f>
        <v/>
      </c>
      <c r="C27" s="40" t="str">
        <f>'bloco 01'!D13</f>
        <v/>
      </c>
      <c r="D27" s="40" t="str">
        <f>'bloco 01'!E13</f>
        <v/>
      </c>
      <c r="E27" s="46" t="str">
        <f>IFERROR(('bloco 01'!F13),"")</f>
        <v/>
      </c>
      <c r="F27" s="47" t="str">
        <f>'bloco 01'!G13</f>
        <v/>
      </c>
    </row>
    <row r="28" ht="15.75" customHeight="1">
      <c r="A28" s="12" t="str">
        <f>'bloco 01'!$B$14</f>
        <v/>
      </c>
      <c r="B28" s="40" t="str">
        <f>'bloco 01'!C14</f>
        <v/>
      </c>
      <c r="C28" s="40" t="str">
        <f>'bloco 01'!D14</f>
        <v/>
      </c>
      <c r="D28" s="40" t="str">
        <f>'bloco 01'!E14</f>
        <v/>
      </c>
      <c r="E28" s="46" t="str">
        <f>IFERROR(('bloco 01'!F14),"")</f>
        <v/>
      </c>
      <c r="F28" s="47" t="str">
        <f>'bloco 01'!G14</f>
        <v/>
      </c>
    </row>
    <row r="29" ht="15.75" customHeight="1">
      <c r="A29" s="12" t="str">
        <f>'bloco 01'!$B$15</f>
        <v/>
      </c>
      <c r="B29" s="40" t="str">
        <f>'bloco 01'!C15</f>
        <v/>
      </c>
      <c r="C29" s="40" t="str">
        <f>'bloco 01'!D15</f>
        <v/>
      </c>
      <c r="D29" s="40" t="str">
        <f>'bloco 01'!E15</f>
        <v/>
      </c>
      <c r="E29" s="46" t="str">
        <f>IFERROR(('bloco 01'!F15),"")</f>
        <v/>
      </c>
      <c r="F29" s="47" t="str">
        <f>'bloco 01'!G15</f>
        <v/>
      </c>
    </row>
    <row r="30" ht="15.75" customHeight="1">
      <c r="A30" s="26" t="s">
        <v>22</v>
      </c>
    </row>
    <row r="31" ht="15.75" customHeight="1">
      <c r="A31" s="29"/>
      <c r="B31" s="29" t="s">
        <v>13</v>
      </c>
      <c r="C31" s="31" t="s">
        <v>16</v>
      </c>
      <c r="D31" s="31" t="s">
        <v>15</v>
      </c>
      <c r="E31" s="31" t="s">
        <v>19</v>
      </c>
      <c r="F31" s="31" t="s">
        <v>11</v>
      </c>
    </row>
    <row r="32" ht="15.75" customHeight="1">
      <c r="A32" s="12" t="str">
        <f>'bloco 01'!$B$21</f>
        <v/>
      </c>
      <c r="B32" s="40" t="str">
        <f>'bloco 01'!C21</f>
        <v/>
      </c>
      <c r="C32" s="40" t="str">
        <f>'bloco 01'!D21</f>
        <v/>
      </c>
      <c r="D32" s="40" t="str">
        <f>'bloco 01'!E21</f>
        <v/>
      </c>
      <c r="E32" s="46" t="str">
        <f>IFERROR(('bloco 01'!F21),"")</f>
        <v/>
      </c>
      <c r="F32" s="47" t="str">
        <f>'bloco 01'!G21</f>
        <v/>
      </c>
    </row>
    <row r="33" ht="15.75" customHeight="1">
      <c r="A33" s="12" t="str">
        <f>'bloco 01'!$B$22</f>
        <v/>
      </c>
      <c r="B33" s="40" t="str">
        <f>'bloco 01'!C22</f>
        <v/>
      </c>
      <c r="C33" s="40" t="str">
        <f>'bloco 01'!D22</f>
        <v/>
      </c>
      <c r="D33" s="40" t="str">
        <f>'bloco 01'!E22</f>
        <v/>
      </c>
      <c r="E33" s="46" t="str">
        <f>IFERROR(('bloco 01'!F22),"")</f>
        <v/>
      </c>
      <c r="F33" s="47" t="str">
        <f>'bloco 01'!G22</f>
        <v/>
      </c>
    </row>
    <row r="34" ht="15.75" customHeight="1">
      <c r="A34" s="12" t="str">
        <f>'bloco 01'!$B$23</f>
        <v/>
      </c>
      <c r="B34" s="40" t="str">
        <f>'bloco 01'!C23</f>
        <v/>
      </c>
      <c r="C34" s="40" t="str">
        <f>'bloco 01'!D23</f>
        <v/>
      </c>
      <c r="D34" s="40" t="str">
        <f>'bloco 01'!E23</f>
        <v/>
      </c>
      <c r="E34" s="46" t="str">
        <f>IFERROR(('bloco 01'!F23),"")</f>
        <v/>
      </c>
      <c r="F34" s="47" t="str">
        <f>'bloco 01'!G23</f>
        <v/>
      </c>
    </row>
    <row r="35" ht="15.75" customHeight="1">
      <c r="A35" s="12" t="str">
        <f>'bloco 01'!$B$24</f>
        <v/>
      </c>
      <c r="B35" s="40" t="str">
        <f>'bloco 01'!C24</f>
        <v/>
      </c>
      <c r="C35" s="40" t="str">
        <f>'bloco 01'!D24</f>
        <v/>
      </c>
      <c r="D35" s="40" t="str">
        <f>'bloco 01'!E24</f>
        <v/>
      </c>
      <c r="E35" s="46" t="str">
        <f>IFERROR(('bloco 01'!F24),"")</f>
        <v/>
      </c>
      <c r="F35" s="47" t="str">
        <f>'bloco 01'!G24</f>
        <v/>
      </c>
    </row>
    <row r="36" ht="15.75" customHeight="1">
      <c r="A36" s="12" t="str">
        <f>'bloco 01'!$B$25</f>
        <v/>
      </c>
      <c r="B36" s="40" t="str">
        <f>'bloco 01'!C25</f>
        <v/>
      </c>
      <c r="C36" s="40" t="str">
        <f>'bloco 01'!D25</f>
        <v/>
      </c>
      <c r="D36" s="40" t="str">
        <f>'bloco 01'!E25</f>
        <v/>
      </c>
      <c r="E36" s="46" t="str">
        <f>IFERROR(('bloco 01'!F25),"")</f>
        <v/>
      </c>
      <c r="F36" s="47" t="str">
        <f>'bloco 01'!G25</f>
        <v/>
      </c>
    </row>
    <row r="37" ht="15.75" customHeight="1">
      <c r="A37" s="12" t="str">
        <f>'bloco 01'!$B$26</f>
        <v/>
      </c>
      <c r="B37" s="40" t="str">
        <f>'bloco 01'!C26</f>
        <v/>
      </c>
      <c r="C37" s="40" t="str">
        <f>'bloco 01'!D26</f>
        <v/>
      </c>
      <c r="D37" s="40" t="str">
        <f>'bloco 01'!E26</f>
        <v/>
      </c>
      <c r="E37" s="46" t="str">
        <f>IFERROR(('bloco 01'!F26),"")</f>
        <v/>
      </c>
      <c r="F37" s="47" t="str">
        <f>'bloco 01'!G26</f>
        <v/>
      </c>
    </row>
    <row r="38" ht="15.75" customHeight="1">
      <c r="A38" s="12" t="str">
        <f>'bloco 01'!$B$27</f>
        <v/>
      </c>
      <c r="B38" s="40" t="str">
        <f>'bloco 01'!C27</f>
        <v/>
      </c>
      <c r="C38" s="40" t="str">
        <f>'bloco 01'!D27</f>
        <v/>
      </c>
      <c r="D38" s="40" t="str">
        <f>'bloco 01'!E27</f>
        <v/>
      </c>
      <c r="E38" s="46" t="str">
        <f>IFERROR(('bloco 01'!F27),"")</f>
        <v/>
      </c>
      <c r="F38" s="47" t="str">
        <f>'bloco 01'!G27</f>
        <v/>
      </c>
    </row>
    <row r="39" ht="15.75" customHeight="1">
      <c r="A39" s="12" t="str">
        <f>'bloco 01'!$B$28</f>
        <v/>
      </c>
      <c r="B39" s="40" t="str">
        <f>'bloco 01'!C28</f>
        <v/>
      </c>
      <c r="C39" s="40" t="str">
        <f>'bloco 01'!D28</f>
        <v/>
      </c>
      <c r="D39" s="40" t="str">
        <f>'bloco 01'!E28</f>
        <v/>
      </c>
      <c r="E39" s="46" t="str">
        <f>IFERROR(('bloco 01'!F28),"")</f>
        <v/>
      </c>
      <c r="F39" s="47" t="str">
        <f>'bloco 01'!G28</f>
        <v/>
      </c>
    </row>
    <row r="40" ht="15.75" customHeight="1">
      <c r="A40" s="12" t="str">
        <f>'bloco 01'!$B$29</f>
        <v/>
      </c>
      <c r="B40" s="40" t="str">
        <f>'bloco 01'!C29</f>
        <v/>
      </c>
      <c r="C40" s="40" t="str">
        <f>'bloco 01'!D29</f>
        <v/>
      </c>
      <c r="D40" s="40" t="str">
        <f>'bloco 01'!E29</f>
        <v/>
      </c>
      <c r="E40" s="46" t="str">
        <f>IFERROR(('bloco 01'!F29),"")</f>
        <v/>
      </c>
      <c r="F40" s="47" t="str">
        <f>'bloco 01'!G29</f>
        <v/>
      </c>
    </row>
    <row r="41" ht="15.75" customHeight="1">
      <c r="A41" s="12" t="str">
        <f>'bloco 01'!$B$30</f>
        <v/>
      </c>
      <c r="B41" s="40" t="str">
        <f>'bloco 01'!C30</f>
        <v/>
      </c>
      <c r="C41" s="40" t="str">
        <f>'bloco 01'!D30</f>
        <v/>
      </c>
      <c r="D41" s="40" t="str">
        <f>'bloco 01'!E30</f>
        <v/>
      </c>
      <c r="E41" s="46" t="str">
        <f>IFERROR(('bloco 01'!F30),"")</f>
        <v/>
      </c>
      <c r="F41" s="47" t="str">
        <f>'bloco 01'!G30</f>
        <v/>
      </c>
    </row>
    <row r="42" ht="15.75" customHeight="1">
      <c r="A42" s="38">
        <f>'bloco 01'!J3</f>
        <v>46253</v>
      </c>
    </row>
    <row r="43" ht="15.75" customHeight="1">
      <c r="A43" s="39" t="s">
        <v>23</v>
      </c>
    </row>
    <row r="44" ht="15.75" customHeight="1">
      <c r="A44" s="26" t="s">
        <v>10</v>
      </c>
    </row>
    <row r="45" ht="15.75" customHeight="1">
      <c r="A45" s="29"/>
      <c r="B45" s="29" t="s">
        <v>13</v>
      </c>
      <c r="C45" s="31" t="s">
        <v>16</v>
      </c>
      <c r="D45" s="31" t="s">
        <v>15</v>
      </c>
      <c r="E45" s="31" t="s">
        <v>19</v>
      </c>
      <c r="F45" s="31" t="s">
        <v>11</v>
      </c>
    </row>
    <row r="46" ht="15.75" customHeight="1">
      <c r="A46" s="12" t="str">
        <f>'bloco 01'!$I$6</f>
        <v/>
      </c>
      <c r="B46" s="40" t="str">
        <f>'bloco 01'!J6</f>
        <v/>
      </c>
      <c r="C46" s="40" t="str">
        <f>'bloco 01'!K6</f>
        <v/>
      </c>
      <c r="D46" s="40" t="str">
        <f>'bloco 01'!L6</f>
        <v/>
      </c>
      <c r="E46" s="46" t="str">
        <f>IFERROR(('bloco 01'!M6),"")</f>
        <v/>
      </c>
      <c r="F46" s="47" t="str">
        <f>'bloco 01'!N6</f>
        <v/>
      </c>
    </row>
    <row r="47" ht="15.75" customHeight="1">
      <c r="A47" s="12" t="str">
        <f>'bloco 01'!$I$7</f>
        <v/>
      </c>
      <c r="B47" s="40" t="str">
        <f>'bloco 01'!J7</f>
        <v/>
      </c>
      <c r="C47" s="40" t="str">
        <f>'bloco 01'!K7</f>
        <v/>
      </c>
      <c r="D47" s="40" t="str">
        <f>'bloco 01'!L7</f>
        <v/>
      </c>
      <c r="E47" s="46" t="str">
        <f>IFERROR(('bloco 01'!M7),"")</f>
        <v/>
      </c>
      <c r="F47" s="47" t="str">
        <f>'bloco 01'!N7</f>
        <v/>
      </c>
    </row>
    <row r="48" ht="15.75" customHeight="1">
      <c r="A48" s="12" t="str">
        <f>'bloco 01'!$I$8</f>
        <v/>
      </c>
      <c r="B48" s="40" t="str">
        <f>'bloco 01'!J8</f>
        <v/>
      </c>
      <c r="C48" s="40" t="str">
        <f>'bloco 01'!K8</f>
        <v/>
      </c>
      <c r="D48" s="40" t="str">
        <f>'bloco 01'!L8</f>
        <v/>
      </c>
      <c r="E48" s="46" t="str">
        <f>IFERROR(('bloco 01'!M8),"")</f>
        <v/>
      </c>
      <c r="F48" s="47" t="str">
        <f>'bloco 01'!N8</f>
        <v/>
      </c>
    </row>
    <row r="49" ht="15.75" customHeight="1">
      <c r="A49" s="12" t="str">
        <f>'bloco 01'!$I$9</f>
        <v/>
      </c>
      <c r="B49" s="40" t="str">
        <f>'bloco 01'!J9</f>
        <v/>
      </c>
      <c r="C49" s="40" t="str">
        <f>'bloco 01'!K9</f>
        <v/>
      </c>
      <c r="D49" s="40" t="str">
        <f>'bloco 01'!L9</f>
        <v/>
      </c>
      <c r="E49" s="46" t="str">
        <f>IFERROR(('bloco 01'!M9),"")</f>
        <v/>
      </c>
      <c r="F49" s="47" t="str">
        <f>'bloco 01'!N9</f>
        <v/>
      </c>
    </row>
    <row r="50" ht="15.75" customHeight="1">
      <c r="A50" s="12" t="str">
        <f>'bloco 01'!$I$10</f>
        <v/>
      </c>
      <c r="B50" s="40" t="str">
        <f>'bloco 01'!J10</f>
        <v/>
      </c>
      <c r="C50" s="40" t="str">
        <f>'bloco 01'!K10</f>
        <v/>
      </c>
      <c r="D50" s="40" t="str">
        <f>'bloco 01'!L10</f>
        <v/>
      </c>
      <c r="E50" s="46" t="str">
        <f>IFERROR(('bloco 01'!M10),"")</f>
        <v/>
      </c>
      <c r="F50" s="47" t="str">
        <f>'bloco 01'!N10</f>
        <v/>
      </c>
    </row>
    <row r="51" ht="15.75" customHeight="1">
      <c r="A51" s="12" t="str">
        <f>'bloco 01'!$I$11</f>
        <v/>
      </c>
      <c r="B51" s="40" t="str">
        <f>'bloco 01'!J11</f>
        <v/>
      </c>
      <c r="C51" s="40" t="str">
        <f>'bloco 01'!K11</f>
        <v/>
      </c>
      <c r="D51" s="40" t="str">
        <f>'bloco 01'!L11</f>
        <v/>
      </c>
      <c r="E51" s="46" t="str">
        <f>IFERROR(('bloco 01'!M11),"")</f>
        <v/>
      </c>
      <c r="F51" s="47" t="str">
        <f>'bloco 01'!N11</f>
        <v/>
      </c>
    </row>
    <row r="52" ht="15.75" customHeight="1">
      <c r="A52" s="12" t="str">
        <f>'bloco 01'!$I$12</f>
        <v/>
      </c>
      <c r="B52" s="40" t="str">
        <f>'bloco 01'!J12</f>
        <v/>
      </c>
      <c r="C52" s="40" t="str">
        <f>'bloco 01'!K12</f>
        <v/>
      </c>
      <c r="D52" s="40" t="str">
        <f>'bloco 01'!L12</f>
        <v/>
      </c>
      <c r="E52" s="46" t="str">
        <f>IFERROR(('bloco 01'!M12),"")</f>
        <v/>
      </c>
      <c r="F52" s="47" t="str">
        <f>'bloco 01'!N12</f>
        <v/>
      </c>
    </row>
    <row r="53" ht="15.75" customHeight="1">
      <c r="A53" s="12" t="str">
        <f>'bloco 01'!$I$13</f>
        <v/>
      </c>
      <c r="B53" s="40" t="str">
        <f>'bloco 01'!J13</f>
        <v/>
      </c>
      <c r="C53" s="40" t="str">
        <f>'bloco 01'!K13</f>
        <v/>
      </c>
      <c r="D53" s="40" t="str">
        <f>'bloco 01'!L13</f>
        <v/>
      </c>
      <c r="E53" s="46" t="str">
        <f>IFERROR(('bloco 01'!M13),"")</f>
        <v/>
      </c>
      <c r="F53" s="47" t="str">
        <f>'bloco 01'!N13</f>
        <v/>
      </c>
    </row>
    <row r="54" ht="15.75" customHeight="1">
      <c r="A54" s="12" t="str">
        <f>'bloco 01'!$I$14</f>
        <v/>
      </c>
      <c r="B54" s="40" t="str">
        <f>'bloco 01'!J14</f>
        <v/>
      </c>
      <c r="C54" s="40" t="str">
        <f>'bloco 01'!K14</f>
        <v/>
      </c>
      <c r="D54" s="40" t="str">
        <f>'bloco 01'!L14</f>
        <v/>
      </c>
      <c r="E54" s="46" t="str">
        <f>IFERROR(('bloco 01'!M14),"")</f>
        <v/>
      </c>
      <c r="F54" s="47" t="str">
        <f>'bloco 01'!N14</f>
        <v/>
      </c>
    </row>
    <row r="55" ht="15.75" customHeight="1">
      <c r="A55" s="12" t="str">
        <f>'bloco 01'!$I$15</f>
        <v/>
      </c>
      <c r="B55" s="40" t="str">
        <f>'bloco 01'!J15</f>
        <v/>
      </c>
      <c r="C55" s="40" t="str">
        <f>'bloco 01'!K15</f>
        <v/>
      </c>
      <c r="D55" s="40" t="str">
        <f>'bloco 01'!L15</f>
        <v/>
      </c>
      <c r="E55" s="46" t="str">
        <f>IFERROR(('bloco 01'!M15),"")</f>
        <v/>
      </c>
      <c r="F55" s="47" t="str">
        <f>'bloco 01'!N15</f>
        <v/>
      </c>
    </row>
    <row r="56" ht="15.75" customHeight="1">
      <c r="A56" s="26" t="s">
        <v>22</v>
      </c>
    </row>
    <row r="57" ht="15.75" customHeight="1">
      <c r="A57" s="29"/>
      <c r="B57" s="29" t="s">
        <v>13</v>
      </c>
      <c r="C57" s="31" t="s">
        <v>16</v>
      </c>
      <c r="D57" s="31" t="s">
        <v>15</v>
      </c>
      <c r="E57" s="31" t="s">
        <v>19</v>
      </c>
      <c r="F57" s="31" t="s">
        <v>11</v>
      </c>
    </row>
    <row r="58" ht="15.75" customHeight="1">
      <c r="A58" s="12" t="str">
        <f>'bloco 01'!$I$21</f>
        <v/>
      </c>
      <c r="B58" s="40" t="str">
        <f>'bloco 01'!J21</f>
        <v/>
      </c>
      <c r="C58" s="40" t="str">
        <f>'bloco 01'!K21</f>
        <v/>
      </c>
      <c r="D58" s="40" t="str">
        <f>'bloco 01'!L21</f>
        <v/>
      </c>
      <c r="E58" s="46" t="str">
        <f>IFERROR(('bloco 01'!M21),"")</f>
        <v/>
      </c>
      <c r="F58" s="47" t="str">
        <f>'bloco 01'!N21</f>
        <v/>
      </c>
    </row>
    <row r="59" ht="15.75" customHeight="1">
      <c r="A59" s="12" t="str">
        <f>'bloco 01'!$I$22</f>
        <v/>
      </c>
      <c r="B59" s="40" t="str">
        <f>'bloco 01'!J22</f>
        <v/>
      </c>
      <c r="C59" s="40" t="str">
        <f>'bloco 01'!K22</f>
        <v/>
      </c>
      <c r="D59" s="40" t="str">
        <f>'bloco 01'!L22</f>
        <v/>
      </c>
      <c r="E59" s="46" t="str">
        <f>IFERROR(('bloco 01'!M22),"")</f>
        <v/>
      </c>
      <c r="F59" s="47" t="str">
        <f>'bloco 01'!N22</f>
        <v/>
      </c>
    </row>
    <row r="60" ht="15.75" customHeight="1">
      <c r="A60" s="12" t="str">
        <f>'bloco 01'!$I$23</f>
        <v/>
      </c>
      <c r="B60" s="40" t="str">
        <f>'bloco 01'!J23</f>
        <v/>
      </c>
      <c r="C60" s="40" t="str">
        <f>'bloco 01'!K23</f>
        <v/>
      </c>
      <c r="D60" s="40" t="str">
        <f>'bloco 01'!L23</f>
        <v/>
      </c>
      <c r="E60" s="46" t="str">
        <f>IFERROR(('bloco 01'!M23),"")</f>
        <v/>
      </c>
      <c r="F60" s="47" t="str">
        <f>'bloco 01'!N23</f>
        <v/>
      </c>
    </row>
    <row r="61" ht="15.75" customHeight="1">
      <c r="A61" s="12" t="str">
        <f>'bloco 01'!$I$24</f>
        <v/>
      </c>
      <c r="B61" s="40" t="str">
        <f>'bloco 01'!J24</f>
        <v/>
      </c>
      <c r="C61" s="40" t="str">
        <f>'bloco 01'!K24</f>
        <v/>
      </c>
      <c r="D61" s="40" t="str">
        <f>'bloco 01'!L24</f>
        <v/>
      </c>
      <c r="E61" s="46" t="str">
        <f>IFERROR(('bloco 01'!M24),"")</f>
        <v/>
      </c>
      <c r="F61" s="47" t="str">
        <f>'bloco 01'!N24</f>
        <v/>
      </c>
    </row>
    <row r="62" ht="15.75" customHeight="1">
      <c r="A62" s="12" t="str">
        <f>'bloco 01'!$I$25</f>
        <v/>
      </c>
      <c r="B62" s="40" t="str">
        <f>'bloco 01'!J25</f>
        <v/>
      </c>
      <c r="C62" s="40" t="str">
        <f>'bloco 01'!K25</f>
        <v/>
      </c>
      <c r="D62" s="40" t="str">
        <f>'bloco 01'!L25</f>
        <v/>
      </c>
      <c r="E62" s="46" t="str">
        <f>IFERROR(('bloco 01'!M25),"")</f>
        <v/>
      </c>
      <c r="F62" s="47" t="str">
        <f>'bloco 01'!N25</f>
        <v/>
      </c>
    </row>
    <row r="63" ht="15.75" customHeight="1">
      <c r="A63" s="12" t="str">
        <f>'bloco 01'!$I$26</f>
        <v/>
      </c>
      <c r="B63" s="40" t="str">
        <f>'bloco 01'!J26</f>
        <v/>
      </c>
      <c r="C63" s="40" t="str">
        <f>'bloco 01'!K26</f>
        <v/>
      </c>
      <c r="D63" s="40" t="str">
        <f>'bloco 01'!L26</f>
        <v/>
      </c>
      <c r="E63" s="46" t="str">
        <f>IFERROR(('bloco 01'!M26),"")</f>
        <v/>
      </c>
      <c r="F63" s="47" t="str">
        <f>'bloco 01'!N26</f>
        <v/>
      </c>
    </row>
    <row r="64" ht="15.75" customHeight="1">
      <c r="A64" s="12" t="str">
        <f>'bloco 01'!$I$27</f>
        <v/>
      </c>
      <c r="B64" s="40" t="str">
        <f>'bloco 01'!J27</f>
        <v/>
      </c>
      <c r="C64" s="40" t="str">
        <f>'bloco 01'!K27</f>
        <v/>
      </c>
      <c r="D64" s="40" t="str">
        <f>'bloco 01'!L27</f>
        <v/>
      </c>
      <c r="E64" s="46" t="str">
        <f>IFERROR(('bloco 01'!M27),"")</f>
        <v/>
      </c>
      <c r="F64" s="47" t="str">
        <f>'bloco 01'!N27</f>
        <v/>
      </c>
    </row>
    <row r="65" ht="15.75" customHeight="1">
      <c r="A65" s="12" t="str">
        <f>'bloco 01'!$I$28</f>
        <v/>
      </c>
      <c r="B65" s="40" t="str">
        <f>'bloco 01'!J28</f>
        <v/>
      </c>
      <c r="C65" s="40" t="str">
        <f>'bloco 01'!K28</f>
        <v/>
      </c>
      <c r="D65" s="40" t="str">
        <f>'bloco 01'!L28</f>
        <v/>
      </c>
      <c r="E65" s="46" t="str">
        <f>IFERROR(('bloco 01'!M28),"")</f>
        <v/>
      </c>
      <c r="F65" s="47" t="str">
        <f>'bloco 01'!N28</f>
        <v/>
      </c>
    </row>
    <row r="66" ht="15.75" customHeight="1">
      <c r="A66" s="12" t="str">
        <f>'bloco 01'!$I$29</f>
        <v/>
      </c>
      <c r="B66" s="40" t="str">
        <f>'bloco 01'!J29</f>
        <v/>
      </c>
      <c r="C66" s="40" t="str">
        <f>'bloco 01'!K29</f>
        <v/>
      </c>
      <c r="D66" s="40" t="str">
        <f>'bloco 01'!L29</f>
        <v/>
      </c>
      <c r="E66" s="46" t="str">
        <f>IFERROR(('bloco 01'!M29),"")</f>
        <v/>
      </c>
      <c r="F66" s="47" t="str">
        <f>'bloco 01'!N29</f>
        <v/>
      </c>
    </row>
    <row r="67" ht="15.75" customHeight="1">
      <c r="A67" s="12" t="str">
        <f>'bloco 01'!$I$30</f>
        <v/>
      </c>
      <c r="B67" s="40" t="str">
        <f>'bloco 01'!J30</f>
        <v/>
      </c>
      <c r="C67" s="40" t="str">
        <f>'bloco 01'!K30</f>
        <v/>
      </c>
      <c r="D67" s="40" t="str">
        <f>'bloco 01'!L30</f>
        <v/>
      </c>
      <c r="E67" s="46" t="str">
        <f>IFERROR(('bloco 01'!M30),"")</f>
        <v/>
      </c>
      <c r="F67" s="47" t="str">
        <f>'bloco 01'!N30</f>
        <v/>
      </c>
    </row>
    <row r="68" ht="15.75" customHeight="1">
      <c r="A68" s="40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>
      <c r="A85" s="38">
        <f>'bloco 01'!Q3</f>
        <v>46260</v>
      </c>
    </row>
    <row r="86" ht="15.75" customHeight="1">
      <c r="A86" s="39" t="s">
        <v>24</v>
      </c>
    </row>
    <row r="87" ht="15.75" customHeight="1">
      <c r="A87" s="26" t="s">
        <v>10</v>
      </c>
    </row>
    <row r="88" ht="15.75" customHeight="1">
      <c r="A88" s="29"/>
      <c r="B88" s="29" t="s">
        <v>13</v>
      </c>
      <c r="C88" s="31" t="s">
        <v>16</v>
      </c>
      <c r="D88" s="31" t="s">
        <v>15</v>
      </c>
      <c r="E88" s="31" t="s">
        <v>19</v>
      </c>
      <c r="F88" s="31" t="s">
        <v>11</v>
      </c>
    </row>
    <row r="89" ht="15.75" customHeight="1">
      <c r="A89" s="12" t="str">
        <f>'bloco 01'!$P$6</f>
        <v/>
      </c>
      <c r="B89" s="40" t="str">
        <f>'bloco 01'!Q6</f>
        <v/>
      </c>
      <c r="C89" s="40" t="str">
        <f>'bloco 01'!R6</f>
        <v/>
      </c>
      <c r="D89" s="40" t="str">
        <f>'bloco 01'!S6</f>
        <v/>
      </c>
      <c r="E89" s="46" t="str">
        <f>IFERROR(('bloco 01'!T6),"")</f>
        <v/>
      </c>
      <c r="F89" s="47" t="str">
        <f>'bloco 01'!U6</f>
        <v/>
      </c>
    </row>
    <row r="90" ht="15.75" customHeight="1">
      <c r="A90" s="12" t="str">
        <f>'bloco 01'!$P$7</f>
        <v/>
      </c>
      <c r="B90" s="40" t="str">
        <f>'bloco 01'!Q7</f>
        <v/>
      </c>
      <c r="C90" s="40" t="str">
        <f>'bloco 01'!R7</f>
        <v/>
      </c>
      <c r="D90" s="40" t="str">
        <f>'bloco 01'!S7</f>
        <v/>
      </c>
      <c r="E90" s="46" t="str">
        <f>IFERROR(('bloco 01'!T7),"")</f>
        <v/>
      </c>
      <c r="F90" s="47" t="str">
        <f>'bloco 01'!U7</f>
        <v/>
      </c>
    </row>
    <row r="91" ht="15.75" customHeight="1">
      <c r="A91" s="12" t="str">
        <f>'bloco 01'!$P$8</f>
        <v/>
      </c>
      <c r="B91" s="40" t="str">
        <f>'bloco 01'!Q8</f>
        <v/>
      </c>
      <c r="C91" s="40" t="str">
        <f>'bloco 01'!R8</f>
        <v/>
      </c>
      <c r="D91" s="40" t="str">
        <f>'bloco 01'!S8</f>
        <v/>
      </c>
      <c r="E91" s="46" t="str">
        <f>IFERROR(('bloco 01'!T8),"")</f>
        <v/>
      </c>
      <c r="F91" s="47" t="str">
        <f>'bloco 01'!U8</f>
        <v/>
      </c>
    </row>
    <row r="92" ht="15.75" customHeight="1">
      <c r="A92" s="12" t="str">
        <f>'bloco 01'!$P$9</f>
        <v/>
      </c>
      <c r="B92" s="40" t="str">
        <f>'bloco 01'!Q9</f>
        <v/>
      </c>
      <c r="C92" s="40" t="str">
        <f>'bloco 01'!R9</f>
        <v/>
      </c>
      <c r="D92" s="40" t="str">
        <f>'bloco 01'!S9</f>
        <v/>
      </c>
      <c r="E92" s="46" t="str">
        <f>IFERROR(('bloco 01'!T9),"")</f>
        <v/>
      </c>
      <c r="F92" s="47" t="str">
        <f>'bloco 01'!U9</f>
        <v/>
      </c>
    </row>
    <row r="93" ht="15.75" customHeight="1">
      <c r="A93" s="12" t="str">
        <f>'bloco 01'!$P$10</f>
        <v/>
      </c>
      <c r="B93" s="40" t="str">
        <f>'bloco 01'!Q10</f>
        <v/>
      </c>
      <c r="C93" s="40" t="str">
        <f>'bloco 01'!R10</f>
        <v/>
      </c>
      <c r="D93" s="40" t="str">
        <f>'bloco 01'!S10</f>
        <v/>
      </c>
      <c r="E93" s="46" t="str">
        <f>IFERROR(('bloco 01'!T10),"")</f>
        <v/>
      </c>
      <c r="F93" s="47" t="str">
        <f>'bloco 01'!U10</f>
        <v/>
      </c>
    </row>
    <row r="94" ht="15.75" customHeight="1">
      <c r="A94" s="12" t="str">
        <f>'bloco 01'!$P$11</f>
        <v/>
      </c>
      <c r="B94" s="40" t="str">
        <f>'bloco 01'!Q11</f>
        <v/>
      </c>
      <c r="C94" s="40" t="str">
        <f>'bloco 01'!R11</f>
        <v/>
      </c>
      <c r="D94" s="40" t="str">
        <f>'bloco 01'!S11</f>
        <v/>
      </c>
      <c r="E94" s="46" t="str">
        <f>IFERROR(('bloco 01'!T11),"")</f>
        <v/>
      </c>
      <c r="F94" s="47" t="str">
        <f>'bloco 01'!U11</f>
        <v/>
      </c>
    </row>
    <row r="95" ht="15.75" customHeight="1">
      <c r="A95" s="12" t="str">
        <f>'bloco 01'!$P$12</f>
        <v/>
      </c>
      <c r="B95" s="40" t="str">
        <f>'bloco 01'!Q12</f>
        <v/>
      </c>
      <c r="C95" s="40" t="str">
        <f>'bloco 01'!R12</f>
        <v/>
      </c>
      <c r="D95" s="40" t="str">
        <f>'bloco 01'!S12</f>
        <v/>
      </c>
      <c r="E95" s="46" t="str">
        <f>IFERROR(('bloco 01'!T12),"")</f>
        <v/>
      </c>
      <c r="F95" s="47" t="str">
        <f>'bloco 01'!U12</f>
        <v/>
      </c>
    </row>
    <row r="96" ht="15.75" customHeight="1">
      <c r="A96" s="12" t="str">
        <f>'bloco 01'!$P$13</f>
        <v/>
      </c>
      <c r="B96" s="40" t="str">
        <f>'bloco 01'!Q13</f>
        <v/>
      </c>
      <c r="C96" s="40" t="str">
        <f>'bloco 01'!R13</f>
        <v/>
      </c>
      <c r="D96" s="40" t="str">
        <f>'bloco 01'!S13</f>
        <v/>
      </c>
      <c r="E96" s="46" t="str">
        <f>IFERROR(('bloco 01'!T13),"")</f>
        <v/>
      </c>
      <c r="F96" s="47" t="str">
        <f>'bloco 01'!U13</f>
        <v/>
      </c>
    </row>
    <row r="97" ht="15.75" customHeight="1">
      <c r="A97" s="12" t="str">
        <f>'bloco 01'!$P$14</f>
        <v/>
      </c>
      <c r="B97" s="40" t="str">
        <f>'bloco 01'!Q14</f>
        <v/>
      </c>
      <c r="C97" s="40" t="str">
        <f>'bloco 01'!R14</f>
        <v/>
      </c>
      <c r="D97" s="40" t="str">
        <f>'bloco 01'!S14</f>
        <v/>
      </c>
      <c r="E97" s="46" t="str">
        <f>IFERROR(('bloco 01'!T14),"")</f>
        <v/>
      </c>
      <c r="F97" s="47" t="str">
        <f>'bloco 01'!U14</f>
        <v/>
      </c>
    </row>
    <row r="98" ht="15.75" customHeight="1">
      <c r="A98" s="12" t="str">
        <f>'bloco 01'!$P$15</f>
        <v/>
      </c>
      <c r="B98" s="40" t="str">
        <f>'bloco 01'!Q15</f>
        <v/>
      </c>
      <c r="C98" s="40" t="str">
        <f>'bloco 01'!R15</f>
        <v/>
      </c>
      <c r="D98" s="40" t="str">
        <f>'bloco 01'!S15</f>
        <v/>
      </c>
      <c r="E98" s="46" t="str">
        <f>IFERROR(('bloco 01'!T15),"")</f>
        <v/>
      </c>
      <c r="F98" s="47" t="str">
        <f>'bloco 01'!U15</f>
        <v/>
      </c>
    </row>
    <row r="99" ht="15.75" customHeight="1">
      <c r="A99" s="26" t="s">
        <v>22</v>
      </c>
    </row>
    <row r="100" ht="15.75" customHeight="1">
      <c r="A100" s="29"/>
      <c r="B100" s="29" t="s">
        <v>13</v>
      </c>
      <c r="C100" s="31" t="s">
        <v>16</v>
      </c>
      <c r="D100" s="31" t="s">
        <v>15</v>
      </c>
      <c r="E100" s="31" t="s">
        <v>19</v>
      </c>
      <c r="F100" s="31" t="s">
        <v>11</v>
      </c>
    </row>
    <row r="101" ht="15.75" customHeight="1">
      <c r="A101" s="12" t="str">
        <f>'bloco 01'!$P$21</f>
        <v/>
      </c>
      <c r="B101" s="40" t="str">
        <f>'bloco 01'!Q21</f>
        <v/>
      </c>
      <c r="C101" s="40" t="str">
        <f>'bloco 01'!R21</f>
        <v/>
      </c>
      <c r="D101" s="40" t="str">
        <f>'bloco 01'!S21</f>
        <v/>
      </c>
      <c r="E101" s="46" t="str">
        <f>IFERROR(('bloco 01'!T21),"")</f>
        <v/>
      </c>
      <c r="F101" s="47" t="str">
        <f>'bloco 01'!U21</f>
        <v/>
      </c>
    </row>
    <row r="102" ht="15.75" customHeight="1">
      <c r="A102" s="12" t="str">
        <f>'bloco 01'!$P$22</f>
        <v/>
      </c>
      <c r="B102" s="40" t="str">
        <f>'bloco 01'!Q22</f>
        <v/>
      </c>
      <c r="C102" s="40" t="str">
        <f>'bloco 01'!R22</f>
        <v/>
      </c>
      <c r="D102" s="40" t="str">
        <f>'bloco 01'!S22</f>
        <v/>
      </c>
      <c r="E102" s="46" t="str">
        <f>IFERROR(('bloco 01'!T22),"")</f>
        <v/>
      </c>
      <c r="F102" s="47" t="str">
        <f>'bloco 01'!U22</f>
        <v/>
      </c>
    </row>
    <row r="103" ht="15.75" customHeight="1">
      <c r="A103" s="12" t="str">
        <f>'bloco 01'!$P$23</f>
        <v/>
      </c>
      <c r="B103" s="40" t="str">
        <f>'bloco 01'!Q23</f>
        <v/>
      </c>
      <c r="C103" s="40" t="str">
        <f>'bloco 01'!R23</f>
        <v/>
      </c>
      <c r="D103" s="40" t="str">
        <f>'bloco 01'!S23</f>
        <v/>
      </c>
      <c r="E103" s="46" t="str">
        <f>IFERROR(('bloco 01'!T23),"")</f>
        <v/>
      </c>
      <c r="F103" s="47" t="str">
        <f>'bloco 01'!U23</f>
        <v/>
      </c>
    </row>
    <row r="104" ht="15.75" customHeight="1">
      <c r="A104" s="12" t="str">
        <f>'bloco 01'!$P$24</f>
        <v/>
      </c>
      <c r="B104" s="40" t="str">
        <f>'bloco 01'!Q24</f>
        <v/>
      </c>
      <c r="C104" s="40" t="str">
        <f>'bloco 01'!R24</f>
        <v/>
      </c>
      <c r="D104" s="40" t="str">
        <f>'bloco 01'!S24</f>
        <v/>
      </c>
      <c r="E104" s="46" t="str">
        <f>IFERROR(('bloco 01'!T24),"")</f>
        <v/>
      </c>
      <c r="F104" s="47" t="str">
        <f>'bloco 01'!U24</f>
        <v/>
      </c>
    </row>
    <row r="105" ht="15.75" customHeight="1">
      <c r="A105" s="12" t="str">
        <f>'bloco 01'!$P$25</f>
        <v/>
      </c>
      <c r="B105" s="40" t="str">
        <f>'bloco 01'!Q25</f>
        <v/>
      </c>
      <c r="C105" s="40" t="str">
        <f>'bloco 01'!R25</f>
        <v/>
      </c>
      <c r="D105" s="40" t="str">
        <f>'bloco 01'!S25</f>
        <v/>
      </c>
      <c r="E105" s="46" t="str">
        <f>IFERROR(('bloco 01'!T25),"")</f>
        <v/>
      </c>
      <c r="F105" s="47" t="str">
        <f>'bloco 01'!U25</f>
        <v/>
      </c>
    </row>
    <row r="106" ht="15.75" customHeight="1">
      <c r="A106" s="12" t="str">
        <f>'bloco 01'!$P$26</f>
        <v/>
      </c>
      <c r="B106" s="40" t="str">
        <f>'bloco 01'!Q26</f>
        <v/>
      </c>
      <c r="C106" s="40" t="str">
        <f>'bloco 01'!R26</f>
        <v/>
      </c>
      <c r="D106" s="40" t="str">
        <f>'bloco 01'!S26</f>
        <v/>
      </c>
      <c r="E106" s="46" t="str">
        <f>IFERROR(('bloco 01'!T26),"")</f>
        <v/>
      </c>
      <c r="F106" s="47" t="str">
        <f>'bloco 01'!U26</f>
        <v/>
      </c>
    </row>
    <row r="107" ht="15.75" customHeight="1">
      <c r="A107" s="12" t="str">
        <f>'bloco 01'!$P$27</f>
        <v/>
      </c>
      <c r="B107" s="40" t="str">
        <f>'bloco 01'!Q27</f>
        <v/>
      </c>
      <c r="C107" s="40" t="str">
        <f>'bloco 01'!R27</f>
        <v/>
      </c>
      <c r="D107" s="40" t="str">
        <f>'bloco 01'!S27</f>
        <v/>
      </c>
      <c r="E107" s="46" t="str">
        <f>IFERROR(('bloco 01'!T27),"")</f>
        <v/>
      </c>
      <c r="F107" s="47" t="str">
        <f>'bloco 01'!U27</f>
        <v/>
      </c>
    </row>
    <row r="108" ht="15.75" customHeight="1">
      <c r="A108" s="12" t="str">
        <f>'bloco 01'!$P$28</f>
        <v/>
      </c>
      <c r="B108" s="40" t="str">
        <f>'bloco 01'!Q28</f>
        <v/>
      </c>
      <c r="C108" s="40" t="str">
        <f>'bloco 01'!R28</f>
        <v/>
      </c>
      <c r="D108" s="40" t="str">
        <f>'bloco 01'!S28</f>
        <v/>
      </c>
      <c r="E108" s="46" t="str">
        <f>IFERROR(('bloco 01'!T28),"")</f>
        <v/>
      </c>
      <c r="F108" s="47" t="str">
        <f>'bloco 01'!U28</f>
        <v/>
      </c>
    </row>
    <row r="109" ht="15.75" customHeight="1">
      <c r="A109" s="12" t="str">
        <f>'bloco 01'!$P$29</f>
        <v/>
      </c>
      <c r="B109" s="40" t="str">
        <f>'bloco 01'!Q29</f>
        <v/>
      </c>
      <c r="C109" s="40" t="str">
        <f>'bloco 01'!R29</f>
        <v/>
      </c>
      <c r="D109" s="40" t="str">
        <f>'bloco 01'!S29</f>
        <v/>
      </c>
      <c r="E109" s="46" t="str">
        <f>IFERROR(('bloco 01'!T29),"")</f>
        <v/>
      </c>
      <c r="F109" s="47" t="str">
        <f>'bloco 01'!U29</f>
        <v/>
      </c>
    </row>
    <row r="110" ht="15.75" customHeight="1">
      <c r="A110" s="12" t="str">
        <f>'bloco 01'!$P$30</f>
        <v/>
      </c>
      <c r="B110" s="40" t="str">
        <f>'bloco 01'!Q30</f>
        <v/>
      </c>
      <c r="C110" s="40" t="str">
        <f>'bloco 01'!R30</f>
        <v/>
      </c>
      <c r="D110" s="40" t="str">
        <f>'bloco 01'!S30</f>
        <v/>
      </c>
      <c r="E110" s="46" t="str">
        <f>IFERROR(('bloco 01'!T30),"")</f>
        <v/>
      </c>
      <c r="F110" s="47" t="str">
        <f>'bloco 01'!U30</f>
        <v/>
      </c>
    </row>
    <row r="111" ht="15.75" customHeight="1">
      <c r="A111" s="40"/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>
      <c r="A128" s="38">
        <f>'bloco 01'!X3</f>
        <v>46267</v>
      </c>
    </row>
    <row r="129" ht="15.75" customHeight="1">
      <c r="A129" s="39" t="s">
        <v>25</v>
      </c>
    </row>
    <row r="130" ht="15.75" customHeight="1">
      <c r="A130" s="26" t="s">
        <v>10</v>
      </c>
    </row>
    <row r="131" ht="15.75" customHeight="1">
      <c r="A131" s="29"/>
      <c r="B131" s="29" t="s">
        <v>13</v>
      </c>
      <c r="C131" s="31" t="s">
        <v>16</v>
      </c>
      <c r="D131" s="31" t="s">
        <v>15</v>
      </c>
      <c r="E131" s="31" t="s">
        <v>19</v>
      </c>
      <c r="F131" s="31" t="s">
        <v>11</v>
      </c>
    </row>
    <row r="132" ht="15.75" customHeight="1">
      <c r="A132" s="12" t="str">
        <f>'bloco 01'!$W$6</f>
        <v/>
      </c>
      <c r="B132" s="40" t="str">
        <f>'bloco 01'!X6</f>
        <v/>
      </c>
      <c r="C132" s="40" t="str">
        <f>'bloco 01'!Y6</f>
        <v/>
      </c>
      <c r="D132" s="40" t="str">
        <f>'bloco 01'!Z6</f>
        <v/>
      </c>
      <c r="E132" s="46" t="str">
        <f>IFERROR(('bloco 01'!AA6),"")</f>
        <v/>
      </c>
      <c r="F132" s="47" t="str">
        <f>'bloco 01'!AB6</f>
        <v/>
      </c>
    </row>
    <row r="133" ht="15.75" customHeight="1">
      <c r="A133" s="12" t="str">
        <f>'bloco 01'!$W$7</f>
        <v/>
      </c>
      <c r="B133" s="40" t="str">
        <f>'bloco 01'!X7</f>
        <v/>
      </c>
      <c r="C133" s="40" t="str">
        <f>'bloco 01'!Y7</f>
        <v/>
      </c>
      <c r="D133" s="40" t="str">
        <f>'bloco 01'!Z7</f>
        <v/>
      </c>
      <c r="E133" s="46" t="str">
        <f>IFERROR(('bloco 01'!AA7),"")</f>
        <v/>
      </c>
      <c r="F133" s="47" t="str">
        <f>'bloco 01'!AB7</f>
        <v/>
      </c>
    </row>
    <row r="134" ht="15.75" customHeight="1">
      <c r="A134" s="12" t="str">
        <f>'bloco 01'!$W$8</f>
        <v/>
      </c>
      <c r="B134" s="40" t="str">
        <f>'bloco 01'!X8</f>
        <v/>
      </c>
      <c r="C134" s="40" t="str">
        <f>'bloco 01'!Y8</f>
        <v/>
      </c>
      <c r="D134" s="40" t="str">
        <f>'bloco 01'!Z8</f>
        <v/>
      </c>
      <c r="E134" s="46" t="str">
        <f>IFERROR(('bloco 01'!AA8),"")</f>
        <v/>
      </c>
      <c r="F134" s="47" t="str">
        <f>'bloco 01'!AB8</f>
        <v/>
      </c>
    </row>
    <row r="135" ht="15.75" customHeight="1">
      <c r="A135" s="12" t="str">
        <f>'bloco 01'!$W$9</f>
        <v/>
      </c>
      <c r="B135" s="40" t="str">
        <f>'bloco 01'!X9</f>
        <v/>
      </c>
      <c r="C135" s="40" t="str">
        <f>'bloco 01'!Y9</f>
        <v/>
      </c>
      <c r="D135" s="40" t="str">
        <f>'bloco 01'!Z9</f>
        <v/>
      </c>
      <c r="E135" s="46" t="str">
        <f>IFERROR(('bloco 01'!AA9),"")</f>
        <v/>
      </c>
      <c r="F135" s="47" t="str">
        <f>'bloco 01'!AB9</f>
        <v/>
      </c>
    </row>
    <row r="136" ht="15.75" customHeight="1">
      <c r="A136" s="12" t="str">
        <f>'bloco 01'!$W$10</f>
        <v/>
      </c>
      <c r="B136" s="40" t="str">
        <f>'bloco 01'!X10</f>
        <v/>
      </c>
      <c r="C136" s="40" t="str">
        <f>'bloco 01'!Y10</f>
        <v/>
      </c>
      <c r="D136" s="40" t="str">
        <f>'bloco 01'!Z10</f>
        <v/>
      </c>
      <c r="E136" s="46" t="str">
        <f>IFERROR(('bloco 01'!AA10),"")</f>
        <v/>
      </c>
      <c r="F136" s="47" t="str">
        <f>'bloco 01'!AB10</f>
        <v/>
      </c>
    </row>
    <row r="137" ht="15.75" customHeight="1">
      <c r="A137" s="12" t="str">
        <f>'bloco 01'!$W$11</f>
        <v/>
      </c>
      <c r="B137" s="40" t="str">
        <f>'bloco 01'!X11</f>
        <v/>
      </c>
      <c r="C137" s="40" t="str">
        <f>'bloco 01'!Y11</f>
        <v/>
      </c>
      <c r="D137" s="40" t="str">
        <f>'bloco 01'!Z11</f>
        <v/>
      </c>
      <c r="E137" s="46" t="str">
        <f>IFERROR(('bloco 01'!AA11),"")</f>
        <v/>
      </c>
      <c r="F137" s="47" t="str">
        <f>'bloco 01'!AB11</f>
        <v/>
      </c>
    </row>
    <row r="138" ht="15.75" customHeight="1">
      <c r="A138" s="12" t="str">
        <f>'bloco 01'!$W$12</f>
        <v/>
      </c>
      <c r="B138" s="40" t="str">
        <f>'bloco 01'!X12</f>
        <v/>
      </c>
      <c r="C138" s="40" t="str">
        <f>'bloco 01'!Y12</f>
        <v/>
      </c>
      <c r="D138" s="40" t="str">
        <f>'bloco 01'!Z12</f>
        <v/>
      </c>
      <c r="E138" s="46" t="str">
        <f>IFERROR(('bloco 01'!AA12),"")</f>
        <v/>
      </c>
      <c r="F138" s="47" t="str">
        <f>'bloco 01'!AB12</f>
        <v/>
      </c>
    </row>
    <row r="139" ht="15.75" customHeight="1">
      <c r="A139" s="12" t="str">
        <f>'bloco 01'!$W$13</f>
        <v/>
      </c>
      <c r="B139" s="40" t="str">
        <f>'bloco 01'!X13</f>
        <v/>
      </c>
      <c r="C139" s="40" t="str">
        <f>'bloco 01'!Y13</f>
        <v/>
      </c>
      <c r="D139" s="40" t="str">
        <f>'bloco 01'!Z13</f>
        <v/>
      </c>
      <c r="E139" s="46" t="str">
        <f>IFERROR(('bloco 01'!AA13),"")</f>
        <v/>
      </c>
      <c r="F139" s="47" t="str">
        <f>'bloco 01'!AB13</f>
        <v/>
      </c>
    </row>
    <row r="140" ht="15.75" customHeight="1">
      <c r="A140" s="12" t="str">
        <f>'bloco 01'!$W$14</f>
        <v/>
      </c>
      <c r="B140" s="40" t="str">
        <f>'bloco 01'!X14</f>
        <v/>
      </c>
      <c r="C140" s="40" t="str">
        <f>'bloco 01'!Y14</f>
        <v/>
      </c>
      <c r="D140" s="40" t="str">
        <f>'bloco 01'!Z14</f>
        <v/>
      </c>
      <c r="E140" s="46" t="str">
        <f>IFERROR(('bloco 01'!AA14),"")</f>
        <v/>
      </c>
      <c r="F140" s="47" t="str">
        <f>'bloco 01'!AB14</f>
        <v/>
      </c>
    </row>
    <row r="141" ht="15.75" customHeight="1">
      <c r="A141" s="12" t="str">
        <f>'bloco 01'!$W$15</f>
        <v/>
      </c>
      <c r="B141" s="40" t="str">
        <f>'bloco 01'!X15</f>
        <v/>
      </c>
      <c r="C141" s="40" t="str">
        <f>'bloco 01'!Y15</f>
        <v/>
      </c>
      <c r="D141" s="40" t="str">
        <f>'bloco 01'!Z15</f>
        <v/>
      </c>
      <c r="E141" s="46" t="str">
        <f>IFERROR(('bloco 01'!AA15),"")</f>
        <v/>
      </c>
      <c r="F141" s="47" t="str">
        <f>'bloco 01'!AB15</f>
        <v/>
      </c>
    </row>
    <row r="142" ht="15.75" customHeight="1">
      <c r="A142" s="26" t="s">
        <v>22</v>
      </c>
    </row>
    <row r="143" ht="15.75" customHeight="1">
      <c r="A143" s="29"/>
      <c r="B143" s="29" t="s">
        <v>13</v>
      </c>
      <c r="C143" s="31" t="s">
        <v>16</v>
      </c>
      <c r="D143" s="31" t="s">
        <v>15</v>
      </c>
      <c r="E143" s="31" t="s">
        <v>19</v>
      </c>
      <c r="F143" s="31" t="s">
        <v>11</v>
      </c>
    </row>
    <row r="144" ht="15.75" customHeight="1">
      <c r="A144" s="12" t="str">
        <f>'bloco 01'!$W$21</f>
        <v/>
      </c>
      <c r="B144" s="40" t="str">
        <f>'bloco 01'!X21</f>
        <v/>
      </c>
      <c r="C144" s="40" t="str">
        <f>'bloco 01'!Y21</f>
        <v/>
      </c>
      <c r="D144" s="40" t="str">
        <f>'bloco 01'!Z21</f>
        <v/>
      </c>
      <c r="E144" s="46" t="str">
        <f>IFERROR(('bloco 01'!AA21),"")</f>
        <v/>
      </c>
      <c r="F144" s="47" t="str">
        <f>'bloco 01'!AB21</f>
        <v/>
      </c>
    </row>
    <row r="145" ht="15.75" customHeight="1">
      <c r="A145" s="12" t="str">
        <f>'bloco 01'!$W$22</f>
        <v/>
      </c>
      <c r="B145" s="40" t="str">
        <f>'bloco 01'!X22</f>
        <v/>
      </c>
      <c r="C145" s="40" t="str">
        <f>'bloco 01'!Y22</f>
        <v/>
      </c>
      <c r="D145" s="40" t="str">
        <f>'bloco 01'!Z22</f>
        <v/>
      </c>
      <c r="E145" s="46" t="str">
        <f>IFERROR(('bloco 01'!AA22),"")</f>
        <v/>
      </c>
      <c r="F145" s="47" t="str">
        <f>'bloco 01'!AB22</f>
        <v/>
      </c>
    </row>
    <row r="146" ht="15.75" customHeight="1">
      <c r="A146" s="12" t="str">
        <f>'bloco 01'!$W$23</f>
        <v/>
      </c>
      <c r="B146" s="40" t="str">
        <f>'bloco 01'!X23</f>
        <v/>
      </c>
      <c r="C146" s="40" t="str">
        <f>'bloco 01'!Y23</f>
        <v/>
      </c>
      <c r="D146" s="40" t="str">
        <f>'bloco 01'!Z23</f>
        <v/>
      </c>
      <c r="E146" s="46" t="str">
        <f>IFERROR(('bloco 01'!AA23),"")</f>
        <v/>
      </c>
      <c r="F146" s="47" t="str">
        <f>'bloco 01'!AB23</f>
        <v/>
      </c>
    </row>
    <row r="147" ht="15.75" customHeight="1">
      <c r="A147" s="12" t="str">
        <f>'bloco 01'!$W$24</f>
        <v/>
      </c>
      <c r="B147" s="40" t="str">
        <f>'bloco 01'!X24</f>
        <v/>
      </c>
      <c r="C147" s="40" t="str">
        <f>'bloco 01'!Y24</f>
        <v/>
      </c>
      <c r="D147" s="40" t="str">
        <f>'bloco 01'!Z24</f>
        <v/>
      </c>
      <c r="E147" s="46" t="str">
        <f>IFERROR(('bloco 01'!AA24),"")</f>
        <v/>
      </c>
      <c r="F147" s="47" t="str">
        <f>'bloco 01'!AB24</f>
        <v/>
      </c>
    </row>
    <row r="148" ht="15.75" customHeight="1">
      <c r="A148" s="12" t="str">
        <f>'bloco 01'!$W$25</f>
        <v/>
      </c>
      <c r="B148" s="40" t="str">
        <f>'bloco 01'!X25</f>
        <v/>
      </c>
      <c r="C148" s="40" t="str">
        <f>'bloco 01'!Y25</f>
        <v/>
      </c>
      <c r="D148" s="40" t="str">
        <f>'bloco 01'!Z25</f>
        <v/>
      </c>
      <c r="E148" s="46" t="str">
        <f>IFERROR(('bloco 01'!AA25),"")</f>
        <v/>
      </c>
      <c r="F148" s="47" t="str">
        <f>'bloco 01'!AB25</f>
        <v/>
      </c>
    </row>
    <row r="149" ht="15.75" customHeight="1">
      <c r="A149" s="12" t="str">
        <f>'bloco 01'!$W$26</f>
        <v/>
      </c>
      <c r="B149" s="40" t="str">
        <f>'bloco 01'!X26</f>
        <v/>
      </c>
      <c r="C149" s="40" t="str">
        <f>'bloco 01'!Y26</f>
        <v/>
      </c>
      <c r="D149" s="40" t="str">
        <f>'bloco 01'!Z26</f>
        <v/>
      </c>
      <c r="E149" s="46" t="str">
        <f>IFERROR(('bloco 01'!AA26),"")</f>
        <v/>
      </c>
      <c r="F149" s="47" t="str">
        <f>'bloco 01'!AB26</f>
        <v/>
      </c>
    </row>
    <row r="150" ht="15.75" customHeight="1">
      <c r="A150" s="12" t="str">
        <f>'bloco 01'!$W$27</f>
        <v/>
      </c>
      <c r="B150" s="40" t="str">
        <f>'bloco 01'!X27</f>
        <v/>
      </c>
      <c r="C150" s="40" t="str">
        <f>'bloco 01'!Y27</f>
        <v/>
      </c>
      <c r="D150" s="40" t="str">
        <f>'bloco 01'!Z27</f>
        <v/>
      </c>
      <c r="E150" s="46" t="str">
        <f>IFERROR(('bloco 01'!AA27),"")</f>
        <v/>
      </c>
      <c r="F150" s="47" t="str">
        <f>'bloco 01'!AB27</f>
        <v/>
      </c>
    </row>
    <row r="151" ht="15.75" customHeight="1">
      <c r="A151" s="12" t="str">
        <f>'bloco 01'!$W$28</f>
        <v/>
      </c>
      <c r="B151" s="40" t="str">
        <f>'bloco 01'!X28</f>
        <v/>
      </c>
      <c r="C151" s="40" t="str">
        <f>'bloco 01'!Y28</f>
        <v/>
      </c>
      <c r="D151" s="40" t="str">
        <f>'bloco 01'!Z28</f>
        <v/>
      </c>
      <c r="E151" s="46" t="str">
        <f>IFERROR(('bloco 01'!AA28),"")</f>
        <v/>
      </c>
      <c r="F151" s="47" t="str">
        <f>'bloco 01'!AB28</f>
        <v/>
      </c>
    </row>
    <row r="152" ht="15.75" customHeight="1">
      <c r="A152" s="12" t="str">
        <f>'bloco 01'!$W$29</f>
        <v/>
      </c>
      <c r="B152" s="40" t="str">
        <f>'bloco 01'!X29</f>
        <v/>
      </c>
      <c r="C152" s="40" t="str">
        <f>'bloco 01'!Y29</f>
        <v/>
      </c>
      <c r="D152" s="40" t="str">
        <f>'bloco 01'!Z29</f>
        <v/>
      </c>
      <c r="E152" s="46" t="str">
        <f>IFERROR(('bloco 01'!AA29),"")</f>
        <v/>
      </c>
      <c r="F152" s="47" t="str">
        <f>'bloco 01'!AB29</f>
        <v/>
      </c>
    </row>
    <row r="153" ht="15.75" customHeight="1">
      <c r="A153" s="12" t="str">
        <f>'bloco 01'!$W$30</f>
        <v/>
      </c>
      <c r="B153" s="40" t="str">
        <f>'bloco 01'!X30</f>
        <v/>
      </c>
      <c r="C153" s="40" t="str">
        <f>'bloco 01'!Y30</f>
        <v/>
      </c>
      <c r="D153" s="40" t="str">
        <f>'bloco 01'!Z30</f>
        <v/>
      </c>
      <c r="E153" s="46" t="str">
        <f>IFERROR(('bloco 01'!AA30),"")</f>
        <v/>
      </c>
      <c r="F153" s="47" t="str">
        <f>'bloco 01'!AB30</f>
        <v/>
      </c>
    </row>
    <row r="154" ht="15.75" customHeight="1">
      <c r="A154" s="40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>
      <c r="A171" s="11"/>
      <c r="B171" s="11"/>
      <c r="C171" s="11"/>
      <c r="D171" s="11"/>
      <c r="E171" s="11"/>
      <c r="F171" s="11"/>
      <c r="G171" s="11"/>
    </row>
    <row r="172" ht="15.75" customHeight="1">
      <c r="A172" s="11"/>
      <c r="B172" s="11"/>
      <c r="C172" s="11"/>
      <c r="D172" s="11"/>
      <c r="E172" s="11"/>
      <c r="F172" s="11"/>
      <c r="G172" s="11"/>
    </row>
    <row r="173" ht="15.75" customHeight="1">
      <c r="A173" s="11"/>
      <c r="B173" s="11"/>
      <c r="C173" s="11"/>
      <c r="D173" s="11"/>
      <c r="E173" s="11"/>
      <c r="F173" s="11"/>
      <c r="G173" s="11"/>
    </row>
    <row r="174" ht="15.75" customHeight="1">
      <c r="A174" s="11"/>
      <c r="B174" s="11"/>
      <c r="C174" s="11"/>
      <c r="D174" s="11"/>
      <c r="E174" s="11"/>
      <c r="F174" s="11"/>
      <c r="G174" s="11"/>
    </row>
    <row r="175" ht="15.75" customHeight="1">
      <c r="A175" s="11"/>
      <c r="B175" s="11"/>
      <c r="C175" s="11"/>
      <c r="D175" s="11"/>
      <c r="E175" s="11"/>
      <c r="F175" s="11"/>
      <c r="G175" s="11"/>
    </row>
    <row r="176" ht="15.75" customHeight="1">
      <c r="A176" s="11"/>
      <c r="B176" s="11"/>
      <c r="C176" s="11"/>
      <c r="D176" s="11"/>
      <c r="E176" s="11"/>
      <c r="F176" s="11"/>
      <c r="G176" s="11"/>
    </row>
    <row r="177" ht="15.75" customHeight="1">
      <c r="A177" s="11"/>
      <c r="B177" s="11"/>
      <c r="C177" s="11"/>
      <c r="D177" s="11"/>
      <c r="E177" s="11"/>
      <c r="F177" s="11"/>
      <c r="G177" s="11"/>
    </row>
    <row r="178" ht="15.75" customHeight="1">
      <c r="A178" s="11"/>
      <c r="B178" s="11"/>
      <c r="C178" s="11"/>
      <c r="D178" s="11"/>
      <c r="E178" s="11"/>
      <c r="F178" s="11"/>
      <c r="G178" s="11"/>
    </row>
    <row r="179" ht="15.75" customHeight="1">
      <c r="A179" s="11"/>
      <c r="B179" s="11"/>
      <c r="C179" s="11"/>
      <c r="D179" s="11"/>
      <c r="E179" s="11"/>
      <c r="F179" s="11"/>
      <c r="G179" s="11"/>
    </row>
    <row r="180" ht="15.75" customHeight="1">
      <c r="A180" s="11"/>
      <c r="B180" s="11"/>
      <c r="C180" s="11"/>
      <c r="D180" s="11"/>
      <c r="E180" s="11"/>
      <c r="F180" s="11"/>
      <c r="G180" s="11"/>
    </row>
    <row r="181" ht="15.75" customHeight="1">
      <c r="A181" s="11"/>
      <c r="B181" s="11"/>
      <c r="C181" s="11"/>
      <c r="D181" s="11"/>
      <c r="E181" s="11"/>
      <c r="F181" s="11"/>
      <c r="G181" s="11"/>
    </row>
    <row r="182" ht="15.75" customHeight="1">
      <c r="A182" s="11"/>
      <c r="B182" s="11"/>
      <c r="C182" s="11"/>
      <c r="D182" s="11"/>
      <c r="E182" s="11"/>
      <c r="F182" s="11"/>
      <c r="G182" s="11"/>
    </row>
    <row r="183" ht="15.75" customHeight="1">
      <c r="A183" s="11"/>
      <c r="B183" s="11"/>
      <c r="C183" s="11"/>
      <c r="D183" s="11"/>
      <c r="E183" s="11"/>
      <c r="F183" s="11"/>
      <c r="G183" s="11"/>
    </row>
    <row r="184" ht="15.75" customHeight="1">
      <c r="A184" s="11"/>
      <c r="B184" s="11"/>
      <c r="C184" s="11"/>
      <c r="D184" s="11"/>
      <c r="E184" s="11"/>
      <c r="F184" s="11"/>
      <c r="G184" s="11"/>
    </row>
    <row r="185" ht="15.75" customHeight="1">
      <c r="A185" s="11"/>
      <c r="B185" s="11"/>
      <c r="C185" s="11"/>
      <c r="D185" s="11"/>
      <c r="E185" s="11"/>
      <c r="F185" s="11"/>
      <c r="G185" s="11"/>
    </row>
    <row r="186" ht="15.75" customHeight="1">
      <c r="A186" s="11"/>
      <c r="B186" s="11"/>
      <c r="C186" s="11"/>
      <c r="D186" s="11"/>
      <c r="E186" s="11"/>
      <c r="F186" s="11"/>
      <c r="G186" s="11"/>
    </row>
    <row r="187" ht="15.75" customHeight="1">
      <c r="A187" s="11"/>
      <c r="B187" s="11"/>
      <c r="C187" s="11"/>
      <c r="D187" s="11"/>
      <c r="E187" s="11"/>
      <c r="F187" s="11"/>
      <c r="G187" s="11"/>
    </row>
    <row r="188" ht="15.75" customHeight="1">
      <c r="A188" s="11"/>
      <c r="B188" s="11"/>
      <c r="C188" s="11"/>
      <c r="D188" s="11"/>
      <c r="E188" s="11"/>
      <c r="F188" s="11"/>
      <c r="G188" s="11"/>
    </row>
    <row r="189" ht="15.75" customHeight="1">
      <c r="A189" s="11"/>
      <c r="B189" s="11"/>
      <c r="C189" s="11"/>
      <c r="D189" s="11"/>
      <c r="E189" s="11"/>
      <c r="F189" s="11"/>
      <c r="G189" s="11"/>
    </row>
    <row r="190" ht="15.75" customHeight="1">
      <c r="A190" s="11"/>
      <c r="B190" s="11"/>
      <c r="C190" s="11"/>
      <c r="D190" s="11"/>
      <c r="E190" s="11"/>
      <c r="F190" s="11"/>
      <c r="G190" s="11"/>
    </row>
    <row r="191" ht="15.75" customHeight="1">
      <c r="A191" s="11"/>
      <c r="B191" s="11"/>
      <c r="C191" s="11"/>
      <c r="D191" s="11"/>
      <c r="E191" s="11"/>
      <c r="F191" s="11"/>
      <c r="G191" s="11"/>
    </row>
    <row r="192" ht="15.75" customHeight="1">
      <c r="A192" s="11"/>
      <c r="B192" s="11"/>
      <c r="C192" s="11"/>
      <c r="D192" s="11"/>
      <c r="E192" s="11"/>
      <c r="F192" s="11"/>
      <c r="G192" s="11"/>
    </row>
    <row r="193" ht="15.75" customHeight="1">
      <c r="A193" s="11"/>
      <c r="B193" s="11"/>
      <c r="C193" s="11"/>
      <c r="D193" s="11"/>
      <c r="E193" s="11"/>
      <c r="F193" s="11"/>
      <c r="G193" s="11"/>
    </row>
    <row r="194" ht="15.75" customHeight="1">
      <c r="A194" s="11"/>
      <c r="B194" s="11"/>
      <c r="C194" s="11"/>
      <c r="D194" s="11"/>
      <c r="E194" s="11"/>
      <c r="F194" s="11"/>
      <c r="G194" s="11"/>
    </row>
    <row r="195" ht="15.75" customHeight="1">
      <c r="A195" s="11"/>
      <c r="B195" s="11"/>
      <c r="C195" s="11"/>
      <c r="D195" s="11"/>
      <c r="E195" s="11"/>
      <c r="F195" s="11"/>
      <c r="G195" s="11"/>
    </row>
    <row r="196" ht="15.75" customHeight="1">
      <c r="A196" s="11"/>
      <c r="B196" s="11"/>
      <c r="C196" s="11"/>
      <c r="D196" s="11"/>
      <c r="E196" s="11"/>
      <c r="F196" s="11"/>
      <c r="G196" s="11"/>
    </row>
    <row r="197" ht="15.75" customHeight="1">
      <c r="A197" s="11"/>
      <c r="B197" s="11"/>
      <c r="C197" s="11"/>
      <c r="D197" s="11"/>
      <c r="E197" s="11"/>
      <c r="F197" s="11"/>
      <c r="G197" s="11"/>
    </row>
    <row r="198" ht="15.75" customHeight="1">
      <c r="A198" s="11"/>
      <c r="B198" s="11"/>
      <c r="C198" s="11"/>
      <c r="D198" s="11"/>
      <c r="E198" s="11"/>
      <c r="F198" s="11"/>
      <c r="G198" s="11"/>
    </row>
    <row r="199" ht="15.75" customHeight="1">
      <c r="A199" s="11"/>
      <c r="B199" s="11"/>
      <c r="C199" s="11"/>
      <c r="D199" s="11"/>
      <c r="E199" s="11"/>
      <c r="F199" s="11"/>
      <c r="G199" s="11"/>
    </row>
    <row r="200" ht="15.75" customHeight="1">
      <c r="A200" s="11"/>
      <c r="B200" s="11"/>
      <c r="C200" s="11"/>
      <c r="D200" s="11"/>
      <c r="E200" s="11"/>
      <c r="F200" s="11"/>
      <c r="G200" s="11"/>
    </row>
    <row r="201" ht="15.75" customHeight="1">
      <c r="A201" s="11"/>
      <c r="B201" s="11"/>
      <c r="C201" s="11"/>
      <c r="D201" s="11"/>
      <c r="E201" s="11"/>
      <c r="F201" s="11"/>
      <c r="G201" s="11"/>
    </row>
    <row r="202" ht="15.75" customHeight="1">
      <c r="A202" s="11"/>
      <c r="B202" s="11"/>
      <c r="C202" s="11"/>
      <c r="D202" s="11"/>
      <c r="E202" s="11"/>
      <c r="F202" s="11"/>
      <c r="G202" s="11"/>
    </row>
    <row r="203" ht="15.75" customHeight="1">
      <c r="A203" s="11"/>
      <c r="B203" s="11"/>
      <c r="C203" s="11"/>
      <c r="D203" s="11"/>
      <c r="E203" s="11"/>
      <c r="F203" s="11"/>
      <c r="G203" s="11"/>
    </row>
    <row r="204" ht="15.75" customHeight="1">
      <c r="A204" s="11"/>
      <c r="B204" s="11"/>
      <c r="C204" s="11"/>
      <c r="D204" s="11"/>
      <c r="E204" s="11"/>
      <c r="F204" s="11"/>
      <c r="G204" s="11"/>
    </row>
    <row r="205" ht="15.75" customHeight="1">
      <c r="A205" s="11"/>
      <c r="B205" s="11"/>
      <c r="C205" s="11"/>
      <c r="D205" s="11"/>
      <c r="E205" s="11"/>
      <c r="F205" s="11"/>
      <c r="G205" s="11"/>
    </row>
    <row r="206" ht="15.75" customHeight="1">
      <c r="A206" s="11"/>
      <c r="B206" s="11"/>
      <c r="C206" s="11"/>
      <c r="D206" s="11"/>
      <c r="E206" s="11"/>
      <c r="F206" s="11"/>
      <c r="G206" s="11"/>
    </row>
    <row r="207" ht="15.75" customHeight="1">
      <c r="A207" s="11"/>
      <c r="B207" s="11"/>
      <c r="C207" s="11"/>
      <c r="D207" s="11"/>
      <c r="E207" s="11"/>
      <c r="F207" s="11"/>
      <c r="G207" s="11"/>
    </row>
    <row r="208" ht="15.75" customHeight="1">
      <c r="A208" s="11"/>
      <c r="B208" s="11"/>
      <c r="C208" s="11"/>
      <c r="D208" s="11"/>
      <c r="E208" s="11"/>
      <c r="F208" s="11"/>
      <c r="G208" s="11"/>
    </row>
    <row r="209" ht="15.75" customHeight="1">
      <c r="A209" s="11"/>
      <c r="B209" s="11"/>
      <c r="C209" s="11"/>
      <c r="D209" s="11"/>
      <c r="E209" s="11"/>
      <c r="F209" s="11"/>
      <c r="G209" s="11"/>
    </row>
    <row r="210" ht="15.75" customHeight="1">
      <c r="A210" s="11"/>
      <c r="B210" s="11"/>
      <c r="C210" s="11"/>
      <c r="D210" s="11"/>
      <c r="E210" s="11"/>
      <c r="F210" s="11"/>
      <c r="G210" s="11"/>
    </row>
    <row r="211" ht="15.75" customHeight="1">
      <c r="A211" s="11"/>
      <c r="B211" s="11"/>
      <c r="C211" s="11"/>
      <c r="D211" s="11"/>
      <c r="E211" s="11"/>
      <c r="F211" s="11"/>
      <c r="G211" s="11"/>
    </row>
    <row r="212" ht="15.75" customHeight="1">
      <c r="A212" s="11"/>
      <c r="B212" s="11"/>
      <c r="C212" s="11"/>
      <c r="D212" s="11"/>
      <c r="E212" s="11"/>
      <c r="F212" s="11"/>
      <c r="G212" s="11"/>
    </row>
    <row r="213" ht="15.75" customHeight="1">
      <c r="A213" s="11"/>
      <c r="B213" s="11"/>
      <c r="C213" s="11"/>
      <c r="D213" s="11"/>
      <c r="E213" s="11"/>
      <c r="F213" s="11"/>
      <c r="G213" s="11"/>
    </row>
    <row r="214" ht="15.75" customHeight="1">
      <c r="A214" s="11"/>
      <c r="B214" s="11"/>
      <c r="C214" s="11"/>
      <c r="D214" s="11"/>
      <c r="E214" s="11"/>
      <c r="F214" s="11"/>
      <c r="G214" s="11"/>
    </row>
    <row r="215" ht="15.75" customHeight="1">
      <c r="A215" s="11"/>
      <c r="B215" s="11"/>
      <c r="C215" s="11"/>
      <c r="D215" s="11"/>
      <c r="E215" s="11"/>
      <c r="F215" s="11"/>
      <c r="G215" s="11"/>
    </row>
    <row r="216" ht="15.75" customHeight="1">
      <c r="A216" s="11"/>
      <c r="B216" s="11"/>
      <c r="C216" s="11"/>
      <c r="D216" s="11"/>
      <c r="E216" s="11"/>
      <c r="F216" s="11"/>
      <c r="G216" s="11"/>
    </row>
    <row r="217" ht="15.75" customHeight="1">
      <c r="A217" s="11"/>
      <c r="B217" s="11"/>
      <c r="C217" s="11"/>
      <c r="D217" s="11"/>
      <c r="E217" s="11"/>
      <c r="F217" s="11"/>
      <c r="G217" s="11"/>
    </row>
    <row r="218" ht="15.75" customHeight="1">
      <c r="A218" s="11"/>
      <c r="B218" s="11"/>
      <c r="C218" s="11"/>
      <c r="D218" s="11"/>
      <c r="E218" s="11"/>
      <c r="F218" s="11"/>
      <c r="G218" s="11"/>
    </row>
    <row r="219" ht="15.75" customHeight="1">
      <c r="A219" s="11"/>
      <c r="B219" s="11"/>
      <c r="C219" s="11"/>
      <c r="D219" s="11"/>
      <c r="E219" s="11"/>
      <c r="F219" s="11"/>
      <c r="G219" s="11"/>
    </row>
    <row r="220" ht="15.75" customHeight="1">
      <c r="A220" s="11"/>
      <c r="B220" s="11"/>
      <c r="C220" s="11"/>
      <c r="D220" s="11"/>
      <c r="E220" s="11"/>
      <c r="F220" s="11"/>
      <c r="G220" s="11"/>
    </row>
    <row r="221" ht="15.75" customHeight="1">
      <c r="A221" s="11"/>
      <c r="B221" s="11"/>
      <c r="C221" s="11"/>
      <c r="D221" s="11"/>
      <c r="E221" s="11"/>
      <c r="F221" s="11"/>
      <c r="G221" s="11"/>
    </row>
    <row r="222" ht="15.75" customHeight="1">
      <c r="A222" s="11"/>
      <c r="B222" s="11"/>
      <c r="C222" s="11"/>
      <c r="D222" s="11"/>
      <c r="E222" s="11"/>
      <c r="F222" s="11"/>
      <c r="G222" s="11"/>
    </row>
    <row r="223" ht="15.75" customHeight="1">
      <c r="A223" s="11"/>
      <c r="B223" s="11"/>
      <c r="C223" s="11"/>
      <c r="D223" s="11"/>
      <c r="E223" s="11"/>
      <c r="F223" s="11"/>
      <c r="G223" s="11"/>
    </row>
    <row r="224" ht="15.75" customHeight="1">
      <c r="A224" s="11"/>
      <c r="B224" s="11"/>
      <c r="C224" s="11"/>
      <c r="D224" s="11"/>
      <c r="E224" s="11"/>
      <c r="F224" s="11"/>
      <c r="G224" s="11"/>
    </row>
    <row r="225" ht="15.75" customHeight="1">
      <c r="A225" s="11"/>
      <c r="B225" s="11"/>
      <c r="C225" s="11"/>
      <c r="D225" s="11"/>
      <c r="E225" s="11"/>
      <c r="F225" s="11"/>
      <c r="G225" s="11"/>
    </row>
    <row r="226" ht="15.75" customHeight="1">
      <c r="A226" s="11"/>
      <c r="B226" s="11"/>
      <c r="C226" s="11"/>
      <c r="D226" s="11"/>
      <c r="E226" s="11"/>
      <c r="F226" s="11"/>
      <c r="G226" s="11"/>
    </row>
    <row r="227" ht="15.75" customHeight="1">
      <c r="A227" s="11"/>
      <c r="B227" s="11"/>
      <c r="C227" s="11"/>
      <c r="D227" s="11"/>
      <c r="E227" s="11"/>
      <c r="F227" s="11"/>
      <c r="G227" s="11"/>
    </row>
    <row r="228" ht="15.75" customHeight="1">
      <c r="A228" s="11"/>
      <c r="B228" s="11"/>
      <c r="C228" s="11"/>
      <c r="D228" s="11"/>
      <c r="E228" s="11"/>
      <c r="F228" s="11"/>
      <c r="G228" s="11"/>
    </row>
    <row r="229" ht="15.75" customHeight="1">
      <c r="A229" s="11"/>
      <c r="B229" s="11"/>
      <c r="C229" s="11"/>
      <c r="D229" s="11"/>
      <c r="E229" s="11"/>
      <c r="F229" s="11"/>
      <c r="G229" s="11"/>
    </row>
    <row r="230" ht="15.75" customHeight="1">
      <c r="A230" s="11"/>
      <c r="B230" s="11"/>
      <c r="C230" s="11"/>
      <c r="D230" s="11"/>
      <c r="E230" s="11"/>
      <c r="F230" s="11"/>
      <c r="G230" s="11"/>
    </row>
    <row r="231" ht="15.75" customHeight="1">
      <c r="A231" s="11"/>
      <c r="B231" s="11"/>
      <c r="C231" s="11"/>
      <c r="D231" s="11"/>
      <c r="E231" s="11"/>
      <c r="F231" s="11"/>
      <c r="G231" s="11"/>
    </row>
    <row r="232" ht="15.75" customHeight="1">
      <c r="A232" s="11"/>
      <c r="B232" s="11"/>
      <c r="C232" s="11"/>
      <c r="D232" s="11"/>
      <c r="E232" s="11"/>
      <c r="F232" s="11"/>
      <c r="G232" s="11"/>
    </row>
    <row r="233" ht="15.75" customHeight="1">
      <c r="A233" s="11"/>
      <c r="B233" s="11"/>
      <c r="C233" s="11"/>
      <c r="D233" s="11"/>
      <c r="E233" s="11"/>
      <c r="F233" s="11"/>
      <c r="G233" s="11"/>
    </row>
    <row r="234" ht="15.75" customHeight="1">
      <c r="A234" s="11"/>
      <c r="B234" s="11"/>
      <c r="C234" s="11"/>
      <c r="D234" s="11"/>
      <c r="E234" s="11"/>
      <c r="F234" s="11"/>
      <c r="G234" s="11"/>
    </row>
    <row r="235" ht="15.75" customHeight="1">
      <c r="A235" s="11"/>
      <c r="B235" s="11"/>
      <c r="C235" s="11"/>
      <c r="D235" s="11"/>
      <c r="E235" s="11"/>
      <c r="F235" s="11"/>
      <c r="G235" s="11"/>
    </row>
    <row r="236" ht="15.75" customHeight="1">
      <c r="A236" s="11"/>
      <c r="B236" s="11"/>
      <c r="C236" s="11"/>
      <c r="D236" s="11"/>
      <c r="E236" s="11"/>
      <c r="F236" s="11"/>
      <c r="G236" s="11"/>
    </row>
    <row r="237" ht="15.75" customHeight="1">
      <c r="A237" s="11"/>
      <c r="B237" s="11"/>
      <c r="C237" s="11"/>
      <c r="D237" s="11"/>
      <c r="E237" s="11"/>
      <c r="F237" s="11"/>
      <c r="G237" s="11"/>
    </row>
    <row r="238" ht="15.75" customHeight="1">
      <c r="A238" s="11"/>
      <c r="B238" s="11"/>
      <c r="C238" s="11"/>
      <c r="D238" s="11"/>
      <c r="E238" s="11"/>
      <c r="F238" s="11"/>
      <c r="G238" s="11"/>
    </row>
    <row r="239" ht="15.75" customHeight="1">
      <c r="A239" s="11"/>
      <c r="B239" s="11"/>
      <c r="C239" s="11"/>
      <c r="D239" s="11"/>
      <c r="E239" s="11"/>
      <c r="F239" s="11"/>
      <c r="G239" s="11"/>
    </row>
    <row r="240" ht="15.75" customHeight="1">
      <c r="A240" s="11"/>
      <c r="B240" s="11"/>
      <c r="C240" s="11"/>
      <c r="D240" s="11"/>
      <c r="E240" s="11"/>
      <c r="F240" s="11"/>
      <c r="G240" s="11"/>
    </row>
    <row r="241" ht="15.75" customHeight="1">
      <c r="A241" s="11"/>
      <c r="B241" s="11"/>
      <c r="C241" s="11"/>
      <c r="D241" s="11"/>
      <c r="E241" s="11"/>
      <c r="F241" s="11"/>
      <c r="G241" s="11"/>
    </row>
    <row r="242" ht="15.75" customHeight="1">
      <c r="A242" s="11"/>
      <c r="B242" s="11"/>
      <c r="C242" s="11"/>
      <c r="D242" s="11"/>
      <c r="E242" s="11"/>
      <c r="F242" s="11"/>
      <c r="G242" s="11"/>
    </row>
    <row r="243" ht="15.75" customHeight="1">
      <c r="A243" s="11"/>
      <c r="B243" s="11"/>
      <c r="C243" s="11"/>
      <c r="D243" s="11"/>
      <c r="E243" s="11"/>
      <c r="F243" s="11"/>
      <c r="G243" s="11"/>
    </row>
    <row r="244" ht="15.75" customHeight="1">
      <c r="A244" s="11"/>
      <c r="B244" s="11"/>
      <c r="C244" s="11"/>
      <c r="D244" s="11"/>
      <c r="E244" s="11"/>
      <c r="F244" s="11"/>
      <c r="G244" s="11"/>
    </row>
    <row r="245" ht="15.75" customHeight="1">
      <c r="A245" s="11"/>
      <c r="B245" s="11"/>
      <c r="C245" s="11"/>
      <c r="D245" s="11"/>
      <c r="E245" s="11"/>
      <c r="F245" s="11"/>
      <c r="G245" s="11"/>
    </row>
    <row r="246" ht="15.75" customHeight="1">
      <c r="A246" s="11"/>
      <c r="B246" s="11"/>
      <c r="C246" s="11"/>
      <c r="D246" s="11"/>
      <c r="E246" s="11"/>
      <c r="F246" s="11"/>
      <c r="G246" s="11"/>
    </row>
    <row r="247" ht="15.75" customHeight="1">
      <c r="A247" s="11"/>
      <c r="B247" s="11"/>
      <c r="C247" s="11"/>
      <c r="D247" s="11"/>
      <c r="E247" s="11"/>
      <c r="F247" s="11"/>
      <c r="G247" s="11"/>
    </row>
    <row r="248" ht="15.75" customHeight="1">
      <c r="A248" s="11"/>
      <c r="B248" s="11"/>
      <c r="C248" s="11"/>
      <c r="D248" s="11"/>
      <c r="E248" s="11"/>
      <c r="F248" s="11"/>
      <c r="G248" s="11"/>
    </row>
    <row r="249" ht="15.75" customHeight="1">
      <c r="A249" s="11"/>
      <c r="B249" s="11"/>
      <c r="C249" s="11"/>
      <c r="D249" s="11"/>
      <c r="E249" s="11"/>
      <c r="F249" s="11"/>
      <c r="G249" s="11"/>
    </row>
    <row r="250" ht="15.75" customHeight="1">
      <c r="A250" s="11"/>
      <c r="B250" s="11"/>
      <c r="C250" s="11"/>
      <c r="D250" s="11"/>
      <c r="E250" s="11"/>
      <c r="F250" s="11"/>
      <c r="G250" s="11"/>
    </row>
    <row r="251" ht="15.75" customHeight="1">
      <c r="A251" s="11"/>
      <c r="B251" s="11"/>
      <c r="C251" s="11"/>
      <c r="D251" s="11"/>
      <c r="E251" s="11"/>
      <c r="F251" s="11"/>
      <c r="G251" s="11"/>
    </row>
    <row r="252" ht="15.75" customHeight="1">
      <c r="A252" s="11"/>
      <c r="B252" s="11"/>
      <c r="C252" s="11"/>
      <c r="D252" s="11"/>
      <c r="E252" s="11"/>
      <c r="F252" s="11"/>
      <c r="G252" s="11"/>
    </row>
    <row r="253" ht="15.75" customHeight="1">
      <c r="A253" s="11"/>
      <c r="B253" s="11"/>
      <c r="C253" s="11"/>
      <c r="D253" s="11"/>
      <c r="E253" s="11"/>
      <c r="F253" s="11"/>
      <c r="G253" s="11"/>
    </row>
    <row r="254" ht="15.75" customHeight="1">
      <c r="A254" s="11"/>
      <c r="B254" s="11"/>
      <c r="C254" s="11"/>
      <c r="D254" s="11"/>
      <c r="E254" s="11"/>
      <c r="F254" s="11"/>
      <c r="G254" s="11"/>
    </row>
    <row r="255" ht="15.75" customHeight="1">
      <c r="A255" s="11"/>
      <c r="B255" s="11"/>
      <c r="C255" s="11"/>
      <c r="D255" s="11"/>
      <c r="E255" s="11"/>
      <c r="F255" s="11"/>
      <c r="G255" s="11"/>
    </row>
    <row r="256" ht="15.75" customHeight="1">
      <c r="A256" s="11"/>
      <c r="B256" s="11"/>
      <c r="C256" s="11"/>
      <c r="D256" s="11"/>
      <c r="E256" s="11"/>
      <c r="F256" s="11"/>
      <c r="G256" s="11"/>
    </row>
    <row r="257" ht="15.75" customHeight="1">
      <c r="A257" s="11"/>
      <c r="B257" s="11"/>
      <c r="C257" s="11"/>
      <c r="D257" s="11"/>
      <c r="E257" s="11"/>
      <c r="F257" s="11"/>
      <c r="G257" s="11"/>
    </row>
    <row r="258" ht="15.75" customHeight="1">
      <c r="A258" s="11"/>
      <c r="B258" s="11"/>
      <c r="C258" s="11"/>
      <c r="D258" s="11"/>
      <c r="E258" s="11"/>
      <c r="F258" s="11"/>
      <c r="G258" s="11"/>
    </row>
    <row r="259" ht="15.75" customHeight="1">
      <c r="A259" s="11"/>
      <c r="B259" s="11"/>
      <c r="C259" s="11"/>
      <c r="D259" s="11"/>
      <c r="E259" s="11"/>
      <c r="F259" s="11"/>
      <c r="G259" s="11"/>
    </row>
    <row r="260" ht="15.75" customHeight="1">
      <c r="A260" s="11"/>
      <c r="B260" s="11"/>
      <c r="C260" s="11"/>
      <c r="D260" s="11"/>
      <c r="E260" s="11"/>
      <c r="F260" s="11"/>
      <c r="G260" s="11"/>
    </row>
    <row r="261" ht="15.75" customHeight="1">
      <c r="A261" s="11"/>
      <c r="B261" s="11"/>
      <c r="C261" s="11"/>
      <c r="D261" s="11"/>
      <c r="E261" s="11"/>
      <c r="F261" s="11"/>
      <c r="G261" s="11"/>
    </row>
    <row r="262" ht="15.75" customHeight="1">
      <c r="A262" s="11"/>
      <c r="B262" s="11"/>
      <c r="C262" s="11"/>
      <c r="D262" s="11"/>
      <c r="E262" s="11"/>
      <c r="F262" s="11"/>
      <c r="G262" s="11"/>
    </row>
    <row r="263" ht="15.75" customHeight="1">
      <c r="A263" s="11"/>
      <c r="B263" s="11"/>
      <c r="C263" s="11"/>
      <c r="D263" s="11"/>
      <c r="E263" s="11"/>
      <c r="F263" s="11"/>
      <c r="G263" s="11"/>
    </row>
    <row r="264" ht="15.75" customHeight="1">
      <c r="A264" s="11"/>
      <c r="B264" s="11"/>
      <c r="C264" s="11"/>
      <c r="D264" s="11"/>
      <c r="E264" s="11"/>
      <c r="F264" s="11"/>
      <c r="G264" s="11"/>
    </row>
    <row r="265" ht="15.75" customHeight="1">
      <c r="A265" s="11"/>
      <c r="B265" s="11"/>
      <c r="C265" s="11"/>
      <c r="D265" s="11"/>
      <c r="E265" s="11"/>
      <c r="F265" s="11"/>
      <c r="G265" s="11"/>
    </row>
    <row r="266" ht="15.75" customHeight="1">
      <c r="A266" s="11"/>
      <c r="B266" s="11"/>
      <c r="C266" s="11"/>
      <c r="D266" s="11"/>
      <c r="E266" s="11"/>
      <c r="F266" s="11"/>
      <c r="G266" s="11"/>
    </row>
    <row r="267" ht="15.75" customHeight="1">
      <c r="A267" s="11"/>
      <c r="B267" s="11"/>
      <c r="C267" s="11"/>
      <c r="D267" s="11"/>
      <c r="E267" s="11"/>
      <c r="F267" s="11"/>
      <c r="G267" s="11"/>
    </row>
    <row r="268" ht="15.75" customHeight="1">
      <c r="A268" s="11"/>
      <c r="B268" s="11"/>
      <c r="C268" s="11"/>
      <c r="D268" s="11"/>
      <c r="E268" s="11"/>
      <c r="F268" s="11"/>
      <c r="G268" s="11"/>
    </row>
    <row r="269" ht="15.75" customHeight="1">
      <c r="A269" s="11"/>
      <c r="B269" s="11"/>
      <c r="C269" s="11"/>
      <c r="D269" s="11"/>
      <c r="E269" s="11"/>
      <c r="F269" s="11"/>
      <c r="G269" s="11"/>
    </row>
    <row r="270" ht="15.75" customHeight="1">
      <c r="A270" s="11"/>
      <c r="B270" s="11"/>
      <c r="C270" s="11"/>
      <c r="D270" s="11"/>
      <c r="E270" s="11"/>
      <c r="F270" s="11"/>
      <c r="G270" s="11"/>
    </row>
    <row r="271" ht="15.75" customHeight="1">
      <c r="A271" s="11"/>
      <c r="B271" s="11"/>
      <c r="C271" s="11"/>
      <c r="D271" s="11"/>
      <c r="E271" s="11"/>
      <c r="F271" s="11"/>
      <c r="G271" s="11"/>
    </row>
    <row r="272" ht="15.75" customHeight="1">
      <c r="A272" s="11"/>
      <c r="B272" s="11"/>
      <c r="C272" s="11"/>
      <c r="D272" s="11"/>
      <c r="E272" s="11"/>
      <c r="F272" s="11"/>
      <c r="G272" s="11"/>
    </row>
    <row r="273" ht="15.75" customHeight="1">
      <c r="A273" s="11"/>
      <c r="B273" s="11"/>
      <c r="C273" s="11"/>
      <c r="D273" s="11"/>
      <c r="E273" s="11"/>
      <c r="F273" s="11"/>
      <c r="G273" s="11"/>
    </row>
    <row r="274" ht="15.75" customHeight="1">
      <c r="A274" s="11"/>
      <c r="B274" s="11"/>
      <c r="C274" s="11"/>
      <c r="D274" s="11"/>
      <c r="E274" s="11"/>
      <c r="F274" s="11"/>
      <c r="G274" s="11"/>
    </row>
    <row r="275" ht="15.75" customHeight="1">
      <c r="A275" s="11"/>
      <c r="B275" s="11"/>
      <c r="C275" s="11"/>
      <c r="D275" s="11"/>
      <c r="E275" s="11"/>
      <c r="F275" s="11"/>
      <c r="G275" s="11"/>
    </row>
    <row r="276" ht="15.75" customHeight="1">
      <c r="A276" s="11"/>
      <c r="B276" s="11"/>
      <c r="C276" s="11"/>
      <c r="D276" s="11"/>
      <c r="E276" s="11"/>
      <c r="F276" s="11"/>
      <c r="G276" s="11"/>
    </row>
    <row r="277" ht="15.75" customHeight="1">
      <c r="A277" s="11"/>
      <c r="B277" s="11"/>
      <c r="C277" s="11"/>
      <c r="D277" s="11"/>
      <c r="E277" s="11"/>
      <c r="F277" s="11"/>
      <c r="G277" s="11"/>
    </row>
    <row r="278" ht="15.75" customHeight="1">
      <c r="A278" s="11"/>
      <c r="B278" s="11"/>
      <c r="C278" s="11"/>
      <c r="D278" s="11"/>
      <c r="E278" s="11"/>
      <c r="F278" s="11"/>
      <c r="G278" s="11"/>
    </row>
    <row r="279" ht="15.75" customHeight="1">
      <c r="A279" s="11"/>
      <c r="B279" s="11"/>
      <c r="C279" s="11"/>
      <c r="D279" s="11"/>
      <c r="E279" s="11"/>
      <c r="F279" s="11"/>
      <c r="G279" s="11"/>
    </row>
    <row r="280" ht="15.75" customHeight="1">
      <c r="A280" s="11"/>
      <c r="B280" s="11"/>
      <c r="C280" s="11"/>
      <c r="D280" s="11"/>
      <c r="E280" s="11"/>
      <c r="F280" s="11"/>
      <c r="G280" s="11"/>
    </row>
    <row r="281" ht="15.75" customHeight="1">
      <c r="A281" s="11"/>
      <c r="B281" s="11"/>
      <c r="C281" s="11"/>
      <c r="D281" s="11"/>
      <c r="E281" s="11"/>
      <c r="F281" s="11"/>
      <c r="G281" s="11"/>
    </row>
    <row r="282" ht="15.75" customHeight="1">
      <c r="A282" s="11"/>
      <c r="B282" s="11"/>
      <c r="C282" s="11"/>
      <c r="D282" s="11"/>
      <c r="E282" s="11"/>
      <c r="F282" s="11"/>
      <c r="G282" s="11"/>
    </row>
    <row r="283" ht="15.75" customHeight="1">
      <c r="A283" s="11"/>
      <c r="B283" s="11"/>
      <c r="C283" s="11"/>
      <c r="D283" s="11"/>
      <c r="E283" s="11"/>
      <c r="F283" s="11"/>
      <c r="G283" s="11"/>
    </row>
    <row r="284" ht="15.75" customHeight="1">
      <c r="A284" s="11"/>
      <c r="B284" s="11"/>
      <c r="C284" s="11"/>
      <c r="D284" s="11"/>
      <c r="E284" s="11"/>
      <c r="F284" s="11"/>
      <c r="G284" s="11"/>
    </row>
    <row r="285" ht="15.75" customHeight="1">
      <c r="A285" s="11"/>
      <c r="B285" s="11"/>
      <c r="C285" s="11"/>
      <c r="D285" s="11"/>
      <c r="E285" s="11"/>
      <c r="F285" s="11"/>
      <c r="G285" s="11"/>
    </row>
    <row r="286" ht="15.75" customHeight="1">
      <c r="A286" s="11"/>
      <c r="B286" s="11"/>
      <c r="C286" s="11"/>
      <c r="D286" s="11"/>
      <c r="E286" s="11"/>
      <c r="F286" s="11"/>
      <c r="G286" s="11"/>
    </row>
    <row r="287" ht="15.75" customHeight="1">
      <c r="A287" s="11"/>
      <c r="B287" s="11"/>
      <c r="C287" s="11"/>
      <c r="D287" s="11"/>
      <c r="E287" s="11"/>
      <c r="F287" s="11"/>
      <c r="G287" s="11"/>
    </row>
    <row r="288" ht="15.75" customHeight="1">
      <c r="A288" s="11"/>
      <c r="B288" s="11"/>
      <c r="C288" s="11"/>
      <c r="D288" s="11"/>
      <c r="E288" s="11"/>
      <c r="F288" s="11"/>
      <c r="G288" s="11"/>
    </row>
    <row r="289" ht="15.75" customHeight="1">
      <c r="A289" s="11"/>
      <c r="B289" s="11"/>
      <c r="C289" s="11"/>
      <c r="D289" s="11"/>
      <c r="E289" s="11"/>
      <c r="F289" s="11"/>
      <c r="G289" s="11"/>
    </row>
    <row r="290" ht="15.75" customHeight="1">
      <c r="A290" s="11"/>
      <c r="B290" s="11"/>
      <c r="C290" s="11"/>
      <c r="D290" s="11"/>
      <c r="E290" s="11"/>
      <c r="F290" s="11"/>
      <c r="G290" s="11"/>
    </row>
    <row r="291" ht="15.75" customHeight="1">
      <c r="A291" s="11"/>
      <c r="B291" s="11"/>
      <c r="C291" s="11"/>
      <c r="D291" s="11"/>
      <c r="E291" s="11"/>
      <c r="F291" s="11"/>
      <c r="G291" s="11"/>
    </row>
    <row r="292" ht="15.75" customHeight="1">
      <c r="A292" s="11"/>
      <c r="B292" s="11"/>
      <c r="C292" s="11"/>
      <c r="D292" s="11"/>
      <c r="E292" s="11"/>
      <c r="F292" s="11"/>
      <c r="G292" s="11"/>
    </row>
    <row r="293" ht="15.75" customHeight="1">
      <c r="A293" s="11"/>
      <c r="B293" s="11"/>
      <c r="C293" s="11"/>
      <c r="D293" s="11"/>
      <c r="E293" s="11"/>
      <c r="F293" s="11"/>
      <c r="G293" s="11"/>
    </row>
    <row r="294" ht="15.75" customHeight="1">
      <c r="A294" s="11"/>
      <c r="B294" s="11"/>
      <c r="C294" s="11"/>
      <c r="D294" s="11"/>
      <c r="E294" s="11"/>
      <c r="F294" s="11"/>
      <c r="G294" s="11"/>
    </row>
    <row r="295" ht="15.75" customHeight="1">
      <c r="A295" s="11"/>
      <c r="B295" s="11"/>
      <c r="C295" s="11"/>
      <c r="D295" s="11"/>
      <c r="E295" s="11"/>
      <c r="F295" s="11"/>
      <c r="G295" s="11"/>
    </row>
    <row r="296" ht="15.75" customHeight="1">
      <c r="A296" s="11"/>
      <c r="B296" s="11"/>
      <c r="C296" s="11"/>
      <c r="D296" s="11"/>
      <c r="E296" s="11"/>
      <c r="F296" s="11"/>
      <c r="G296" s="11"/>
    </row>
    <row r="297" ht="15.75" customHeight="1">
      <c r="A297" s="11"/>
      <c r="B297" s="11"/>
      <c r="C297" s="11"/>
      <c r="D297" s="11"/>
      <c r="E297" s="11"/>
      <c r="F297" s="11"/>
      <c r="G297" s="11"/>
    </row>
    <row r="298" ht="15.75" customHeight="1">
      <c r="A298" s="11"/>
      <c r="B298" s="11"/>
      <c r="C298" s="11"/>
      <c r="D298" s="11"/>
      <c r="E298" s="11"/>
      <c r="F298" s="11"/>
      <c r="G298" s="11"/>
    </row>
    <row r="299" ht="15.75" customHeight="1">
      <c r="A299" s="11"/>
      <c r="B299" s="11"/>
      <c r="C299" s="11"/>
      <c r="D299" s="11"/>
      <c r="E299" s="11"/>
      <c r="F299" s="11"/>
      <c r="G299" s="11"/>
    </row>
    <row r="300" ht="15.75" customHeight="1">
      <c r="A300" s="11"/>
      <c r="B300" s="11"/>
      <c r="C300" s="11"/>
      <c r="D300" s="11"/>
      <c r="E300" s="11"/>
      <c r="F300" s="11"/>
      <c r="G300" s="11"/>
    </row>
    <row r="301" ht="15.75" customHeight="1">
      <c r="A301" s="11"/>
      <c r="B301" s="11"/>
      <c r="C301" s="11"/>
      <c r="D301" s="11"/>
      <c r="E301" s="11"/>
      <c r="F301" s="11"/>
      <c r="G301" s="11"/>
    </row>
    <row r="302" ht="15.75" customHeight="1">
      <c r="A302" s="11"/>
      <c r="B302" s="11"/>
      <c r="C302" s="11"/>
      <c r="D302" s="11"/>
      <c r="E302" s="11"/>
      <c r="F302" s="11"/>
      <c r="G302" s="11"/>
    </row>
    <row r="303" ht="15.75" customHeight="1">
      <c r="A303" s="11"/>
      <c r="B303" s="11"/>
      <c r="C303" s="11"/>
      <c r="D303" s="11"/>
      <c r="E303" s="11"/>
      <c r="F303" s="11"/>
      <c r="G303" s="11"/>
    </row>
    <row r="304" ht="15.75" customHeight="1">
      <c r="A304" s="11"/>
      <c r="B304" s="11"/>
      <c r="C304" s="11"/>
      <c r="D304" s="11"/>
      <c r="E304" s="11"/>
      <c r="F304" s="11"/>
      <c r="G304" s="11"/>
    </row>
    <row r="305" ht="15.75" customHeight="1">
      <c r="A305" s="11"/>
      <c r="B305" s="11"/>
      <c r="C305" s="11"/>
      <c r="D305" s="11"/>
      <c r="E305" s="11"/>
      <c r="F305" s="11"/>
      <c r="G305" s="11"/>
    </row>
    <row r="306" ht="15.75" customHeight="1">
      <c r="A306" s="11"/>
      <c r="B306" s="11"/>
      <c r="C306" s="11"/>
      <c r="D306" s="11"/>
      <c r="E306" s="11"/>
      <c r="F306" s="11"/>
      <c r="G306" s="11"/>
    </row>
    <row r="307" ht="15.75" customHeight="1">
      <c r="A307" s="11"/>
      <c r="B307" s="11"/>
      <c r="C307" s="11"/>
      <c r="D307" s="11"/>
      <c r="E307" s="11"/>
      <c r="F307" s="11"/>
      <c r="G307" s="11"/>
    </row>
    <row r="308" ht="15.75" customHeight="1">
      <c r="A308" s="11"/>
      <c r="B308" s="11"/>
      <c r="C308" s="11"/>
      <c r="D308" s="11"/>
      <c r="E308" s="11"/>
      <c r="F308" s="11"/>
      <c r="G308" s="11"/>
    </row>
    <row r="309" ht="15.75" customHeight="1">
      <c r="A309" s="11"/>
      <c r="B309" s="11"/>
      <c r="C309" s="11"/>
      <c r="D309" s="11"/>
      <c r="E309" s="11"/>
      <c r="F309" s="11"/>
      <c r="G309" s="11"/>
    </row>
    <row r="310" ht="15.75" customHeight="1">
      <c r="A310" s="11"/>
      <c r="B310" s="11"/>
      <c r="C310" s="11"/>
      <c r="D310" s="11"/>
      <c r="E310" s="11"/>
      <c r="F310" s="11"/>
      <c r="G310" s="11"/>
    </row>
    <row r="311" ht="15.75" customHeight="1">
      <c r="A311" s="11"/>
      <c r="B311" s="11"/>
      <c r="C311" s="11"/>
      <c r="D311" s="11"/>
      <c r="E311" s="11"/>
      <c r="F311" s="11"/>
      <c r="G311" s="11"/>
    </row>
    <row r="312" ht="15.75" customHeight="1">
      <c r="A312" s="11"/>
      <c r="B312" s="11"/>
      <c r="C312" s="11"/>
      <c r="D312" s="11"/>
      <c r="E312" s="11"/>
      <c r="F312" s="11"/>
      <c r="G312" s="11"/>
    </row>
    <row r="313" ht="15.75" customHeight="1">
      <c r="A313" s="11"/>
      <c r="B313" s="11"/>
      <c r="C313" s="11"/>
      <c r="D313" s="11"/>
      <c r="E313" s="11"/>
      <c r="F313" s="11"/>
      <c r="G313" s="11"/>
    </row>
    <row r="314" ht="15.75" customHeight="1">
      <c r="A314" s="11"/>
      <c r="B314" s="11"/>
      <c r="C314" s="11"/>
      <c r="D314" s="11"/>
      <c r="E314" s="11"/>
      <c r="F314" s="11"/>
      <c r="G314" s="11"/>
    </row>
    <row r="315" ht="15.75" customHeight="1">
      <c r="A315" s="11"/>
      <c r="B315" s="11"/>
      <c r="C315" s="11"/>
      <c r="D315" s="11"/>
      <c r="E315" s="11"/>
      <c r="F315" s="11"/>
      <c r="G315" s="11"/>
    </row>
    <row r="316" ht="15.75" customHeight="1">
      <c r="A316" s="11"/>
      <c r="B316" s="11"/>
      <c r="C316" s="11"/>
      <c r="D316" s="11"/>
      <c r="E316" s="11"/>
      <c r="F316" s="11"/>
      <c r="G316" s="11"/>
    </row>
    <row r="317" ht="15.75" customHeight="1">
      <c r="A317" s="11"/>
      <c r="B317" s="11"/>
      <c r="C317" s="11"/>
      <c r="D317" s="11"/>
      <c r="E317" s="11"/>
      <c r="F317" s="11"/>
      <c r="G317" s="11"/>
    </row>
    <row r="318" ht="15.75" customHeight="1">
      <c r="A318" s="11"/>
      <c r="B318" s="11"/>
      <c r="C318" s="11"/>
      <c r="D318" s="11"/>
      <c r="E318" s="11"/>
      <c r="F318" s="11"/>
      <c r="G318" s="11"/>
    </row>
    <row r="319" ht="15.75" customHeight="1">
      <c r="A319" s="11"/>
      <c r="B319" s="11"/>
      <c r="C319" s="11"/>
      <c r="D319" s="11"/>
      <c r="E319" s="11"/>
      <c r="F319" s="11"/>
      <c r="G319" s="11"/>
    </row>
    <row r="320" ht="15.75" customHeight="1">
      <c r="A320" s="11"/>
      <c r="B320" s="11"/>
      <c r="C320" s="11"/>
      <c r="D320" s="11"/>
      <c r="E320" s="11"/>
      <c r="F320" s="11"/>
      <c r="G320" s="11"/>
    </row>
    <row r="321" ht="15.75" customHeight="1">
      <c r="A321" s="11"/>
      <c r="B321" s="11"/>
      <c r="C321" s="11"/>
      <c r="D321" s="11"/>
      <c r="E321" s="11"/>
      <c r="F321" s="11"/>
      <c r="G321" s="11"/>
    </row>
    <row r="322" ht="15.75" customHeight="1">
      <c r="A322" s="11"/>
      <c r="B322" s="11"/>
      <c r="C322" s="11"/>
      <c r="D322" s="11"/>
      <c r="E322" s="11"/>
      <c r="F322" s="11"/>
      <c r="G322" s="11"/>
    </row>
    <row r="323" ht="15.75" customHeight="1">
      <c r="A323" s="11"/>
      <c r="B323" s="11"/>
      <c r="C323" s="11"/>
      <c r="D323" s="11"/>
      <c r="E323" s="11"/>
      <c r="F323" s="11"/>
      <c r="G323" s="11"/>
    </row>
    <row r="324" ht="15.75" customHeight="1">
      <c r="A324" s="11"/>
      <c r="B324" s="11"/>
      <c r="C324" s="11"/>
      <c r="D324" s="11"/>
      <c r="E324" s="11"/>
      <c r="F324" s="11"/>
      <c r="G324" s="11"/>
    </row>
    <row r="325" ht="15.75" customHeight="1">
      <c r="A325" s="11"/>
      <c r="B325" s="11"/>
      <c r="C325" s="11"/>
      <c r="D325" s="11"/>
      <c r="E325" s="11"/>
      <c r="F325" s="11"/>
      <c r="G325" s="11"/>
    </row>
    <row r="326" ht="15.75" customHeight="1">
      <c r="A326" s="11"/>
      <c r="B326" s="11"/>
      <c r="C326" s="11"/>
      <c r="D326" s="11"/>
      <c r="E326" s="11"/>
      <c r="F326" s="11"/>
      <c r="G326" s="11"/>
    </row>
    <row r="327" ht="15.75" customHeight="1">
      <c r="A327" s="11"/>
      <c r="B327" s="11"/>
      <c r="C327" s="11"/>
      <c r="D327" s="11"/>
      <c r="E327" s="11"/>
      <c r="F327" s="11"/>
      <c r="G327" s="11"/>
    </row>
    <row r="328" ht="15.75" customHeight="1">
      <c r="A328" s="11"/>
      <c r="B328" s="11"/>
      <c r="C328" s="11"/>
      <c r="D328" s="11"/>
      <c r="E328" s="11"/>
      <c r="F328" s="11"/>
      <c r="G328" s="11"/>
    </row>
    <row r="329" ht="15.75" customHeight="1">
      <c r="A329" s="11"/>
      <c r="B329" s="11"/>
      <c r="C329" s="11"/>
      <c r="D329" s="11"/>
      <c r="E329" s="11"/>
      <c r="F329" s="11"/>
      <c r="G329" s="11"/>
    </row>
    <row r="330" ht="15.75" customHeight="1">
      <c r="A330" s="11"/>
      <c r="B330" s="11"/>
      <c r="C330" s="11"/>
      <c r="D330" s="11"/>
      <c r="E330" s="11"/>
      <c r="F330" s="11"/>
      <c r="G330" s="11"/>
    </row>
    <row r="331" ht="15.75" customHeight="1">
      <c r="A331" s="11"/>
      <c r="B331" s="11"/>
      <c r="C331" s="11"/>
      <c r="D331" s="11"/>
      <c r="E331" s="11"/>
      <c r="F331" s="11"/>
      <c r="G331" s="11"/>
    </row>
    <row r="332" ht="15.75" customHeight="1">
      <c r="A332" s="11"/>
      <c r="B332" s="11"/>
      <c r="C332" s="11"/>
      <c r="D332" s="11"/>
      <c r="E332" s="11"/>
      <c r="F332" s="11"/>
      <c r="G332" s="11"/>
    </row>
    <row r="333" ht="15.75" customHeight="1">
      <c r="A333" s="11"/>
      <c r="B333" s="11"/>
      <c r="C333" s="11"/>
      <c r="D333" s="11"/>
      <c r="E333" s="11"/>
      <c r="F333" s="11"/>
      <c r="G333" s="11"/>
    </row>
    <row r="334" ht="15.75" customHeight="1">
      <c r="A334" s="11"/>
      <c r="B334" s="11"/>
      <c r="C334" s="11"/>
      <c r="D334" s="11"/>
      <c r="E334" s="11"/>
      <c r="F334" s="11"/>
      <c r="G334" s="11"/>
    </row>
    <row r="335" ht="15.75" customHeight="1">
      <c r="A335" s="11"/>
      <c r="B335" s="11"/>
      <c r="C335" s="11"/>
      <c r="D335" s="11"/>
      <c r="E335" s="11"/>
      <c r="F335" s="11"/>
      <c r="G335" s="11"/>
    </row>
    <row r="336" ht="15.75" customHeight="1">
      <c r="A336" s="11"/>
      <c r="B336" s="11"/>
      <c r="C336" s="11"/>
      <c r="D336" s="11"/>
      <c r="E336" s="11"/>
      <c r="F336" s="11"/>
      <c r="G336" s="11"/>
    </row>
    <row r="337" ht="15.75" customHeight="1">
      <c r="A337" s="11"/>
      <c r="B337" s="11"/>
      <c r="C337" s="11"/>
      <c r="D337" s="11"/>
      <c r="E337" s="11"/>
      <c r="F337" s="11"/>
      <c r="G337" s="11"/>
    </row>
    <row r="338" ht="15.75" customHeight="1">
      <c r="A338" s="11"/>
      <c r="B338" s="11"/>
      <c r="C338" s="11"/>
      <c r="D338" s="11"/>
      <c r="E338" s="11"/>
      <c r="F338" s="11"/>
      <c r="G338" s="11"/>
    </row>
    <row r="339" ht="15.75" customHeight="1">
      <c r="A339" s="11"/>
      <c r="B339" s="11"/>
      <c r="C339" s="11"/>
      <c r="D339" s="11"/>
      <c r="E339" s="11"/>
      <c r="F339" s="11"/>
      <c r="G339" s="11"/>
    </row>
    <row r="340" ht="15.75" customHeight="1">
      <c r="A340" s="11"/>
      <c r="B340" s="11"/>
      <c r="C340" s="11"/>
      <c r="D340" s="11"/>
      <c r="E340" s="11"/>
      <c r="F340" s="11"/>
      <c r="G340" s="11"/>
    </row>
    <row r="341" ht="15.75" customHeight="1">
      <c r="A341" s="11"/>
      <c r="B341" s="11"/>
      <c r="C341" s="11"/>
      <c r="D341" s="11"/>
      <c r="E341" s="11"/>
      <c r="F341" s="11"/>
      <c r="G341" s="11"/>
    </row>
    <row r="342" ht="15.75" customHeight="1">
      <c r="A342" s="11"/>
      <c r="B342" s="11"/>
      <c r="C342" s="11"/>
      <c r="D342" s="11"/>
      <c r="E342" s="11"/>
      <c r="F342" s="11"/>
      <c r="G342" s="11"/>
    </row>
    <row r="343" ht="15.75" customHeight="1">
      <c r="A343" s="11"/>
      <c r="B343" s="11"/>
      <c r="C343" s="11"/>
      <c r="D343" s="11"/>
      <c r="E343" s="11"/>
      <c r="F343" s="11"/>
      <c r="G343" s="11"/>
    </row>
    <row r="344" ht="15.75" customHeight="1">
      <c r="A344" s="11"/>
      <c r="B344" s="11"/>
      <c r="C344" s="11"/>
      <c r="D344" s="11"/>
      <c r="E344" s="11"/>
      <c r="F344" s="11"/>
      <c r="G344" s="11"/>
    </row>
    <row r="345" ht="15.75" customHeight="1">
      <c r="A345" s="11"/>
      <c r="B345" s="11"/>
      <c r="C345" s="11"/>
      <c r="D345" s="11"/>
      <c r="E345" s="11"/>
      <c r="F345" s="11"/>
      <c r="G345" s="11"/>
    </row>
    <row r="346" ht="15.75" customHeight="1">
      <c r="A346" s="11"/>
      <c r="B346" s="11"/>
      <c r="C346" s="11"/>
      <c r="D346" s="11"/>
      <c r="E346" s="11"/>
      <c r="F346" s="11"/>
      <c r="G346" s="11"/>
    </row>
    <row r="347" ht="15.75" customHeight="1">
      <c r="A347" s="11"/>
      <c r="B347" s="11"/>
      <c r="C347" s="11"/>
      <c r="D347" s="11"/>
      <c r="E347" s="11"/>
      <c r="F347" s="11"/>
      <c r="G347" s="11"/>
    </row>
    <row r="348" ht="15.75" customHeight="1">
      <c r="A348" s="11"/>
      <c r="B348" s="11"/>
      <c r="C348" s="11"/>
      <c r="D348" s="11"/>
      <c r="E348" s="11"/>
      <c r="F348" s="11"/>
      <c r="G348" s="11"/>
    </row>
    <row r="349" ht="15.75" customHeight="1">
      <c r="A349" s="11"/>
      <c r="B349" s="11"/>
      <c r="C349" s="11"/>
      <c r="D349" s="11"/>
      <c r="E349" s="11"/>
      <c r="F349" s="11"/>
      <c r="G349" s="11"/>
    </row>
    <row r="350" ht="15.75" customHeight="1">
      <c r="A350" s="11"/>
      <c r="B350" s="11"/>
      <c r="C350" s="11"/>
      <c r="D350" s="11"/>
      <c r="E350" s="11"/>
      <c r="F350" s="11"/>
      <c r="G350" s="11"/>
    </row>
    <row r="351" ht="15.75" customHeight="1">
      <c r="A351" s="11"/>
      <c r="B351" s="11"/>
      <c r="C351" s="11"/>
      <c r="D351" s="11"/>
      <c r="E351" s="11"/>
      <c r="F351" s="11"/>
      <c r="G351" s="11"/>
    </row>
    <row r="352" ht="15.75" customHeight="1">
      <c r="A352" s="11"/>
      <c r="B352" s="11"/>
      <c r="C352" s="11"/>
      <c r="D352" s="11"/>
      <c r="E352" s="11"/>
      <c r="F352" s="11"/>
      <c r="G352" s="11"/>
    </row>
    <row r="353" ht="15.75" customHeight="1">
      <c r="A353" s="11"/>
      <c r="B353" s="11"/>
      <c r="C353" s="11"/>
      <c r="D353" s="11"/>
      <c r="E353" s="11"/>
      <c r="F353" s="11"/>
      <c r="G353" s="11"/>
    </row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8">
    <mergeCell ref="A1:A3"/>
    <mergeCell ref="B1:G1"/>
    <mergeCell ref="C2:G2"/>
    <mergeCell ref="C3:G3"/>
    <mergeCell ref="A8:G8"/>
    <mergeCell ref="A9:G10"/>
    <mergeCell ref="A11:G11"/>
    <mergeCell ref="E12:G12"/>
    <mergeCell ref="E13:G13"/>
    <mergeCell ref="E14:G14"/>
    <mergeCell ref="E15:G15"/>
    <mergeCell ref="A16:G16"/>
    <mergeCell ref="A17:G17"/>
    <mergeCell ref="A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A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A42:G42"/>
    <mergeCell ref="A43:G43"/>
    <mergeCell ref="A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F107:G107"/>
    <mergeCell ref="F108:G108"/>
    <mergeCell ref="F109:G109"/>
    <mergeCell ref="F110:G110"/>
    <mergeCell ref="A111:G127"/>
    <mergeCell ref="A128:G128"/>
    <mergeCell ref="A129:G129"/>
    <mergeCell ref="A130:G130"/>
    <mergeCell ref="F131:G131"/>
    <mergeCell ref="F132:G132"/>
    <mergeCell ref="F133:G133"/>
    <mergeCell ref="F134:G134"/>
    <mergeCell ref="F135:G135"/>
    <mergeCell ref="F136:G136"/>
    <mergeCell ref="F151:G151"/>
    <mergeCell ref="F152:G152"/>
    <mergeCell ref="F153:G153"/>
    <mergeCell ref="A154:G170"/>
    <mergeCell ref="F144:G144"/>
    <mergeCell ref="F145:G145"/>
    <mergeCell ref="F146:G146"/>
    <mergeCell ref="F147:G147"/>
    <mergeCell ref="F148:G148"/>
    <mergeCell ref="F149:G149"/>
    <mergeCell ref="F150:G150"/>
    <mergeCell ref="F54:G54"/>
    <mergeCell ref="F55:G55"/>
    <mergeCell ref="A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A68:G84"/>
    <mergeCell ref="A85:G85"/>
    <mergeCell ref="A86:G86"/>
    <mergeCell ref="A87:G87"/>
    <mergeCell ref="F88:G88"/>
    <mergeCell ref="F89:G89"/>
    <mergeCell ref="F90:G90"/>
    <mergeCell ref="F98:G98"/>
    <mergeCell ref="A99:G99"/>
    <mergeCell ref="F91:G91"/>
    <mergeCell ref="F92:G92"/>
    <mergeCell ref="F93:G93"/>
    <mergeCell ref="F94:G94"/>
    <mergeCell ref="F95:G95"/>
    <mergeCell ref="F96:G96"/>
    <mergeCell ref="F97:G97"/>
    <mergeCell ref="F100:G100"/>
    <mergeCell ref="F101:G101"/>
    <mergeCell ref="F102:G102"/>
    <mergeCell ref="F103:G103"/>
    <mergeCell ref="F104:G104"/>
    <mergeCell ref="F105:G105"/>
    <mergeCell ref="F106:G106"/>
    <mergeCell ref="F137:G137"/>
    <mergeCell ref="F138:G138"/>
    <mergeCell ref="F139:G139"/>
    <mergeCell ref="F140:G140"/>
    <mergeCell ref="F141:G141"/>
    <mergeCell ref="A142:G142"/>
    <mergeCell ref="F143:G143"/>
  </mergeCells>
  <conditionalFormatting sqref="A1:A3">
    <cfRule type="notContainsBlanks" dxfId="0" priority="1">
      <formula>LEN(TRIM(A1))&gt;0</formula>
    </cfRule>
  </conditionalFormatting>
  <printOptions horizontalCentered="1"/>
  <pageMargins bottom="0.75" footer="0.0" header="0.0" left="0.7" right="0.7" top="0.75"/>
  <pageSetup fitToHeight="0" paperSize="9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31.38"/>
    <col customWidth="1" min="3" max="6" width="6.38"/>
    <col customWidth="1" min="7" max="7" width="9.5"/>
    <col customWidth="1" min="8" max="8" width="6.38"/>
    <col customWidth="1" min="9" max="9" width="31.38"/>
    <col customWidth="1" min="10" max="13" width="6.38"/>
    <col customWidth="1" min="14" max="14" width="9.5"/>
    <col customWidth="1" min="15" max="15" width="6.38"/>
    <col customWidth="1" min="16" max="16" width="31.38"/>
    <col customWidth="1" min="17" max="20" width="6.38"/>
    <col customWidth="1" min="21" max="21" width="9.5"/>
    <col customWidth="1" min="22" max="22" width="6.38"/>
    <col customWidth="1" min="23" max="23" width="31.38"/>
    <col customWidth="1" min="24" max="27" width="6.38"/>
    <col customWidth="1" min="28" max="28" width="9.5"/>
    <col customWidth="1" min="29" max="29" width="6.38"/>
  </cols>
  <sheetData>
    <row r="1" ht="15.75" customHeight="1">
      <c r="A1" s="1" t="s">
        <v>0</v>
      </c>
      <c r="B1" s="2"/>
      <c r="C1" s="3"/>
      <c r="D1" s="4"/>
      <c r="E1" s="5"/>
      <c r="F1" s="5"/>
      <c r="G1" s="7"/>
      <c r="H1" s="8"/>
      <c r="I1" s="2"/>
      <c r="J1" s="5"/>
      <c r="K1" s="5"/>
      <c r="L1" s="5"/>
      <c r="M1" s="1"/>
      <c r="N1" s="7"/>
      <c r="O1" s="1"/>
      <c r="P1" s="2"/>
      <c r="Q1" s="5"/>
      <c r="R1" s="5"/>
      <c r="S1" s="5"/>
      <c r="T1" s="5"/>
      <c r="U1" s="7"/>
      <c r="V1" s="1"/>
      <c r="W1" s="2"/>
      <c r="X1" s="5"/>
      <c r="Y1" s="5"/>
      <c r="Z1" s="5"/>
      <c r="AA1" s="5"/>
      <c r="AB1" s="5"/>
      <c r="AC1" s="5"/>
    </row>
    <row r="2" ht="15.75" customHeight="1">
      <c r="A2" s="16"/>
      <c r="B2" s="16"/>
      <c r="C2" s="16"/>
      <c r="D2" s="16"/>
      <c r="H2" s="16"/>
      <c r="I2" s="16"/>
      <c r="J2" s="16"/>
      <c r="K2" s="16"/>
      <c r="O2" s="16"/>
      <c r="P2" s="16"/>
      <c r="Q2" s="16"/>
      <c r="R2" s="16"/>
      <c r="V2" s="16"/>
      <c r="W2" s="16"/>
      <c r="X2" s="16"/>
      <c r="Y2" s="16"/>
      <c r="AC2" s="16"/>
    </row>
    <row r="3" ht="15.75" customHeight="1">
      <c r="A3" s="2" t="s">
        <v>10</v>
      </c>
      <c r="B3" s="23"/>
      <c r="C3" s="28">
        <f>macro!B6</f>
        <v>46246</v>
      </c>
      <c r="H3" s="30"/>
      <c r="I3" s="23"/>
      <c r="J3" s="4">
        <f>C3+7</f>
        <v>46253</v>
      </c>
      <c r="O3" s="30"/>
      <c r="P3" s="23"/>
      <c r="Q3" s="28">
        <f>J3+7</f>
        <v>46260</v>
      </c>
      <c r="V3" s="30"/>
      <c r="W3" s="23"/>
      <c r="X3" s="28">
        <f>Q3+7</f>
        <v>46267</v>
      </c>
      <c r="AC3" s="16"/>
    </row>
    <row r="4" ht="15.75" customHeight="1">
      <c r="A4" s="2"/>
      <c r="B4" s="2"/>
      <c r="C4" s="5" t="s">
        <v>13</v>
      </c>
      <c r="D4" s="5" t="s">
        <v>16</v>
      </c>
      <c r="E4" s="5" t="s">
        <v>15</v>
      </c>
      <c r="F4" s="5" t="s">
        <v>18</v>
      </c>
      <c r="G4" s="5" t="s">
        <v>11</v>
      </c>
      <c r="H4" s="30"/>
      <c r="I4" s="2"/>
      <c r="J4" s="5" t="s">
        <v>13</v>
      </c>
      <c r="K4" s="5" t="s">
        <v>16</v>
      </c>
      <c r="L4" s="5" t="s">
        <v>15</v>
      </c>
      <c r="M4" s="5" t="s">
        <v>18</v>
      </c>
      <c r="N4" s="5" t="s">
        <v>11</v>
      </c>
      <c r="O4" s="30"/>
      <c r="P4" s="2"/>
      <c r="Q4" s="5" t="s">
        <v>13</v>
      </c>
      <c r="R4" s="5" t="s">
        <v>16</v>
      </c>
      <c r="S4" s="5" t="s">
        <v>15</v>
      </c>
      <c r="T4" s="5" t="s">
        <v>18</v>
      </c>
      <c r="U4" s="5" t="s">
        <v>11</v>
      </c>
      <c r="V4" s="30"/>
      <c r="W4" s="2"/>
      <c r="X4" s="5" t="s">
        <v>13</v>
      </c>
      <c r="Y4" s="5" t="s">
        <v>16</v>
      </c>
      <c r="Z4" s="5" t="s">
        <v>15</v>
      </c>
      <c r="AA4" s="5" t="s">
        <v>18</v>
      </c>
      <c r="AB4" s="5" t="s">
        <v>11</v>
      </c>
      <c r="AC4" s="30"/>
    </row>
    <row r="5" ht="15.75" customHeight="1">
      <c r="A5" s="2"/>
      <c r="B5" s="2" t="s">
        <v>20</v>
      </c>
      <c r="C5" s="41"/>
      <c r="D5" s="5"/>
      <c r="E5" s="5"/>
      <c r="F5" s="5" t="s">
        <v>21</v>
      </c>
      <c r="G5" s="5"/>
      <c r="H5" s="30"/>
      <c r="I5" s="2" t="s">
        <v>20</v>
      </c>
      <c r="J5" s="41"/>
      <c r="K5" s="5"/>
      <c r="L5" s="5"/>
      <c r="M5" s="5" t="s">
        <v>21</v>
      </c>
      <c r="N5" s="5"/>
      <c r="O5" s="30"/>
      <c r="P5" s="2" t="s">
        <v>20</v>
      </c>
      <c r="Q5" s="41"/>
      <c r="R5" s="5"/>
      <c r="S5" s="5"/>
      <c r="T5" s="5" t="s">
        <v>21</v>
      </c>
      <c r="U5" s="5"/>
      <c r="V5" s="30"/>
      <c r="W5" s="2" t="s">
        <v>20</v>
      </c>
      <c r="X5" s="41"/>
      <c r="Y5" s="5"/>
      <c r="Z5" s="5"/>
      <c r="AA5" s="5" t="s">
        <v>21</v>
      </c>
      <c r="AB5" s="5"/>
      <c r="AC5" s="30"/>
    </row>
    <row r="6" ht="15.75" customHeight="1">
      <c r="A6" s="42"/>
      <c r="B6" s="43"/>
      <c r="C6" s="44"/>
      <c r="D6" s="44"/>
      <c r="E6" s="45"/>
      <c r="F6" s="46" t="str">
        <f>IFERROR(__xludf.DUMMYFUNCTION("IFERROR(
$E6/
VLOOKUP(
IF(
 REGEXMATCH($B6,""(?i)agachamento""),""Agachamento"",
 IF(
  REGEXMATCH($B6,""(?i)supino""),""Supino"",
  IF(
   REGEXMATCH($B6,""(?i)terra""),""Terra"",
   IF(
    REGEXMATCH($B6,""(?i)desenvolvimento""),""Desenvolvimento"",
  "&amp;"  IF(
     REGEXMATCH($B6,""(?i)remada""),""Remada"",
     IF(REGEXMATCH($B6,""(?i)arranco""),""Arranco"",IF(REGEXMATCH($B6,""(?i)arremesso""),""Arremesso"",""""))
    )
   )
  )
 )
),
prs!$A$6:$D$12,
4,
FALSE
)
,"""")"),"")</f>
        <v/>
      </c>
      <c r="G6" s="46"/>
      <c r="H6" s="30"/>
      <c r="I6" s="43"/>
      <c r="J6" s="44"/>
      <c r="K6" s="44"/>
      <c r="L6" s="45"/>
      <c r="M6" s="46" t="str">
        <f>IFERROR(__xludf.DUMMYFUNCTION("IFERROR(
$L6/
VLOOKUP(
IF(
 REGEXMATCH($I6,""(?i)agachamento""),""Agachamento"",
 IF(
  REGEXMATCH($I6,""(?i)supino""),""Supino"",
  IF(
   REGEXMATCH($I6,""(?i)terra""),""Terra"",
   IF(
    REGEXMATCH($I6,""(?i)desenvolvimento""),""Desenvolvimento"",
  "&amp;"  IF(
     REGEXMATCH($I6,""(?i)remada""),""Remada"",
     IF(REGEXMATCH($I6,""(?i)arranco""),""Arranco"",IF(REGEXMATCH($I6,""(?i)arremesso""),""Arremesso"",""""))
    )
   )
  )
 )
),
prs!$A$6:$D$12,
4,
FALSE
)
,"""")"),"")</f>
        <v/>
      </c>
      <c r="N6" s="46"/>
      <c r="O6" s="42"/>
      <c r="P6" s="43"/>
      <c r="Q6" s="44"/>
      <c r="R6" s="44"/>
      <c r="S6" s="45"/>
      <c r="T6" s="46" t="str">
        <f>IFERROR(__xludf.DUMMYFUNCTION("IFERROR(
$S6/
VLOOKUP(
IF(
 REGEXMATCH($P6,""(?i)agachamento""),""Agachamento"",
 IF(
  REGEXMATCH($P6,""(?i)supino""),""Supino"",
  IF(
   REGEXMATCH($P6,""(?i)terra""),""Terra"",
   IF(
    REGEXMATCH($P6,""(?i)desenvolvimento""),""Desenvolvimento"",
  "&amp;"  IF(
     REGEXMATCH($P6,""(?i)remada""),""Remada"",
     IF(REGEXMATCH($P6,""(?i)arranco""),""Arranco"",IF(REGEXMATCH($P6,""(?i)arremesso""),""Arremesso"",""""))
    )
   )
  )
 )
),
prs!$A$6:$D$12,
4,
FALSE
)
,"""")"),"")</f>
        <v/>
      </c>
      <c r="U6" s="46"/>
      <c r="V6" s="42"/>
      <c r="W6" s="43"/>
      <c r="X6" s="44"/>
      <c r="Y6" s="44"/>
      <c r="Z6" s="45"/>
      <c r="AA6" s="46" t="str">
        <f>IFERROR(__xludf.DUMMYFUNCTION("IFERROR(
$Z6/
VLOOKUP(
IF(
 REGEXMATCH($W6,""(?i)agachamento""),""Agachamento"",
 IF(
  REGEXMATCH($W6,""(?i)supino""),""Supino"",
  IF(
   REGEXMATCH($W6,""(?i)terra""),""Terra"",
   IF(
    REGEXMATCH($W6,""(?i)desenvolvimento""),""Desenvolvimento"",
  "&amp;"  IF(
     REGEXMATCH($W6,""(?i)remada""),""Remada"",
     IF(REGEXMATCH($W6,""(?i)arranco""),""Arranco"",IF(REGEXMATCH($W6,""(?i)arremesso""),""Arremesso"",""""))
    )
   )
  )
 )
),
prs!$A$6:$D$12,
4,
FALSE
)
,"""")"),"")</f>
        <v/>
      </c>
      <c r="AB6" s="46"/>
      <c r="AC6" s="42"/>
    </row>
    <row r="7" ht="15.75" customHeight="1">
      <c r="A7" s="42"/>
      <c r="B7" s="43"/>
      <c r="C7" s="44"/>
      <c r="D7" s="44"/>
      <c r="E7" s="45"/>
      <c r="F7" s="46" t="str">
        <f>IFERROR(__xludf.DUMMYFUNCTION("IFERROR(
$E7/
VLOOKUP(
IF(
 REGEXMATCH($B7,""(?i)agachamento""),""Agachamento"",
 IF(
  REGEXMATCH($B7,""(?i)supino""),""Supino"",
  IF(
   REGEXMATCH($B7,""(?i)terra""),""Terra"",
   IF(
    REGEXMATCH($B7,""(?i)desenvolvimento""),""Desenvolvimento"",
  "&amp;"  IF(
     REGEXMATCH($B7,""(?i)remada""),""Remada"",
     IF(REGEXMATCH($B7,""(?i)arranco""),""Arranco"",IF(REGEXMATCH($B7,""(?i)arremesso""),""Arremesso"",""""))
    )
   )
  )
 )
),
prs!$A$6:$D$12,
4,
FALSE
)
,"""")"),"")</f>
        <v/>
      </c>
      <c r="G7" s="46"/>
      <c r="H7" s="30"/>
      <c r="I7" s="43"/>
      <c r="J7" s="44"/>
      <c r="K7" s="44"/>
      <c r="L7" s="45"/>
      <c r="M7" s="46" t="str">
        <f>IFERROR(__xludf.DUMMYFUNCTION("IFERROR(
$L7/
VLOOKUP(
IF(
 REGEXMATCH($I7,""(?i)agachamento""),""Agachamento"",
 IF(
  REGEXMATCH($I7,""(?i)supino""),""Supino"",
  IF(
   REGEXMATCH($I7,""(?i)terra""),""Terra"",
   IF(
    REGEXMATCH($I7,""(?i)desenvolvimento""),""Desenvolvimento"",
  "&amp;"  IF(
     REGEXMATCH($I7,""(?i)remada""),""Remada"",
     IF(REGEXMATCH($I7,""(?i)arranco""),""Arranco"",IF(REGEXMATCH($I7,""(?i)arremesso""),""Arremesso"",""""))
    )
   )
  )
 )
),
prs!$A$6:$D$12,
4,
FALSE
)
,"""")"),"")</f>
        <v/>
      </c>
      <c r="N7" s="46"/>
      <c r="O7" s="42"/>
      <c r="P7" s="43"/>
      <c r="Q7" s="44"/>
      <c r="R7" s="44"/>
      <c r="S7" s="45"/>
      <c r="T7" s="46" t="str">
        <f>IFERROR(__xludf.DUMMYFUNCTION("IFERROR(
$S7/
VLOOKUP(
IF(
 REGEXMATCH($P7,""(?i)agachamento""),""Agachamento"",
 IF(
  REGEXMATCH($P7,""(?i)supino""),""Supino"",
  IF(
   REGEXMATCH($P7,""(?i)terra""),""Terra"",
   IF(
    REGEXMATCH($P7,""(?i)desenvolvimento""),""Desenvolvimento"",
  "&amp;"  IF(
     REGEXMATCH($P7,""(?i)remada""),""Remada"",
     IF(REGEXMATCH($P7,""(?i)arranco""),""Arranco"",IF(REGEXMATCH($P7,""(?i)arremesso""),""Arremesso"",""""))
    )
   )
  )
 )
),
prs!$A$6:$D$12,
4,
FALSE
)
,"""")"),"")</f>
        <v/>
      </c>
      <c r="U7" s="46"/>
      <c r="V7" s="42"/>
      <c r="W7" s="43"/>
      <c r="X7" s="44"/>
      <c r="Y7" s="44"/>
      <c r="Z7" s="45"/>
      <c r="AA7" s="46" t="str">
        <f>IFERROR(__xludf.DUMMYFUNCTION("IFERROR(
$Z7/
VLOOKUP(
IF(
 REGEXMATCH($W7,""(?i)agachamento""),""Agachamento"",
 IF(
  REGEXMATCH($W7,""(?i)supino""),""Supino"",
  IF(
   REGEXMATCH($W7,""(?i)terra""),""Terra"",
   IF(
    REGEXMATCH($W7,""(?i)desenvolvimento""),""Desenvolvimento"",
  "&amp;"  IF(
     REGEXMATCH($W7,""(?i)remada""),""Remada"",
     IF(REGEXMATCH($W7,""(?i)arranco""),""Arranco"",IF(REGEXMATCH($W7,""(?i)arremesso""),""Arremesso"",""""))
    )
   )
  )
 )
),
prs!$A$6:$D$12,
4,
FALSE
)
,"""")"),"")</f>
        <v/>
      </c>
      <c r="AB7" s="46"/>
      <c r="AC7" s="42"/>
    </row>
    <row r="8" ht="15.75" customHeight="1">
      <c r="A8" s="42"/>
      <c r="B8" s="43"/>
      <c r="C8" s="44"/>
      <c r="D8" s="44"/>
      <c r="E8" s="45"/>
      <c r="F8" s="46" t="str">
        <f>IFERROR(__xludf.DUMMYFUNCTION("IFERROR(
$E8/
VLOOKUP(
IF(
 REGEXMATCH($B8,""(?i)agachamento""),""Agachamento"",
 IF(
  REGEXMATCH($B8,""(?i)supino""),""Supino"",
  IF(
   REGEXMATCH($B8,""(?i)terra""),""Terra"",
   IF(
    REGEXMATCH($B8,""(?i)desenvolvimento""),""Desenvolvimento"",
  "&amp;"  IF(
     REGEXMATCH($B8,""(?i)remada""),""Remada"",
     IF(REGEXMATCH($B8,""(?i)arranco""),""Arranco"",IF(REGEXMATCH($B8,""(?i)arremesso""),""Arremesso"",""""))
    )
   )
  )
 )
),
prs!$A$6:$D$12,
4,
FALSE
)
,"""")"),"")</f>
        <v/>
      </c>
      <c r="G8" s="46"/>
      <c r="H8" s="30"/>
      <c r="I8" s="43"/>
      <c r="J8" s="44"/>
      <c r="K8" s="44"/>
      <c r="L8" s="45"/>
      <c r="M8" s="46" t="str">
        <f>IFERROR(__xludf.DUMMYFUNCTION("IFERROR(
$L8/
VLOOKUP(
IF(
 REGEXMATCH($I8,""(?i)agachamento""),""Agachamento"",
 IF(
  REGEXMATCH($I8,""(?i)supino""),""Supino"",
  IF(
   REGEXMATCH($I8,""(?i)terra""),""Terra"",
   IF(
    REGEXMATCH($I8,""(?i)desenvolvimento""),""Desenvolvimento"",
  "&amp;"  IF(
     REGEXMATCH($I8,""(?i)remada""),""Remada"",
     IF(REGEXMATCH($I8,""(?i)arranco""),""Arranco"",IF(REGEXMATCH($I8,""(?i)arremesso""),""Arremesso"",""""))
    )
   )
  )
 )
),
prs!$A$6:$D$12,
4,
FALSE
)
,"""")"),"")</f>
        <v/>
      </c>
      <c r="N8" s="46"/>
      <c r="O8" s="42"/>
      <c r="P8" s="43"/>
      <c r="Q8" s="44"/>
      <c r="R8" s="44"/>
      <c r="S8" s="45"/>
      <c r="T8" s="46" t="str">
        <f>IFERROR(__xludf.DUMMYFUNCTION("IFERROR(
$S8/
VLOOKUP(
IF(
 REGEXMATCH($P8,""(?i)agachamento""),""Agachamento"",
 IF(
  REGEXMATCH($P8,""(?i)supino""),""Supino"",
  IF(
   REGEXMATCH($P8,""(?i)terra""),""Terra"",
   IF(
    REGEXMATCH($P8,""(?i)desenvolvimento""),""Desenvolvimento"",
  "&amp;"  IF(
     REGEXMATCH($P8,""(?i)remada""),""Remada"",
     IF(REGEXMATCH($P8,""(?i)arranco""),""Arranco"",IF(REGEXMATCH($P8,""(?i)arremesso""),""Arremesso"",""""))
    )
   )
  )
 )
),
prs!$A$6:$D$12,
4,
FALSE
)
,"""")"),"")</f>
        <v/>
      </c>
      <c r="U8" s="46"/>
      <c r="V8" s="42"/>
      <c r="W8" s="43"/>
      <c r="X8" s="44"/>
      <c r="Y8" s="44"/>
      <c r="Z8" s="45"/>
      <c r="AA8" s="46" t="str">
        <f>IFERROR(__xludf.DUMMYFUNCTION("IFERROR(
$Z8/
VLOOKUP(
IF(
 REGEXMATCH($W8,""(?i)agachamento""),""Agachamento"",
 IF(
  REGEXMATCH($W8,""(?i)supino""),""Supino"",
  IF(
   REGEXMATCH($W8,""(?i)terra""),""Terra"",
   IF(
    REGEXMATCH($W8,""(?i)desenvolvimento""),""Desenvolvimento"",
  "&amp;"  IF(
     REGEXMATCH($W8,""(?i)remada""),""Remada"",
     IF(REGEXMATCH($W8,""(?i)arranco""),""Arranco"",IF(REGEXMATCH($W8,""(?i)arremesso""),""Arremesso"",""""))
    )
   )
  )
 )
),
prs!$A$6:$D$12,
4,
FALSE
)
,"""")"),"")</f>
        <v/>
      </c>
      <c r="AB8" s="46"/>
      <c r="AC8" s="42"/>
    </row>
    <row r="9" ht="15.75" customHeight="1">
      <c r="A9" s="42"/>
      <c r="B9" s="43"/>
      <c r="C9" s="50"/>
      <c r="D9" s="50"/>
      <c r="E9" s="51"/>
      <c r="F9" s="46" t="str">
        <f>IFERROR(__xludf.DUMMYFUNCTION("IFERROR(
$E9/
VLOOKUP(
IF(
 REGEXMATCH($B9,""(?i)agachamento""),""Agachamento"",
 IF(
  REGEXMATCH($B9,""(?i)supino""),""Supino"",
  IF(
   REGEXMATCH($B9,""(?i)terra""),""Terra"",
   IF(
    REGEXMATCH($B9,""(?i)desenvolvimento""),""Desenvolvimento"",
  "&amp;"  IF(
     REGEXMATCH($B9,""(?i)remada""),""Remada"",
     IF(REGEXMATCH($B9,""(?i)arranco""),""Arranco"",IF(REGEXMATCH($B9,""(?i)arremesso""),""Arremesso"",""""))
    )
   )
  )
 )
),
prs!$A$6:$D$12,
4,
FALSE
)
,"""")"),"")</f>
        <v/>
      </c>
      <c r="G9" s="46"/>
      <c r="H9" s="30"/>
      <c r="I9" s="43"/>
      <c r="J9" s="50"/>
      <c r="K9" s="50"/>
      <c r="L9" s="51"/>
      <c r="M9" s="46" t="str">
        <f>IFERROR(__xludf.DUMMYFUNCTION("IFERROR(
$L9/
VLOOKUP(
IF(
 REGEXMATCH($I9,""(?i)agachamento""),""Agachamento"",
 IF(
  REGEXMATCH($I9,""(?i)supino""),""Supino"",
  IF(
   REGEXMATCH($I9,""(?i)terra""),""Terra"",
   IF(
    REGEXMATCH($I9,""(?i)desenvolvimento""),""Desenvolvimento"",
  "&amp;"  IF(
     REGEXMATCH($I9,""(?i)remada""),""Remada"",
     IF(REGEXMATCH($I9,""(?i)arranco""),""Arranco"",IF(REGEXMATCH($I9,""(?i)arremesso""),""Arremesso"",""""))
    )
   )
  )
 )
),
prs!$A$6:$D$12,
4,
FALSE
)
,"""")"),"")</f>
        <v/>
      </c>
      <c r="N9" s="46"/>
      <c r="O9" s="42"/>
      <c r="P9" s="43"/>
      <c r="Q9" s="50"/>
      <c r="R9" s="50"/>
      <c r="S9" s="51"/>
      <c r="T9" s="46" t="str">
        <f>IFERROR(__xludf.DUMMYFUNCTION("IFERROR(
$S9/
VLOOKUP(
IF(
 REGEXMATCH($P9,""(?i)agachamento""),""Agachamento"",
 IF(
  REGEXMATCH($P9,""(?i)supino""),""Supino"",
  IF(
   REGEXMATCH($P9,""(?i)terra""),""Terra"",
   IF(
    REGEXMATCH($P9,""(?i)desenvolvimento""),""Desenvolvimento"",
  "&amp;"  IF(
     REGEXMATCH($P9,""(?i)remada""),""Remada"",
     IF(REGEXMATCH($P9,""(?i)arranco""),""Arranco"",IF(REGEXMATCH($P9,""(?i)arremesso""),""Arremesso"",""""))
    )
   )
  )
 )
),
prs!$A$6:$D$12,
4,
FALSE
)
,"""")"),"")</f>
        <v/>
      </c>
      <c r="U9" s="46"/>
      <c r="V9" s="42"/>
      <c r="W9" s="43"/>
      <c r="X9" s="50"/>
      <c r="Y9" s="50"/>
      <c r="Z9" s="51"/>
      <c r="AA9" s="46" t="str">
        <f>IFERROR(__xludf.DUMMYFUNCTION("IFERROR(
$Z9/
VLOOKUP(
IF(
 REGEXMATCH($W9,""(?i)agachamento""),""Agachamento"",
 IF(
  REGEXMATCH($W9,""(?i)supino""),""Supino"",
  IF(
   REGEXMATCH($W9,""(?i)terra""),""Terra"",
   IF(
    REGEXMATCH($W9,""(?i)desenvolvimento""),""Desenvolvimento"",
  "&amp;"  IF(
     REGEXMATCH($W9,""(?i)remada""),""Remada"",
     IF(REGEXMATCH($W9,""(?i)arranco""),""Arranco"",IF(REGEXMATCH($W9,""(?i)arremesso""),""Arremesso"",""""))
    )
   )
  )
 )
),
prs!$A$6:$D$12,
4,
FALSE
)
,"""")"),"")</f>
        <v/>
      </c>
      <c r="AB9" s="46"/>
      <c r="AC9" s="42"/>
    </row>
    <row r="10" ht="15.75" customHeight="1">
      <c r="A10" s="42"/>
      <c r="B10" s="43"/>
      <c r="C10" s="50"/>
      <c r="D10" s="50"/>
      <c r="E10" s="51"/>
      <c r="F10" s="46" t="str">
        <f>IFERROR(__xludf.DUMMYFUNCTION("IFERROR(
$E10/
VLOOKUP(
IF(
 REGEXMATCH($B10,""(?i)agachamento""),""Agachamento"",
 IF(
  REGEXMATCH($B10,""(?i)supino""),""Supino"",
  IF(
   REGEXMATCH($B10,""(?i)terra""),""Terra"",
   IF(
    REGEXMATCH($B10,""(?i)desenvolvimento""),""Desenvolvimento"&amp;""",
    IF(
     REGEXMATCH($B10,""(?i)remada""),""Remada"",
     IF(REGEXMATCH($B10,""(?i)arranco""),""Arranco"",IF(REGEXMATCH($B10,""(?i)arremesso""),""Arremesso"",""""))
    )
   )
  )
 )
),
prs!$A$6:$D$12,
4,
FALSE
)
,"""")"),"")</f>
        <v/>
      </c>
      <c r="G10" s="46"/>
      <c r="H10" s="30"/>
      <c r="I10" s="43"/>
      <c r="J10" s="50"/>
      <c r="K10" s="50"/>
      <c r="L10" s="51"/>
      <c r="M10" s="46" t="str">
        <f>IFERROR(__xludf.DUMMYFUNCTION("IFERROR(
$L10/
VLOOKUP(
IF(
 REGEXMATCH($I10,""(?i)agachamento""),""Agachamento"",
 IF(
  REGEXMATCH($I10,""(?i)supino""),""Supino"",
  IF(
   REGEXMATCH($I10,""(?i)terra""),""Terra"",
   IF(
    REGEXMATCH($I10,""(?i)desenvolvimento""),""Desenvolvimento"&amp;""",
    IF(
     REGEXMATCH($I10,""(?i)remada""),""Remada"",
     IF(REGEXMATCH($I10,""(?i)arranco""),""Arranco"",IF(REGEXMATCH($I10,""(?i)arremesso""),""Arremesso"",""""))
    )
   )
  )
 )
),
prs!$A$6:$D$12,
4,
FALSE
)
,"""")"),"")</f>
        <v/>
      </c>
      <c r="N10" s="46"/>
      <c r="O10" s="42"/>
      <c r="P10" s="43"/>
      <c r="Q10" s="50"/>
      <c r="R10" s="50"/>
      <c r="S10" s="51"/>
      <c r="T10" s="46" t="str">
        <f>IFERROR(__xludf.DUMMYFUNCTION("IFERROR(
$S10/
VLOOKUP(
IF(
 REGEXMATCH($P10,""(?i)agachamento""),""Agachamento"",
 IF(
  REGEXMATCH($P10,""(?i)supino""),""Supino"",
  IF(
   REGEXMATCH($P10,""(?i)terra""),""Terra"",
   IF(
    REGEXMATCH($P10,""(?i)desenvolvimento""),""Desenvolvimento"&amp;""",
    IF(
     REGEXMATCH($P10,""(?i)remada""),""Remada"",
     IF(REGEXMATCH($P10,""(?i)arranco""),""Arranco"",IF(REGEXMATCH($P10,""(?i)arremesso""),""Arremesso"",""""))
    )
   )
  )
 )
),
prs!$A$6:$D$12,
4,
FALSE
)
,"""")"),"")</f>
        <v/>
      </c>
      <c r="U10" s="46"/>
      <c r="V10" s="42"/>
      <c r="W10" s="43"/>
      <c r="X10" s="50"/>
      <c r="Y10" s="50"/>
      <c r="Z10" s="51"/>
      <c r="AA10" s="46" t="str">
        <f>IFERROR(__xludf.DUMMYFUNCTION("IFERROR(
$Z10/
VLOOKUP(
IF(
 REGEXMATCH($W10,""(?i)agachamento""),""Agachamento"",
 IF(
  REGEXMATCH($W10,""(?i)supino""),""Supino"",
  IF(
   REGEXMATCH($W10,""(?i)terra""),""Terra"",
   IF(
    REGEXMATCH($W10,""(?i)desenvolvimento""),""Desenvolvimento"&amp;""",
    IF(
     REGEXMATCH($W10,""(?i)remada""),""Remada"",
     IF(REGEXMATCH($W10,""(?i)arranco""),""Arranco"",IF(REGEXMATCH($W10,""(?i)arremesso""),""Arremesso"",""""))
    )
   )
  )
 )
),
prs!$A$6:$D$12,
4,
FALSE
)
,"""")"),"")</f>
        <v/>
      </c>
      <c r="AB10" s="46"/>
      <c r="AC10" s="42"/>
    </row>
    <row r="11" ht="15.75" customHeight="1">
      <c r="A11" s="42"/>
      <c r="B11" s="43"/>
      <c r="C11" s="50"/>
      <c r="D11" s="50"/>
      <c r="E11" s="51"/>
      <c r="F11" s="46" t="str">
        <f>IFERROR(__xludf.DUMMYFUNCTION("IFERROR(
$E11/
VLOOKUP(
IF(
 REGEXMATCH($B11,""(?i)agachamento""),""Agachamento"",
 IF(
  REGEXMATCH($B11,""(?i)supino""),""Supino"",
  IF(
   REGEXMATCH($B11,""(?i)terra""),""Terra"",
   IF(
    REGEXMATCH($B11,""(?i)desenvolvimento""),""Desenvolvimento"&amp;""",
    IF(
     REGEXMATCH($B11,""(?i)remada""),""Remada"",
     IF(REGEXMATCH($B11,""(?i)arranco""),""Arranco"",IF(REGEXMATCH($B11,""(?i)arremesso""),""Arremesso"",""""))
    )
   )
  )
 )
),
prs!$A$6:$D$12,
4,
FALSE
)
,"""")"),"")</f>
        <v/>
      </c>
      <c r="G11" s="46"/>
      <c r="H11" s="30"/>
      <c r="I11" s="43"/>
      <c r="J11" s="50"/>
      <c r="K11" s="50"/>
      <c r="L11" s="51"/>
      <c r="M11" s="46" t="str">
        <f>IFERROR(__xludf.DUMMYFUNCTION("IFERROR(
$L11/
VLOOKUP(
IF(
 REGEXMATCH($I11,""(?i)agachamento""),""Agachamento"",
 IF(
  REGEXMATCH($I11,""(?i)supino""),""Supino"",
  IF(
   REGEXMATCH($I11,""(?i)terra""),""Terra"",
   IF(
    REGEXMATCH($I11,""(?i)desenvolvimento""),""Desenvolvimento"&amp;""",
    IF(
     REGEXMATCH($I11,""(?i)remada""),""Remada"",
     IF(REGEXMATCH($I11,""(?i)arranco""),""Arranco"",IF(REGEXMATCH($I11,""(?i)arremesso""),""Arremesso"",""""))
    )
   )
  )
 )
),
prs!$A$6:$D$12,
4,
FALSE
)
,"""")"),"")</f>
        <v/>
      </c>
      <c r="N11" s="46"/>
      <c r="O11" s="42"/>
      <c r="P11" s="43"/>
      <c r="Q11" s="50"/>
      <c r="R11" s="50"/>
      <c r="S11" s="51"/>
      <c r="T11" s="46" t="str">
        <f>IFERROR(__xludf.DUMMYFUNCTION("IFERROR(
$S11/
VLOOKUP(
IF(
 REGEXMATCH($P11,""(?i)agachamento""),""Agachamento"",
 IF(
  REGEXMATCH($P11,""(?i)supino""),""Supino"",
  IF(
   REGEXMATCH($P11,""(?i)terra""),""Terra"",
   IF(
    REGEXMATCH($P11,""(?i)desenvolvimento""),""Desenvolvimento"&amp;""",
    IF(
     REGEXMATCH($P11,""(?i)remada""),""Remada"",
     IF(REGEXMATCH($P11,""(?i)arranco""),""Arranco"",IF(REGEXMATCH($P11,""(?i)arremesso""),""Arremesso"",""""))
    )
   )
  )
 )
),
prs!$A$6:$D$12,
4,
FALSE
)
,"""")"),"")</f>
        <v/>
      </c>
      <c r="U11" s="46"/>
      <c r="V11" s="42"/>
      <c r="W11" s="43"/>
      <c r="X11" s="50"/>
      <c r="Y11" s="50"/>
      <c r="Z11" s="51"/>
      <c r="AA11" s="46" t="str">
        <f>IFERROR(__xludf.DUMMYFUNCTION("IFERROR(
$Z11/
VLOOKUP(
IF(
 REGEXMATCH($W11,""(?i)agachamento""),""Agachamento"",
 IF(
  REGEXMATCH($W11,""(?i)supino""),""Supino"",
  IF(
   REGEXMATCH($W11,""(?i)terra""),""Terra"",
   IF(
    REGEXMATCH($W11,""(?i)desenvolvimento""),""Desenvolvimento"&amp;""",
    IF(
     REGEXMATCH($W11,""(?i)remada""),""Remada"",
     IF(REGEXMATCH($W11,""(?i)arranco""),""Arranco"",IF(REGEXMATCH($W11,""(?i)arremesso""),""Arremesso"",""""))
    )
   )
  )
 )
),
prs!$A$6:$D$12,
4,
FALSE
)
,"""")"),"")</f>
        <v/>
      </c>
      <c r="AB11" s="46"/>
      <c r="AC11" s="42"/>
    </row>
    <row r="12" ht="15.75" customHeight="1">
      <c r="A12" s="42"/>
      <c r="B12" s="43"/>
      <c r="C12" s="50"/>
      <c r="D12" s="50"/>
      <c r="E12" s="51"/>
      <c r="F12" s="46" t="str">
        <f>IFERROR(__xludf.DUMMYFUNCTION("IFERROR(
$E12/
VLOOKUP(
IF(
 REGEXMATCH($B12,""(?i)agachamento""),""Agachamento"",
 IF(
  REGEXMATCH($B12,""(?i)supino""),""Supino"",
  IF(
   REGEXMATCH($B12,""(?i)terra""),""Terra"",
   IF(
    REGEXMATCH($B12,""(?i)desenvolvimento""),""Desenvolvimento"&amp;""",
    IF(
     REGEXMATCH($B12,""(?i)remada""),""Remada"",
     IF(REGEXMATCH($B12,""(?i)arranco""),""Arranco"",IF(REGEXMATCH($B12,""(?i)arremesso""),""Arremesso"",""""))
    )
   )
  )
 )
),
prs!$A$6:$D$12,
4,
FALSE
)
,"""")"),"")</f>
        <v/>
      </c>
      <c r="G12" s="46"/>
      <c r="H12" s="30"/>
      <c r="I12" s="43"/>
      <c r="J12" s="50"/>
      <c r="K12" s="50"/>
      <c r="L12" s="51"/>
      <c r="M12" s="46" t="str">
        <f>IFERROR(__xludf.DUMMYFUNCTION("IFERROR(
$L12/
VLOOKUP(
IF(
 REGEXMATCH($I12,""(?i)agachamento""),""Agachamento"",
 IF(
  REGEXMATCH($I12,""(?i)supino""),""Supino"",
  IF(
   REGEXMATCH($I12,""(?i)terra""),""Terra"",
   IF(
    REGEXMATCH($I12,""(?i)desenvolvimento""),""Desenvolvimento"&amp;""",
    IF(
     REGEXMATCH($I12,""(?i)remada""),""Remada"",
     IF(REGEXMATCH($I12,""(?i)arranco""),""Arranco"",IF(REGEXMATCH($I12,""(?i)arremesso""),""Arremesso"",""""))
    )
   )
  )
 )
),
prs!$A$6:$D$12,
4,
FALSE
)
,"""")"),"")</f>
        <v/>
      </c>
      <c r="N12" s="46"/>
      <c r="O12" s="42"/>
      <c r="P12" s="43"/>
      <c r="Q12" s="50"/>
      <c r="R12" s="50"/>
      <c r="S12" s="51"/>
      <c r="T12" s="46" t="str">
        <f>IFERROR(__xludf.DUMMYFUNCTION("IFERROR(
$S12/
VLOOKUP(
IF(
 REGEXMATCH($P12,""(?i)agachamento""),""Agachamento"",
 IF(
  REGEXMATCH($P12,""(?i)supino""),""Supino"",
  IF(
   REGEXMATCH($P12,""(?i)terra""),""Terra"",
   IF(
    REGEXMATCH($P12,""(?i)desenvolvimento""),""Desenvolvimento"&amp;""",
    IF(
     REGEXMATCH($P12,""(?i)remada""),""Remada"",
     IF(REGEXMATCH($P12,""(?i)arranco""),""Arranco"",IF(REGEXMATCH($P12,""(?i)arremesso""),""Arremesso"",""""))
    )
   )
  )
 )
),
prs!$A$6:$D$12,
4,
FALSE
)
,"""")"),"")</f>
        <v/>
      </c>
      <c r="U12" s="46"/>
      <c r="V12" s="42"/>
      <c r="W12" s="43"/>
      <c r="X12" s="50"/>
      <c r="Y12" s="50"/>
      <c r="Z12" s="51"/>
      <c r="AA12" s="46" t="str">
        <f>IFERROR(__xludf.DUMMYFUNCTION("IFERROR(
$Z12/
VLOOKUP(
IF(
 REGEXMATCH($W12,""(?i)agachamento""),""Agachamento"",
 IF(
  REGEXMATCH($W12,""(?i)supino""),""Supino"",
  IF(
   REGEXMATCH($W12,""(?i)terra""),""Terra"",
   IF(
    REGEXMATCH($W12,""(?i)desenvolvimento""),""Desenvolvimento"&amp;""",
    IF(
     REGEXMATCH($W12,""(?i)remada""),""Remada"",
     IF(REGEXMATCH($W12,""(?i)arranco""),""Arranco"",IF(REGEXMATCH($W12,""(?i)arremesso""),""Arremesso"",""""))
    )
   )
  )
 )
),
prs!$A$6:$D$12,
4,
FALSE
)
,"""")"),"")</f>
        <v/>
      </c>
      <c r="AB12" s="46"/>
      <c r="AC12" s="42"/>
    </row>
    <row r="13" ht="15.75" customHeight="1">
      <c r="A13" s="42"/>
      <c r="B13" s="43"/>
      <c r="C13" s="50"/>
      <c r="D13" s="50"/>
      <c r="E13" s="51"/>
      <c r="F13" s="46" t="str">
        <f>IFERROR(__xludf.DUMMYFUNCTION("IFERROR(
$E13/
VLOOKUP(
IF(
 REGEXMATCH($B13,""(?i)agachamento""),""Agachamento"",
 IF(
  REGEXMATCH($B13,""(?i)supino""),""Supino"",
  IF(
   REGEXMATCH($B13,""(?i)terra""),""Terra"",
   IF(
    REGEXMATCH($B13,""(?i)desenvolvimento""),""Desenvolvimento"&amp;""",
    IF(
     REGEXMATCH($B13,""(?i)remada""),""Remada"",
     IF(REGEXMATCH($B13,""(?i)arranco""),""Arranco"",IF(REGEXMATCH($B13,""(?i)arremesso""),""Arremesso"",""""))
    )
   )
  )
 )
),
prs!$A$6:$D$12,
4,
FALSE
)
,"""")"),"")</f>
        <v/>
      </c>
      <c r="G13" s="46"/>
      <c r="H13" s="30"/>
      <c r="I13" s="43"/>
      <c r="J13" s="50"/>
      <c r="K13" s="50"/>
      <c r="L13" s="51"/>
      <c r="M13" s="46" t="str">
        <f>IFERROR(__xludf.DUMMYFUNCTION("IFERROR(
$L13/
VLOOKUP(
IF(
 REGEXMATCH($I13,""(?i)agachamento""),""Agachamento"",
 IF(
  REGEXMATCH($I13,""(?i)supino""),""Supino"",
  IF(
   REGEXMATCH($I13,""(?i)terra""),""Terra"",
   IF(
    REGEXMATCH($I13,""(?i)desenvolvimento""),""Desenvolvimento"&amp;""",
    IF(
     REGEXMATCH($I13,""(?i)remada""),""Remada"",
     IF(REGEXMATCH($I13,""(?i)arranco""),""Arranco"",IF(REGEXMATCH($I13,""(?i)arremesso""),""Arremesso"",""""))
    )
   )
  )
 )
),
prs!$A$6:$D$12,
4,
FALSE
)
,"""")"),"")</f>
        <v/>
      </c>
      <c r="N13" s="46"/>
      <c r="O13" s="42"/>
      <c r="P13" s="43"/>
      <c r="Q13" s="50"/>
      <c r="R13" s="50"/>
      <c r="S13" s="51"/>
      <c r="T13" s="46" t="str">
        <f>IFERROR(__xludf.DUMMYFUNCTION("IFERROR(
$S13/
VLOOKUP(
IF(
 REGEXMATCH($P13,""(?i)agachamento""),""Agachamento"",
 IF(
  REGEXMATCH($P13,""(?i)supino""),""Supino"",
  IF(
   REGEXMATCH($P13,""(?i)terra""),""Terra"",
   IF(
    REGEXMATCH($P13,""(?i)desenvolvimento""),""Desenvolvimento"&amp;""",
    IF(
     REGEXMATCH($P13,""(?i)remada""),""Remada"",
     IF(REGEXMATCH($P13,""(?i)arranco""),""Arranco"",IF(REGEXMATCH($P13,""(?i)arremesso""),""Arremesso"",""""))
    )
   )
  )
 )
),
prs!$A$6:$D$12,
4,
FALSE
)
,"""")"),"")</f>
        <v/>
      </c>
      <c r="U13" s="46"/>
      <c r="V13" s="42"/>
      <c r="W13" s="43"/>
      <c r="X13" s="50"/>
      <c r="Y13" s="50"/>
      <c r="Z13" s="51"/>
      <c r="AA13" s="46" t="str">
        <f>IFERROR(__xludf.DUMMYFUNCTION("IFERROR(
$Z13/
VLOOKUP(
IF(
 REGEXMATCH($W13,""(?i)agachamento""),""Agachamento"",
 IF(
  REGEXMATCH($W13,""(?i)supino""),""Supino"",
  IF(
   REGEXMATCH($W13,""(?i)terra""),""Terra"",
   IF(
    REGEXMATCH($W13,""(?i)desenvolvimento""),""Desenvolvimento"&amp;""",
    IF(
     REGEXMATCH($W13,""(?i)remada""),""Remada"",
     IF(REGEXMATCH($W13,""(?i)arranco""),""Arranco"",IF(REGEXMATCH($W13,""(?i)arremesso""),""Arremesso"",""""))
    )
   )
  )
 )
),
prs!$A$6:$D$12,
4,
FALSE
)
,"""")"),"")</f>
        <v/>
      </c>
      <c r="AB13" s="46"/>
      <c r="AC13" s="42"/>
    </row>
    <row r="14" ht="15.75" customHeight="1">
      <c r="A14" s="42"/>
      <c r="B14" s="43"/>
      <c r="C14" s="50"/>
      <c r="D14" s="50"/>
      <c r="E14" s="51"/>
      <c r="F14" s="46" t="str">
        <f>IFERROR(__xludf.DUMMYFUNCTION("IFERROR(
$E14/
VLOOKUP(
IF(
 REGEXMATCH($B14,""(?i)agachamento""),""Agachamento"",
 IF(
  REGEXMATCH($B14,""(?i)supino""),""Supino"",
  IF(
   REGEXMATCH($B14,""(?i)terra""),""Terra"",
   IF(
    REGEXMATCH($B14,""(?i)desenvolvimento""),""Desenvolvimento"&amp;""",
    IF(
     REGEXMATCH($B14,""(?i)remada""),""Remada"",
     IF(REGEXMATCH($B14,""(?i)arranco""),""Arranco"",IF(REGEXMATCH($B14,""(?i)arremesso""),""Arremesso"",""""))
    )
   )
  )
 )
),
prs!$A$6:$D$12,
4,
FALSE
)
,"""")"),"")</f>
        <v/>
      </c>
      <c r="G14" s="46"/>
      <c r="H14" s="30"/>
      <c r="I14" s="43"/>
      <c r="J14" s="50"/>
      <c r="K14" s="50"/>
      <c r="L14" s="51"/>
      <c r="M14" s="46" t="str">
        <f>IFERROR(__xludf.DUMMYFUNCTION("IFERROR(
$L14/
VLOOKUP(
IF(
 REGEXMATCH($I14,""(?i)agachamento""),""Agachamento"",
 IF(
  REGEXMATCH($I14,""(?i)supino""),""Supino"",
  IF(
   REGEXMATCH($I14,""(?i)terra""),""Terra"",
   IF(
    REGEXMATCH($I14,""(?i)desenvolvimento""),""Desenvolvimento"&amp;""",
    IF(
     REGEXMATCH($I14,""(?i)remada""),""Remada"",
     IF(REGEXMATCH($I14,""(?i)arranco""),""Arranco"",IF(REGEXMATCH($I14,""(?i)arremesso""),""Arremesso"",""""))
    )
   )
  )
 )
),
prs!$A$6:$D$12,
4,
FALSE
)
,"""")"),"")</f>
        <v/>
      </c>
      <c r="N14" s="46"/>
      <c r="O14" s="42"/>
      <c r="P14" s="43"/>
      <c r="Q14" s="50"/>
      <c r="R14" s="50"/>
      <c r="S14" s="51"/>
      <c r="T14" s="46" t="str">
        <f>IFERROR(__xludf.DUMMYFUNCTION("IFERROR(
$S14/
VLOOKUP(
IF(
 REGEXMATCH($P14,""(?i)agachamento""),""Agachamento"",
 IF(
  REGEXMATCH($P14,""(?i)supino""),""Supino"",
  IF(
   REGEXMATCH($P14,""(?i)terra""),""Terra"",
   IF(
    REGEXMATCH($P14,""(?i)desenvolvimento""),""Desenvolvimento"&amp;""",
    IF(
     REGEXMATCH($P14,""(?i)remada""),""Remada"",
     IF(REGEXMATCH($P14,""(?i)arranco""),""Arranco"",IF(REGEXMATCH($P14,""(?i)arremesso""),""Arremesso"",""""))
    )
   )
  )
 )
),
prs!$A$6:$D$12,
4,
FALSE
)
,"""")"),"")</f>
        <v/>
      </c>
      <c r="U14" s="46"/>
      <c r="V14" s="42"/>
      <c r="W14" s="43"/>
      <c r="X14" s="50"/>
      <c r="Y14" s="50"/>
      <c r="Z14" s="51"/>
      <c r="AA14" s="46" t="str">
        <f>IFERROR(__xludf.DUMMYFUNCTION("IFERROR(
$Z14/
VLOOKUP(
IF(
 REGEXMATCH($W14,""(?i)agachamento""),""Agachamento"",
 IF(
  REGEXMATCH($W14,""(?i)supino""),""Supino"",
  IF(
   REGEXMATCH($W14,""(?i)terra""),""Terra"",
   IF(
    REGEXMATCH($W14,""(?i)desenvolvimento""),""Desenvolvimento"&amp;""",
    IF(
     REGEXMATCH($W14,""(?i)remada""),""Remada"",
     IF(REGEXMATCH($W14,""(?i)arranco""),""Arranco"",IF(REGEXMATCH($W14,""(?i)arremesso""),""Arremesso"",""""))
    )
   )
  )
 )
),
prs!$A$6:$D$12,
4,
FALSE
)
,"""")"),"")</f>
        <v/>
      </c>
      <c r="AB14" s="46"/>
      <c r="AC14" s="42"/>
    </row>
    <row r="15" ht="15.75" customHeight="1">
      <c r="A15" s="42"/>
      <c r="B15" s="43"/>
      <c r="C15" s="50"/>
      <c r="D15" s="50"/>
      <c r="E15" s="51"/>
      <c r="F15" s="46" t="str">
        <f>IFERROR(__xludf.DUMMYFUNCTION("IFERROR(
$E15/
VLOOKUP(
IF(
 REGEXMATCH($B15,""(?i)agachamento""),""Agachamento"",
 IF(
  REGEXMATCH($B15,""(?i)supino""),""Supino"",
  IF(
   REGEXMATCH($B15,""(?i)terra""),""Terra"",
   IF(
    REGEXMATCH($B15,""(?i)desenvolvimento""),""Desenvolvimento"&amp;""",
    IF(
     REGEXMATCH($B15,""(?i)remada""),""Remada"",
     IF(REGEXMATCH($B15,""(?i)arranco""),""Arranco"",IF(REGEXMATCH($B15,""(?i)arremesso""),""Arremesso"",""""))
    )
   )
  )
 )
),
prs!$A$6:$D$12,
4,
FALSE
)
,"""")"),"")</f>
        <v/>
      </c>
      <c r="G15" s="46"/>
      <c r="H15" s="30"/>
      <c r="I15" s="43"/>
      <c r="J15" s="50"/>
      <c r="K15" s="50"/>
      <c r="L15" s="51"/>
      <c r="M15" s="46" t="str">
        <f>IFERROR(__xludf.DUMMYFUNCTION("IFERROR(
$L15/
VLOOKUP(
IF(
 REGEXMATCH($I15,""(?i)agachamento""),""Agachamento"",
 IF(
  REGEXMATCH($I15,""(?i)supino""),""Supino"",
  IF(
   REGEXMATCH($I15,""(?i)terra""),""Terra"",
   IF(
    REGEXMATCH($I15,""(?i)desenvolvimento""),""Desenvolvimento"&amp;""",
    IF(
     REGEXMATCH($I15,""(?i)remada""),""Remada"",
     IF(REGEXMATCH($I15,""(?i)arranco""),""Arranco"",IF(REGEXMATCH($I15,""(?i)arremesso""),""Arremesso"",""""))
    )
   )
  )
 )
),
prs!$A$6:$D$12,
4,
FALSE
)
,"""")"),"")</f>
        <v/>
      </c>
      <c r="N15" s="46"/>
      <c r="O15" s="42"/>
      <c r="P15" s="43"/>
      <c r="Q15" s="50"/>
      <c r="R15" s="50"/>
      <c r="S15" s="51"/>
      <c r="T15" s="46" t="str">
        <f>IFERROR(__xludf.DUMMYFUNCTION("IFERROR(
$S15/
VLOOKUP(
IF(
 REGEXMATCH($P15,""(?i)agachamento""),""Agachamento"",
 IF(
  REGEXMATCH($P15,""(?i)supino""),""Supino"",
  IF(
   REGEXMATCH($P15,""(?i)terra""),""Terra"",
   IF(
    REGEXMATCH($P15,""(?i)desenvolvimento""),""Desenvolvimento"&amp;""",
    IF(
     REGEXMATCH($P15,""(?i)remada""),""Remada"",
     IF(REGEXMATCH($P15,""(?i)arranco""),""Arranco"",IF(REGEXMATCH($P15,""(?i)arremesso""),""Arremesso"",""""))
    )
   )
  )
 )
),
prs!$A$6:$D$12,
4,
FALSE
)
,"""")"),"")</f>
        <v/>
      </c>
      <c r="U15" s="46"/>
      <c r="V15" s="42"/>
      <c r="W15" s="43"/>
      <c r="X15" s="50"/>
      <c r="Y15" s="50"/>
      <c r="Z15" s="51"/>
      <c r="AA15" s="46" t="str">
        <f>IFERROR(__xludf.DUMMYFUNCTION("IFERROR(
$Z15/
VLOOKUP(
IF(
 REGEXMATCH($W15,""(?i)agachamento""),""Agachamento"",
 IF(
  REGEXMATCH($W15,""(?i)supino""),""Supino"",
  IF(
   REGEXMATCH($W15,""(?i)terra""),""Terra"",
   IF(
    REGEXMATCH($W15,""(?i)desenvolvimento""),""Desenvolvimento"&amp;""",
    IF(
     REGEXMATCH($W15,""(?i)remada""),""Remada"",
     IF(REGEXMATCH($W15,""(?i)arranco""),""Arranco"",IF(REGEXMATCH($W15,""(?i)arremesso""),""Arremesso"",""""))
    )
   )
  )
 )
),
prs!$A$6:$D$12,
4,
FALSE
)
,"""")"),"")</f>
        <v/>
      </c>
      <c r="AB15" s="46"/>
      <c r="AC15" s="42"/>
    </row>
    <row r="16" ht="15.75" customHeight="1">
      <c r="A16" s="29"/>
      <c r="B16" s="52"/>
      <c r="C16" s="31" t="s">
        <v>17</v>
      </c>
      <c r="H16" s="30"/>
      <c r="I16" s="52"/>
      <c r="J16" s="31" t="s">
        <v>23</v>
      </c>
      <c r="O16" s="30"/>
      <c r="P16" s="52"/>
      <c r="Q16" s="31" t="s">
        <v>24</v>
      </c>
      <c r="V16" s="30"/>
      <c r="W16" s="52"/>
      <c r="X16" s="31" t="s">
        <v>25</v>
      </c>
      <c r="AC16" s="30"/>
    </row>
    <row r="17" ht="15.75" customHeight="1">
      <c r="A17" s="48"/>
      <c r="B17" s="48"/>
      <c r="C17" s="48"/>
      <c r="D17" s="48"/>
      <c r="H17" s="48"/>
      <c r="I17" s="48"/>
      <c r="J17" s="48"/>
      <c r="K17" s="48"/>
      <c r="O17" s="48"/>
      <c r="P17" s="48"/>
      <c r="Q17" s="48"/>
      <c r="R17" s="48"/>
      <c r="V17" s="48"/>
      <c r="W17" s="48"/>
      <c r="X17" s="48"/>
      <c r="Y17" s="48"/>
      <c r="AC17" s="48"/>
    </row>
    <row r="18" ht="15.75" customHeight="1">
      <c r="A18" s="29" t="s">
        <v>22</v>
      </c>
      <c r="B18" s="23"/>
      <c r="C18" s="28"/>
      <c r="H18" s="30"/>
      <c r="I18" s="23"/>
      <c r="J18" s="4"/>
      <c r="O18" s="30"/>
      <c r="P18" s="23"/>
      <c r="Q18" s="28"/>
      <c r="V18" s="30"/>
      <c r="W18" s="23"/>
      <c r="X18" s="28"/>
      <c r="AC18" s="48"/>
    </row>
    <row r="19" ht="15.75" customHeight="1">
      <c r="A19" s="29"/>
      <c r="B19" s="52"/>
      <c r="C19" s="5" t="s">
        <v>13</v>
      </c>
      <c r="D19" s="5" t="s">
        <v>16</v>
      </c>
      <c r="E19" s="5" t="s">
        <v>15</v>
      </c>
      <c r="F19" s="5" t="s">
        <v>18</v>
      </c>
      <c r="G19" s="5" t="s">
        <v>11</v>
      </c>
      <c r="H19" s="30"/>
      <c r="I19" s="52"/>
      <c r="J19" s="5" t="s">
        <v>13</v>
      </c>
      <c r="K19" s="5" t="s">
        <v>16</v>
      </c>
      <c r="L19" s="5" t="s">
        <v>15</v>
      </c>
      <c r="M19" s="5" t="s">
        <v>18</v>
      </c>
      <c r="N19" s="5" t="s">
        <v>11</v>
      </c>
      <c r="O19" s="30"/>
      <c r="P19" s="52"/>
      <c r="Q19" s="5" t="s">
        <v>13</v>
      </c>
      <c r="R19" s="5" t="s">
        <v>16</v>
      </c>
      <c r="S19" s="5" t="s">
        <v>15</v>
      </c>
      <c r="T19" s="5" t="s">
        <v>18</v>
      </c>
      <c r="U19" s="5" t="s">
        <v>11</v>
      </c>
      <c r="V19" s="30"/>
      <c r="W19" s="52"/>
      <c r="X19" s="5" t="s">
        <v>13</v>
      </c>
      <c r="Y19" s="5" t="s">
        <v>16</v>
      </c>
      <c r="Z19" s="5" t="s">
        <v>15</v>
      </c>
      <c r="AA19" s="5" t="s">
        <v>18</v>
      </c>
      <c r="AB19" s="5" t="s">
        <v>11</v>
      </c>
      <c r="AC19" s="48"/>
    </row>
    <row r="20" ht="15.75" customHeight="1">
      <c r="A20" s="2"/>
      <c r="B20" s="2" t="s">
        <v>20</v>
      </c>
      <c r="C20" s="41"/>
      <c r="D20" s="5"/>
      <c r="E20" s="5"/>
      <c r="F20" s="5" t="s">
        <v>21</v>
      </c>
      <c r="G20" s="5"/>
      <c r="H20" s="30"/>
      <c r="I20" s="2" t="s">
        <v>20</v>
      </c>
      <c r="J20" s="41"/>
      <c r="K20" s="5"/>
      <c r="L20" s="5"/>
      <c r="M20" s="5" t="s">
        <v>21</v>
      </c>
      <c r="N20" s="5"/>
      <c r="O20" s="30"/>
      <c r="P20" s="2" t="s">
        <v>20</v>
      </c>
      <c r="Q20" s="41"/>
      <c r="R20" s="5"/>
      <c r="S20" s="5"/>
      <c r="T20" s="5" t="s">
        <v>21</v>
      </c>
      <c r="U20" s="5"/>
      <c r="V20" s="30"/>
      <c r="W20" s="2" t="s">
        <v>20</v>
      </c>
      <c r="X20" s="41"/>
      <c r="Y20" s="5"/>
      <c r="Z20" s="5"/>
      <c r="AA20" s="5" t="s">
        <v>21</v>
      </c>
      <c r="AB20" s="5"/>
      <c r="AC20" s="48"/>
    </row>
    <row r="21" ht="15.75" customHeight="1">
      <c r="A21" s="49"/>
      <c r="B21" s="43"/>
      <c r="C21" s="44"/>
      <c r="D21" s="44"/>
      <c r="E21" s="45"/>
      <c r="F21" s="46" t="str">
        <f>IFERROR(__xludf.DUMMYFUNCTION("IFERROR(
$E21/
VLOOKUP(
IF(
 REGEXMATCH($B21,""(?i)agachamento""),""Agachamento"",
 IF(
  REGEXMATCH($B21,""(?i)supino""),""Supino"",
  IF(
   REGEXMATCH($B21,""(?i)terra""),""Terra"",
   IF(
    REGEXMATCH($B21,""(?i)desenvolvimento""),""Desenvolvimento"&amp;""",
    IF(
     REGEXMATCH($B21,""(?i)remada""),""Remada"",
     IF(REGEXMATCH($B21,""(?i)arranco""),""Arranco"",IF(REGEXMATCH($B21,""(?i)arremesso""),""Arremesso"",""""))
    )
   )
  )
 )
),
prs!$A$6:$D$12,
4,
FALSE
)
,"""")"),"")</f>
        <v/>
      </c>
      <c r="G21" s="46"/>
      <c r="H21" s="48"/>
      <c r="I21" s="43"/>
      <c r="J21" s="44"/>
      <c r="K21" s="44"/>
      <c r="L21" s="45"/>
      <c r="M21" s="46" t="str">
        <f>IFERROR(__xludf.DUMMYFUNCTION("IFERROR(
$L21/
VLOOKUP(
IF(
 REGEXMATCH($I21,""(?i)agachamento""),""Agachamento"",
 IF(
  REGEXMATCH($I21,""(?i)supino""),""Supino"",
  IF(
   REGEXMATCH($I21,""(?i)terra""),""Terra"",
   IF(
    REGEXMATCH($I21,""(?i)desenvolvimento""),""Desenvolvimento"&amp;""",
    IF(
     REGEXMATCH($I21,""(?i)remada""),""Remada"",
     IF(REGEXMATCH($I21,""(?i)arranco""),""Arranco"",IF(REGEXMATCH($I21,""(?i)arremesso""),""Arremesso"",""""))
    )
   )
  )
 )
),
prs!$A$6:$D$12,
4,
FALSE
)
,"""")"),"")</f>
        <v/>
      </c>
      <c r="N21" s="46"/>
      <c r="O21" s="49"/>
      <c r="P21" s="43"/>
      <c r="Q21" s="44"/>
      <c r="R21" s="44"/>
      <c r="S21" s="45"/>
      <c r="T21" s="46" t="str">
        <f>IFERROR(__xludf.DUMMYFUNCTION("IFERROR(
$S21/
VLOOKUP(
IF(
 REGEXMATCH($P21,""(?i)agachamento""),""Agachamento"",
 IF(
  REGEXMATCH($P21,""(?i)supino""),""Supino"",
  IF(
   REGEXMATCH($P21,""(?i)terra""),""Terra"",
   IF(
    REGEXMATCH($P21,""(?i)desenvolvimento""),""Desenvolvimento"&amp;""",
    IF(
     REGEXMATCH($P21,""(?i)remada""),""Remada"",
     IF(REGEXMATCH($P21,""(?i)arranco""),""Arranco"",IF(REGEXMATCH($P21,""(?i)arremesso""),""Arremesso"",""""))
    )
   )
  )
 )
),
prs!$A$6:$D$12,
4,
FALSE
)
,"""")"),"")</f>
        <v/>
      </c>
      <c r="U21" s="46"/>
      <c r="V21" s="49"/>
      <c r="W21" s="43"/>
      <c r="X21" s="44"/>
      <c r="Y21" s="44"/>
      <c r="Z21" s="45"/>
      <c r="AA21" s="46" t="str">
        <f>IFERROR(__xludf.DUMMYFUNCTION("IFERROR(
$Z21/
VLOOKUP(
IF(
 REGEXMATCH($W21,""(?i)agachamento""),""Agachamento"",
 IF(
  REGEXMATCH($W21,""(?i)supino""),""Supino"",
  IF(
   REGEXMATCH($W21,""(?i)terra""),""Terra"",
   IF(
    REGEXMATCH($W21,""(?i)desenvolvimento""),""Desenvolvimento"&amp;""",
    IF(
     REGEXMATCH($W21,""(?i)remada""),""Remada"",
     IF(REGEXMATCH($W21,""(?i)arranco""),""Arranco"",IF(REGEXMATCH($W21,""(?i)arremesso""),""Arremesso"",""""))
    )
   )
  )
 )
),
prs!$A$6:$D$12,
4,
FALSE
)
,"""")"),"")</f>
        <v/>
      </c>
      <c r="AB21" s="46"/>
      <c r="AC21" s="49"/>
    </row>
    <row r="22" ht="15.75" customHeight="1">
      <c r="A22" s="49"/>
      <c r="B22" s="53"/>
      <c r="C22" s="44"/>
      <c r="D22" s="44"/>
      <c r="E22" s="45"/>
      <c r="F22" s="46" t="str">
        <f>IFERROR(__xludf.DUMMYFUNCTION("IFERROR(
$E22/
VLOOKUP(
IF(
 REGEXMATCH($B22,""(?i)agachamento""),""Agachamento"",
 IF(
  REGEXMATCH($B22,""(?i)supino""),""Supino"",
  IF(
   REGEXMATCH($B22,""(?i)terra""),""Terra"",
   IF(
    REGEXMATCH($B22,""(?i)desenvolvimento""),""Desenvolvimento"&amp;""",
    IF(
     REGEXMATCH($B22,""(?i)remada""),""Remada"",
     IF(REGEXMATCH($B22,""(?i)arranco""),""Arranco"",IF(REGEXMATCH($B22,""(?i)arremesso""),""Arremesso"",""""))
    )
   )
  )
 )
),
prs!$A$6:$D$12,
4,
FALSE
)
,"""")"),"")</f>
        <v/>
      </c>
      <c r="G22" s="46"/>
      <c r="H22" s="48"/>
      <c r="I22" s="53"/>
      <c r="J22" s="44"/>
      <c r="K22" s="44"/>
      <c r="L22" s="45"/>
      <c r="M22" s="46" t="str">
        <f>IFERROR(__xludf.DUMMYFUNCTION("IFERROR(
$L22/
VLOOKUP(
IF(
 REGEXMATCH($I22,""(?i)agachamento""),""Agachamento"",
 IF(
  REGEXMATCH($I22,""(?i)supino""),""Supino"",
  IF(
   REGEXMATCH($I22,""(?i)terra""),""Terra"",
   IF(
    REGEXMATCH($I22,""(?i)desenvolvimento""),""Desenvolvimento"&amp;""",
    IF(
     REGEXMATCH($I22,""(?i)remada""),""Remada"",
     IF(REGEXMATCH($I22,""(?i)arranco""),""Arranco"",IF(REGEXMATCH($I22,""(?i)arremesso""),""Arremesso"",""""))
    )
   )
  )
 )
),
prs!$A$6:$D$12,
4,
FALSE
)
,"""")"),"")</f>
        <v/>
      </c>
      <c r="N22" s="46"/>
      <c r="O22" s="49"/>
      <c r="P22" s="53"/>
      <c r="Q22" s="44"/>
      <c r="R22" s="44"/>
      <c r="S22" s="45"/>
      <c r="T22" s="46" t="str">
        <f>IFERROR(__xludf.DUMMYFUNCTION("IFERROR(
$S22/
VLOOKUP(
IF(
 REGEXMATCH($P22,""(?i)agachamento""),""Agachamento"",
 IF(
  REGEXMATCH($P22,""(?i)supino""),""Supino"",
  IF(
   REGEXMATCH($P22,""(?i)terra""),""Terra"",
   IF(
    REGEXMATCH($P22,""(?i)desenvolvimento""),""Desenvolvimento"&amp;""",
    IF(
     REGEXMATCH($P22,""(?i)remada""),""Remada"",
     IF(REGEXMATCH($P22,""(?i)arranco""),""Arranco"",IF(REGEXMATCH($P22,""(?i)arremesso""),""Arremesso"",""""))
    )
   )
  )
 )
),
prs!$A$6:$D$12,
4,
FALSE
)
,"""")"),"")</f>
        <v/>
      </c>
      <c r="U22" s="46"/>
      <c r="V22" s="49"/>
      <c r="W22" s="53"/>
      <c r="X22" s="44"/>
      <c r="Y22" s="44"/>
      <c r="Z22" s="45"/>
      <c r="AA22" s="46" t="str">
        <f>IFERROR(__xludf.DUMMYFUNCTION("IFERROR(
$Z22/
VLOOKUP(
IF(
 REGEXMATCH($W22,""(?i)agachamento""),""Agachamento"",
 IF(
  REGEXMATCH($W22,""(?i)supino""),""Supino"",
  IF(
   REGEXMATCH($W22,""(?i)terra""),""Terra"",
   IF(
    REGEXMATCH($W22,""(?i)desenvolvimento""),""Desenvolvimento"&amp;""",
    IF(
     REGEXMATCH($W22,""(?i)remada""),""Remada"",
     IF(REGEXMATCH($W22,""(?i)arranco""),""Arranco"",IF(REGEXMATCH($W22,""(?i)arremesso""),""Arremesso"",""""))
    )
   )
  )
 )
),
prs!$A$6:$D$12,
4,
FALSE
)
,"""")"),"")</f>
        <v/>
      </c>
      <c r="AB22" s="46"/>
      <c r="AC22" s="49"/>
    </row>
    <row r="23" ht="15.75" customHeight="1">
      <c r="A23" s="49"/>
      <c r="B23" s="53"/>
      <c r="C23" s="44"/>
      <c r="D23" s="44"/>
      <c r="E23" s="45"/>
      <c r="F23" s="46" t="str">
        <f>IFERROR(__xludf.DUMMYFUNCTION("IFERROR(
$E23/
VLOOKUP(
IF(
 REGEXMATCH($B23,""(?i)agachamento""),""Agachamento"",
 IF(
  REGEXMATCH($B23,""(?i)supino""),""Supino"",
  IF(
   REGEXMATCH($B23,""(?i)terra""),""Terra"",
   IF(
    REGEXMATCH($B23,""(?i)desenvolvimento""),""Desenvolvimento"&amp;""",
    IF(
     REGEXMATCH($B23,""(?i)remada""),""Remada"",
     IF(REGEXMATCH($B23,""(?i)arranco""),""Arranco"",IF(REGEXMATCH($B23,""(?i)arremesso""),""Arremesso"",""""))
    )
   )
  )
 )
),
prs!$A$6:$D$12,
4,
FALSE
)
,"""")"),"")</f>
        <v/>
      </c>
      <c r="G23" s="46"/>
      <c r="H23" s="48"/>
      <c r="I23" s="53"/>
      <c r="J23" s="44"/>
      <c r="K23" s="44"/>
      <c r="L23" s="45"/>
      <c r="M23" s="46" t="str">
        <f>IFERROR(__xludf.DUMMYFUNCTION("IFERROR(
$L23/
VLOOKUP(
IF(
 REGEXMATCH($I23,""(?i)agachamento""),""Agachamento"",
 IF(
  REGEXMATCH($I23,""(?i)supino""),""Supino"",
  IF(
   REGEXMATCH($I23,""(?i)terra""),""Terra"",
   IF(
    REGEXMATCH($I23,""(?i)desenvolvimento""),""Desenvolvimento"&amp;""",
    IF(
     REGEXMATCH($I23,""(?i)remada""),""Remada"",
     IF(REGEXMATCH($I23,""(?i)arranco""),""Arranco"",IF(REGEXMATCH($I23,""(?i)arremesso""),""Arremesso"",""""))
    )
   )
  )
 )
),
prs!$A$6:$D$12,
4,
FALSE
)
,"""")"),"")</f>
        <v/>
      </c>
      <c r="N23" s="46"/>
      <c r="O23" s="49"/>
      <c r="P23" s="53"/>
      <c r="Q23" s="44"/>
      <c r="R23" s="44"/>
      <c r="S23" s="45"/>
      <c r="T23" s="46" t="str">
        <f>IFERROR(__xludf.DUMMYFUNCTION("IFERROR(
$S23/
VLOOKUP(
IF(
 REGEXMATCH($P23,""(?i)agachamento""),""Agachamento"",
 IF(
  REGEXMATCH($P23,""(?i)supino""),""Supino"",
  IF(
   REGEXMATCH($P23,""(?i)terra""),""Terra"",
   IF(
    REGEXMATCH($P23,""(?i)desenvolvimento""),""Desenvolvimento"&amp;""",
    IF(
     REGEXMATCH($P23,""(?i)remada""),""Remada"",
     IF(REGEXMATCH($P23,""(?i)arranco""),""Arranco"",IF(REGEXMATCH($P23,""(?i)arremesso""),""Arremesso"",""""))
    )
   )
  )
 )
),
prs!$A$6:$D$12,
4,
FALSE
)
,"""")"),"")</f>
        <v/>
      </c>
      <c r="U23" s="46"/>
      <c r="V23" s="49"/>
      <c r="W23" s="53"/>
      <c r="X23" s="44"/>
      <c r="Y23" s="44"/>
      <c r="Z23" s="45"/>
      <c r="AA23" s="46" t="str">
        <f>IFERROR(__xludf.DUMMYFUNCTION("IFERROR(
$Z23/
VLOOKUP(
IF(
 REGEXMATCH($W23,""(?i)agachamento""),""Agachamento"",
 IF(
  REGEXMATCH($W23,""(?i)supino""),""Supino"",
  IF(
   REGEXMATCH($W23,""(?i)terra""),""Terra"",
   IF(
    REGEXMATCH($W23,""(?i)desenvolvimento""),""Desenvolvimento"&amp;""",
    IF(
     REGEXMATCH($W23,""(?i)remada""),""Remada"",
     IF(REGEXMATCH($W23,""(?i)arranco""),""Arranco"",IF(REGEXMATCH($W23,""(?i)arremesso""),""Arremesso"",""""))
    )
   )
  )
 )
),
prs!$A$6:$D$12,
4,
FALSE
)
,"""")"),"")</f>
        <v/>
      </c>
      <c r="AB23" s="46"/>
      <c r="AC23" s="49"/>
    </row>
    <row r="24" ht="15.75" customHeight="1">
      <c r="A24" s="49"/>
      <c r="B24" s="53"/>
      <c r="C24" s="50"/>
      <c r="D24" s="50"/>
      <c r="E24" s="51"/>
      <c r="F24" s="46" t="str">
        <f>IFERROR(__xludf.DUMMYFUNCTION("IFERROR(
$E24/
VLOOKUP(
IF(
 REGEXMATCH($B24,""(?i)agachamento""),""Agachamento"",
 IF(
  REGEXMATCH($B24,""(?i)supino""),""Supino"",
  IF(
   REGEXMATCH($B24,""(?i)terra""),""Terra"",
   IF(
    REGEXMATCH($B24,""(?i)desenvolvimento""),""Desenvolvimento"&amp;""",
    IF(
     REGEXMATCH($B24,""(?i)remada""),""Remada"",
     IF(REGEXMATCH($B24,""(?i)arranco""),""Arranco"",IF(REGEXMATCH($B24,""(?i)arremesso""),""Arremesso"",""""))
    )
   )
  )
 )
),
prs!$A$6:$D$12,
4,
FALSE
)
,"""")"),"")</f>
        <v/>
      </c>
      <c r="G24" s="46"/>
      <c r="H24" s="48"/>
      <c r="I24" s="53"/>
      <c r="J24" s="50"/>
      <c r="K24" s="50"/>
      <c r="L24" s="51"/>
      <c r="M24" s="46" t="str">
        <f>IFERROR(__xludf.DUMMYFUNCTION("IFERROR(
$L24/
VLOOKUP(
IF(
 REGEXMATCH($I24,""(?i)agachamento""),""Agachamento"",
 IF(
  REGEXMATCH($I24,""(?i)supino""),""Supino"",
  IF(
   REGEXMATCH($I24,""(?i)terra""),""Terra"",
   IF(
    REGEXMATCH($I24,""(?i)desenvolvimento""),""Desenvolvimento"&amp;""",
    IF(
     REGEXMATCH($I24,""(?i)remada""),""Remada"",
     IF(REGEXMATCH($I24,""(?i)arranco""),""Arranco"",IF(REGEXMATCH($I24,""(?i)arremesso""),""Arremesso"",""""))
    )
   )
  )
 )
),
prs!$A$6:$D$12,
4,
FALSE
)
,"""")"),"")</f>
        <v/>
      </c>
      <c r="N24" s="46"/>
      <c r="O24" s="49"/>
      <c r="P24" s="53"/>
      <c r="Q24" s="50"/>
      <c r="R24" s="50"/>
      <c r="S24" s="51"/>
      <c r="T24" s="46" t="str">
        <f>IFERROR(__xludf.DUMMYFUNCTION("IFERROR(
$S24/
VLOOKUP(
IF(
 REGEXMATCH($P24,""(?i)agachamento""),""Agachamento"",
 IF(
  REGEXMATCH($P24,""(?i)supino""),""Supino"",
  IF(
   REGEXMATCH($P24,""(?i)terra""),""Terra"",
   IF(
    REGEXMATCH($P24,""(?i)desenvolvimento""),""Desenvolvimento"&amp;""",
    IF(
     REGEXMATCH($P24,""(?i)remada""),""Remada"",
     IF(REGEXMATCH($P24,""(?i)arranco""),""Arranco"",IF(REGEXMATCH($P24,""(?i)arremesso""),""Arremesso"",""""))
    )
   )
  )
 )
),
prs!$A$6:$D$12,
4,
FALSE
)
,"""")"),"")</f>
        <v/>
      </c>
      <c r="U24" s="46"/>
      <c r="V24" s="49"/>
      <c r="W24" s="53"/>
      <c r="X24" s="50"/>
      <c r="Y24" s="50"/>
      <c r="Z24" s="51"/>
      <c r="AA24" s="46" t="str">
        <f>IFERROR(__xludf.DUMMYFUNCTION("IFERROR(
$Z24/
VLOOKUP(
IF(
 REGEXMATCH($W24,""(?i)agachamento""),""Agachamento"",
 IF(
  REGEXMATCH($W24,""(?i)supino""),""Supino"",
  IF(
   REGEXMATCH($W24,""(?i)terra""),""Terra"",
   IF(
    REGEXMATCH($W24,""(?i)desenvolvimento""),""Desenvolvimento"&amp;""",
    IF(
     REGEXMATCH($W24,""(?i)remada""),""Remada"",
     IF(REGEXMATCH($W24,""(?i)arranco""),""Arranco"",IF(REGEXMATCH($W24,""(?i)arremesso""),""Arremesso"",""""))
    )
   )
  )
 )
),
prs!$A$6:$D$12,
4,
FALSE
)
,"""")"),"")</f>
        <v/>
      </c>
      <c r="AB24" s="46"/>
      <c r="AC24" s="49"/>
    </row>
    <row r="25" ht="15.75" customHeight="1">
      <c r="A25" s="49"/>
      <c r="B25" s="53"/>
      <c r="C25" s="50"/>
      <c r="D25" s="50"/>
      <c r="E25" s="51"/>
      <c r="F25" s="46" t="str">
        <f>IFERROR(__xludf.DUMMYFUNCTION("IFERROR(
$E25/
VLOOKUP(
IF(
 REGEXMATCH($B25,""(?i)agachamento""),""Agachamento"",
 IF(
  REGEXMATCH($B25,""(?i)supino""),""Supino"",
  IF(
   REGEXMATCH($B25,""(?i)terra""),""Terra"",
   IF(
    REGEXMATCH($B25,""(?i)desenvolvimento""),""Desenvolvimento"&amp;""",
    IF(
     REGEXMATCH($B25,""(?i)remada""),""Remada"",
     IF(REGEXMATCH($B25,""(?i)arranco""),""Arranco"",IF(REGEXMATCH($B25,""(?i)arremesso""),""Arremesso"",""""))
    )
   )
  )
 )
),
prs!$A$6:$D$12,
4,
FALSE
)
,"""")"),"")</f>
        <v/>
      </c>
      <c r="G25" s="46"/>
      <c r="H25" s="48"/>
      <c r="I25" s="53"/>
      <c r="J25" s="50"/>
      <c r="K25" s="50"/>
      <c r="L25" s="51"/>
      <c r="M25" s="46" t="str">
        <f>IFERROR(__xludf.DUMMYFUNCTION("IFERROR(
$L25/
VLOOKUP(
IF(
 REGEXMATCH($I25,""(?i)agachamento""),""Agachamento"",
 IF(
  REGEXMATCH($I25,""(?i)supino""),""Supino"",
  IF(
   REGEXMATCH($I25,""(?i)terra""),""Terra"",
   IF(
    REGEXMATCH($I25,""(?i)desenvolvimento""),""Desenvolvimento"&amp;""",
    IF(
     REGEXMATCH($I25,""(?i)remada""),""Remada"",
     IF(REGEXMATCH($I25,""(?i)arranco""),""Arranco"",IF(REGEXMATCH($I25,""(?i)arremesso""),""Arremesso"",""""))
    )
   )
  )
 )
),
prs!$A$6:$D$12,
4,
FALSE
)
,"""")"),"")</f>
        <v/>
      </c>
      <c r="N25" s="46"/>
      <c r="O25" s="49"/>
      <c r="P25" s="53"/>
      <c r="Q25" s="50"/>
      <c r="R25" s="50"/>
      <c r="S25" s="51"/>
      <c r="T25" s="46" t="str">
        <f>IFERROR(__xludf.DUMMYFUNCTION("IFERROR(
$S25/
VLOOKUP(
IF(
 REGEXMATCH($P25,""(?i)agachamento""),""Agachamento"",
 IF(
  REGEXMATCH($P25,""(?i)supino""),""Supino"",
  IF(
   REGEXMATCH($P25,""(?i)terra""),""Terra"",
   IF(
    REGEXMATCH($P25,""(?i)desenvolvimento""),""Desenvolvimento"&amp;""",
    IF(
     REGEXMATCH($P25,""(?i)remada""),""Remada"",
     IF(REGEXMATCH($P25,""(?i)arranco""),""Arranco"",IF(REGEXMATCH($P25,""(?i)arremesso""),""Arremesso"",""""))
    )
   )
  )
 )
),
prs!$A$6:$D$12,
4,
FALSE
)
,"""")"),"")</f>
        <v/>
      </c>
      <c r="U25" s="46"/>
      <c r="V25" s="49"/>
      <c r="W25" s="53"/>
      <c r="X25" s="50"/>
      <c r="Y25" s="50"/>
      <c r="Z25" s="51"/>
      <c r="AA25" s="46" t="str">
        <f>IFERROR(__xludf.DUMMYFUNCTION("IFERROR(
$Z25/
VLOOKUP(
IF(
 REGEXMATCH($W25,""(?i)agachamento""),""Agachamento"",
 IF(
  REGEXMATCH($W25,""(?i)supino""),""Supino"",
  IF(
   REGEXMATCH($W25,""(?i)terra""),""Terra"",
   IF(
    REGEXMATCH($W25,""(?i)desenvolvimento""),""Desenvolvimento"&amp;""",
    IF(
     REGEXMATCH($W25,""(?i)remada""),""Remada"",
     IF(REGEXMATCH($W25,""(?i)arranco""),""Arranco"",IF(REGEXMATCH($W25,""(?i)arremesso""),""Arremesso"",""""))
    )
   )
  )
 )
),
prs!$A$6:$D$12,
4,
FALSE
)
,"""")"),"")</f>
        <v/>
      </c>
      <c r="AB25" s="46"/>
      <c r="AC25" s="49"/>
    </row>
    <row r="26" ht="15.75" customHeight="1">
      <c r="A26" s="49"/>
      <c r="B26" s="53"/>
      <c r="C26" s="50"/>
      <c r="D26" s="50"/>
      <c r="E26" s="51"/>
      <c r="F26" s="46" t="str">
        <f>IFERROR(__xludf.DUMMYFUNCTION("IFERROR(
$E26/
VLOOKUP(
IF(
 REGEXMATCH($B26,""(?i)agachamento""),""Agachamento"",
 IF(
  REGEXMATCH($B26,""(?i)supino""),""Supino"",
  IF(
   REGEXMATCH($B26,""(?i)terra""),""Terra"",
   IF(
    REGEXMATCH($B26,""(?i)desenvolvimento""),""Desenvolvimento"&amp;""",
    IF(
     REGEXMATCH($B26,""(?i)remada""),""Remada"",
     IF(REGEXMATCH($B26,""(?i)arranco""),""Arranco"",IF(REGEXMATCH($B26,""(?i)arremesso""),""Arremesso"",""""))
    )
   )
  )
 )
),
prs!$A$6:$D$12,
4,
FALSE
)
,"""")"),"")</f>
        <v/>
      </c>
      <c r="G26" s="46"/>
      <c r="H26" s="48"/>
      <c r="I26" s="53"/>
      <c r="J26" s="50"/>
      <c r="K26" s="50"/>
      <c r="L26" s="51"/>
      <c r="M26" s="46" t="str">
        <f>IFERROR(__xludf.DUMMYFUNCTION("IFERROR(
$L26/
VLOOKUP(
IF(
 REGEXMATCH($I26,""(?i)agachamento""),""Agachamento"",
 IF(
  REGEXMATCH($I26,""(?i)supino""),""Supino"",
  IF(
   REGEXMATCH($I26,""(?i)terra""),""Terra"",
   IF(
    REGEXMATCH($I26,""(?i)desenvolvimento""),""Desenvolvimento"&amp;""",
    IF(
     REGEXMATCH($I26,""(?i)remada""),""Remada"",
     IF(REGEXMATCH($I26,""(?i)arranco""),""Arranco"",IF(REGEXMATCH($I26,""(?i)arremesso""),""Arremesso"",""""))
    )
   )
  )
 )
),
prs!$A$6:$D$12,
4,
FALSE
)
,"""")"),"")</f>
        <v/>
      </c>
      <c r="N26" s="46"/>
      <c r="O26" s="49"/>
      <c r="P26" s="53"/>
      <c r="Q26" s="50"/>
      <c r="R26" s="50"/>
      <c r="S26" s="51"/>
      <c r="T26" s="46" t="str">
        <f>IFERROR(__xludf.DUMMYFUNCTION("IFERROR(
$S26/
VLOOKUP(
IF(
 REGEXMATCH($P26,""(?i)agachamento""),""Agachamento"",
 IF(
  REGEXMATCH($P26,""(?i)supino""),""Supino"",
  IF(
   REGEXMATCH($P26,""(?i)terra""),""Terra"",
   IF(
    REGEXMATCH($P26,""(?i)desenvolvimento""),""Desenvolvimento"&amp;""",
    IF(
     REGEXMATCH($P26,""(?i)remada""),""Remada"",
     IF(REGEXMATCH($P26,""(?i)arranco""),""Arranco"",IF(REGEXMATCH($P26,""(?i)arremesso""),""Arremesso"",""""))
    )
   )
  )
 )
),
prs!$A$6:$D$12,
4,
FALSE
)
,"""")"),"")</f>
        <v/>
      </c>
      <c r="U26" s="46"/>
      <c r="V26" s="49"/>
      <c r="W26" s="53"/>
      <c r="X26" s="50"/>
      <c r="Y26" s="50"/>
      <c r="Z26" s="51"/>
      <c r="AA26" s="46" t="str">
        <f>IFERROR(__xludf.DUMMYFUNCTION("IFERROR(
$Z26/
VLOOKUP(
IF(
 REGEXMATCH($W26,""(?i)agachamento""),""Agachamento"",
 IF(
  REGEXMATCH($W26,""(?i)supino""),""Supino"",
  IF(
   REGEXMATCH($W26,""(?i)terra""),""Terra"",
   IF(
    REGEXMATCH($W26,""(?i)desenvolvimento""),""Desenvolvimento"&amp;""",
    IF(
     REGEXMATCH($W26,""(?i)remada""),""Remada"",
     IF(REGEXMATCH($W26,""(?i)arranco""),""Arranco"",IF(REGEXMATCH($W26,""(?i)arremesso""),""Arremesso"",""""))
    )
   )
  )
 )
),
prs!$A$6:$D$12,
4,
FALSE
)
,"""")"),"")</f>
        <v/>
      </c>
      <c r="AB26" s="46"/>
      <c r="AC26" s="49"/>
    </row>
    <row r="27" ht="15.75" customHeight="1">
      <c r="A27" s="49"/>
      <c r="B27" s="53"/>
      <c r="C27" s="50"/>
      <c r="D27" s="50"/>
      <c r="E27" s="51"/>
      <c r="F27" s="46" t="str">
        <f>IFERROR(__xludf.DUMMYFUNCTION("IFERROR(
$E27/
VLOOKUP(
IF(
 REGEXMATCH($B27,""(?i)agachamento""),""Agachamento"",
 IF(
  REGEXMATCH($B27,""(?i)supino""),""Supino"",
  IF(
   REGEXMATCH($B27,""(?i)terra""),""Terra"",
   IF(
    REGEXMATCH($B27,""(?i)desenvolvimento""),""Desenvolvimento"&amp;""",
    IF(
     REGEXMATCH($B27,""(?i)remada""),""Remada"",
     IF(REGEXMATCH($B27,""(?i)arranco""),""Arranco"",IF(REGEXMATCH($B27,""(?i)arremesso""),""Arremesso"",""""))
    )
   )
  )
 )
),
prs!$A$6:$D$12,
4,
FALSE
)
,"""")"),"")</f>
        <v/>
      </c>
      <c r="G27" s="46"/>
      <c r="H27" s="48"/>
      <c r="I27" s="53"/>
      <c r="J27" s="50"/>
      <c r="K27" s="50"/>
      <c r="L27" s="51"/>
      <c r="M27" s="46" t="str">
        <f>IFERROR(__xludf.DUMMYFUNCTION("IFERROR(
$L27/
VLOOKUP(
IF(
 REGEXMATCH($I27,""(?i)agachamento""),""Agachamento"",
 IF(
  REGEXMATCH($I27,""(?i)supino""),""Supino"",
  IF(
   REGEXMATCH($I27,""(?i)terra""),""Terra"",
   IF(
    REGEXMATCH($I27,""(?i)desenvolvimento""),""Desenvolvimento"&amp;""",
    IF(
     REGEXMATCH($I27,""(?i)remada""),""Remada"",
     IF(REGEXMATCH($I27,""(?i)arranco""),""Arranco"",IF(REGEXMATCH($I27,""(?i)arremesso""),""Arremesso"",""""))
    )
   )
  )
 )
),
prs!$A$6:$D$12,
4,
FALSE
)
,"""")"),"")</f>
        <v/>
      </c>
      <c r="N27" s="46"/>
      <c r="O27" s="49"/>
      <c r="P27" s="53"/>
      <c r="Q27" s="50"/>
      <c r="R27" s="50"/>
      <c r="S27" s="51"/>
      <c r="T27" s="46" t="str">
        <f>IFERROR(__xludf.DUMMYFUNCTION("IFERROR(
$S27/
VLOOKUP(
IF(
 REGEXMATCH($P27,""(?i)agachamento""),""Agachamento"",
 IF(
  REGEXMATCH($P27,""(?i)supino""),""Supino"",
  IF(
   REGEXMATCH($P27,""(?i)terra""),""Terra"",
   IF(
    REGEXMATCH($P27,""(?i)desenvolvimento""),""Desenvolvimento"&amp;""",
    IF(
     REGEXMATCH($P27,""(?i)remada""),""Remada"",
     IF(REGEXMATCH($P27,""(?i)arranco""),""Arranco"",IF(REGEXMATCH($P27,""(?i)arremesso""),""Arremesso"",""""))
    )
   )
  )
 )
),
prs!$A$6:$D$12,
4,
FALSE
)
,"""")"),"")</f>
        <v/>
      </c>
      <c r="U27" s="46"/>
      <c r="V27" s="49"/>
      <c r="W27" s="53"/>
      <c r="X27" s="50"/>
      <c r="Y27" s="50"/>
      <c r="Z27" s="51"/>
      <c r="AA27" s="46" t="str">
        <f>IFERROR(__xludf.DUMMYFUNCTION("IFERROR(
$Z27/
VLOOKUP(
IF(
 REGEXMATCH($W27,""(?i)agachamento""),""Agachamento"",
 IF(
  REGEXMATCH($W27,""(?i)supino""),""Supino"",
  IF(
   REGEXMATCH($W27,""(?i)terra""),""Terra"",
   IF(
    REGEXMATCH($W27,""(?i)desenvolvimento""),""Desenvolvimento"&amp;""",
    IF(
     REGEXMATCH($W27,""(?i)remada""),""Remada"",
     IF(REGEXMATCH($W27,""(?i)arranco""),""Arranco"",IF(REGEXMATCH($W27,""(?i)arremesso""),""Arremesso"",""""))
    )
   )
  )
 )
),
prs!$A$6:$D$12,
4,
FALSE
)
,"""")"),"")</f>
        <v/>
      </c>
      <c r="AB27" s="46"/>
      <c r="AC27" s="49"/>
    </row>
    <row r="28" ht="15.75" customHeight="1">
      <c r="A28" s="49"/>
      <c r="B28" s="53"/>
      <c r="C28" s="50"/>
      <c r="D28" s="50"/>
      <c r="E28" s="51"/>
      <c r="F28" s="46" t="str">
        <f>IFERROR(__xludf.DUMMYFUNCTION("IFERROR(
$E28/
VLOOKUP(
IF(
 REGEXMATCH($B28,""(?i)agachamento""),""Agachamento"",
 IF(
  REGEXMATCH($B28,""(?i)supino""),""Supino"",
  IF(
   REGEXMATCH($B28,""(?i)terra""),""Terra"",
   IF(
    REGEXMATCH($B28,""(?i)desenvolvimento""),""Desenvolvimento"&amp;""",
    IF(
     REGEXMATCH($B28,""(?i)remada""),""Remada"",
     IF(REGEXMATCH($B28,""(?i)arranco""),""Arranco"",IF(REGEXMATCH($B28,""(?i)arremesso""),""Arremesso"",""""))
    )
   )
  )
 )
),
prs!$A$6:$D$12,
4,
FALSE
)
,"""")"),"")</f>
        <v/>
      </c>
      <c r="G28" s="46"/>
      <c r="H28" s="48"/>
      <c r="I28" s="53"/>
      <c r="J28" s="50"/>
      <c r="K28" s="50"/>
      <c r="L28" s="51"/>
      <c r="M28" s="46" t="str">
        <f>IFERROR(__xludf.DUMMYFUNCTION("IFERROR(
$L28/
VLOOKUP(
IF(
 REGEXMATCH($I28,""(?i)agachamento""),""Agachamento"",
 IF(
  REGEXMATCH($I28,""(?i)supino""),""Supino"",
  IF(
   REGEXMATCH($I28,""(?i)terra""),""Terra"",
   IF(
    REGEXMATCH($I28,""(?i)desenvolvimento""),""Desenvolvimento"&amp;""",
    IF(
     REGEXMATCH($I28,""(?i)remada""),""Remada"",
     IF(REGEXMATCH($I28,""(?i)arranco""),""Arranco"",IF(REGEXMATCH($I28,""(?i)arremesso""),""Arremesso"",""""))
    )
   )
  )
 )
),
prs!$A$6:$D$12,
4,
FALSE
)
,"""")"),"")</f>
        <v/>
      </c>
      <c r="N28" s="46"/>
      <c r="O28" s="49"/>
      <c r="P28" s="53"/>
      <c r="Q28" s="50"/>
      <c r="R28" s="50"/>
      <c r="S28" s="51"/>
      <c r="T28" s="46" t="str">
        <f>IFERROR(__xludf.DUMMYFUNCTION("IFERROR(
$S28/
VLOOKUP(
IF(
 REGEXMATCH($P28,""(?i)agachamento""),""Agachamento"",
 IF(
  REGEXMATCH($P28,""(?i)supino""),""Supino"",
  IF(
   REGEXMATCH($P28,""(?i)terra""),""Terra"",
   IF(
    REGEXMATCH($P28,""(?i)desenvolvimento""),""Desenvolvimento"&amp;""",
    IF(
     REGEXMATCH($P28,""(?i)remada""),""Remada"",
     IF(REGEXMATCH($P28,""(?i)arranco""),""Arranco"",IF(REGEXMATCH($P28,""(?i)arremesso""),""Arremesso"",""""))
    )
   )
  )
 )
),
prs!$A$6:$D$12,
4,
FALSE
)
,"""")"),"")</f>
        <v/>
      </c>
      <c r="U28" s="46"/>
      <c r="V28" s="49"/>
      <c r="W28" s="53"/>
      <c r="X28" s="50"/>
      <c r="Y28" s="50"/>
      <c r="Z28" s="51"/>
      <c r="AA28" s="46" t="str">
        <f>IFERROR(__xludf.DUMMYFUNCTION("IFERROR(
$Z28/
VLOOKUP(
IF(
 REGEXMATCH($W28,""(?i)agachamento""),""Agachamento"",
 IF(
  REGEXMATCH($W28,""(?i)supino""),""Supino"",
  IF(
   REGEXMATCH($W28,""(?i)terra""),""Terra"",
   IF(
    REGEXMATCH($W28,""(?i)desenvolvimento""),""Desenvolvimento"&amp;""",
    IF(
     REGEXMATCH($W28,""(?i)remada""),""Remada"",
     IF(REGEXMATCH($W28,""(?i)arranco""),""Arranco"",IF(REGEXMATCH($W28,""(?i)arremesso""),""Arremesso"",""""))
    )
   )
  )
 )
),
prs!$A$6:$D$12,
4,
FALSE
)
,"""")"),"")</f>
        <v/>
      </c>
      <c r="AB28" s="46"/>
      <c r="AC28" s="49"/>
    </row>
    <row r="29" ht="15.75" customHeight="1">
      <c r="A29" s="49"/>
      <c r="B29" s="53"/>
      <c r="C29" s="50"/>
      <c r="D29" s="50"/>
      <c r="E29" s="51"/>
      <c r="F29" s="46" t="str">
        <f>IFERROR(__xludf.DUMMYFUNCTION("IFERROR(
$E29/
VLOOKUP(
IF(
 REGEXMATCH($B29,""(?i)agachamento""),""Agachamento"",
 IF(
  REGEXMATCH($B29,""(?i)supino""),""Supino"",
  IF(
   REGEXMATCH($B29,""(?i)terra""),""Terra"",
   IF(
    REGEXMATCH($B29,""(?i)desenvolvimento""),""Desenvolvimento"&amp;""",
    IF(
     REGEXMATCH($B29,""(?i)remada""),""Remada"",
     IF(REGEXMATCH($B29,""(?i)arranco""),""Arranco"",IF(REGEXMATCH($B29,""(?i)arremesso""),""Arremesso"",""""))
    )
   )
  )
 )
),
prs!$A$6:$D$12,
4,
FALSE
)
,"""")"),"")</f>
        <v/>
      </c>
      <c r="G29" s="46"/>
      <c r="H29" s="48"/>
      <c r="I29" s="53"/>
      <c r="J29" s="50"/>
      <c r="K29" s="50"/>
      <c r="L29" s="51"/>
      <c r="M29" s="46" t="str">
        <f>IFERROR(__xludf.DUMMYFUNCTION("IFERROR(
$L29/
VLOOKUP(
IF(
 REGEXMATCH($I29,""(?i)agachamento""),""Agachamento"",
 IF(
  REGEXMATCH($I29,""(?i)supino""),""Supino"",
  IF(
   REGEXMATCH($I29,""(?i)terra""),""Terra"",
   IF(
    REGEXMATCH($I29,""(?i)desenvolvimento""),""Desenvolvimento"&amp;""",
    IF(
     REGEXMATCH($I29,""(?i)remada""),""Remada"",
     IF(REGEXMATCH($I29,""(?i)arranco""),""Arranco"",IF(REGEXMATCH($I29,""(?i)arremesso""),""Arremesso"",""""))
    )
   )
  )
 )
),
prs!$A$6:$D$12,
4,
FALSE
)
,"""")"),"")</f>
        <v/>
      </c>
      <c r="N29" s="46"/>
      <c r="O29" s="49"/>
      <c r="P29" s="53"/>
      <c r="Q29" s="50"/>
      <c r="R29" s="50"/>
      <c r="S29" s="51"/>
      <c r="T29" s="46" t="str">
        <f>IFERROR(__xludf.DUMMYFUNCTION("IFERROR(
$S29/
VLOOKUP(
IF(
 REGEXMATCH($P29,""(?i)agachamento""),""Agachamento"",
 IF(
  REGEXMATCH($P29,""(?i)supino""),""Supino"",
  IF(
   REGEXMATCH($P29,""(?i)terra""),""Terra"",
   IF(
    REGEXMATCH($P29,""(?i)desenvolvimento""),""Desenvolvimento"&amp;""",
    IF(
     REGEXMATCH($P29,""(?i)remada""),""Remada"",
     IF(REGEXMATCH($P29,""(?i)arranco""),""Arranco"",IF(REGEXMATCH($P29,""(?i)arremesso""),""Arremesso"",""""))
    )
   )
  )
 )
),
prs!$A$6:$D$12,
4,
FALSE
)
,"""")"),"")</f>
        <v/>
      </c>
      <c r="U29" s="46"/>
      <c r="V29" s="49"/>
      <c r="W29" s="53"/>
      <c r="X29" s="50"/>
      <c r="Y29" s="50"/>
      <c r="Z29" s="51"/>
      <c r="AA29" s="46" t="str">
        <f>IFERROR(__xludf.DUMMYFUNCTION("IFERROR(
$Z29/
VLOOKUP(
IF(
 REGEXMATCH($W29,""(?i)agachamento""),""Agachamento"",
 IF(
  REGEXMATCH($W29,""(?i)supino""),""Supino"",
  IF(
   REGEXMATCH($W29,""(?i)terra""),""Terra"",
   IF(
    REGEXMATCH($W29,""(?i)desenvolvimento""),""Desenvolvimento"&amp;""",
    IF(
     REGEXMATCH($W29,""(?i)remada""),""Remada"",
     IF(REGEXMATCH($W29,""(?i)arranco""),""Arranco"",IF(REGEXMATCH($W29,""(?i)arremesso""),""Arremesso"",""""))
    )
   )
  )
 )
),
prs!$A$6:$D$12,
4,
FALSE
)
,"""")"),"")</f>
        <v/>
      </c>
      <c r="AB29" s="46"/>
      <c r="AC29" s="49"/>
    </row>
    <row r="30" ht="15.75" customHeight="1">
      <c r="A30" s="49"/>
      <c r="B30" s="53"/>
      <c r="C30" s="50"/>
      <c r="D30" s="50"/>
      <c r="E30" s="51"/>
      <c r="F30" s="46" t="str">
        <f>IFERROR(__xludf.DUMMYFUNCTION("IFERROR(
$E30/
VLOOKUP(
IF(
 REGEXMATCH($B30,""(?i)agachamento""),""Agachamento"",
 IF(
  REGEXMATCH($B30,""(?i)supino""),""Supino"",
  IF(
   REGEXMATCH($B30,""(?i)terra""),""Terra"",
   IF(
    REGEXMATCH($B30,""(?i)desenvolvimento""),""Desenvolvimento"&amp;""",
    IF(
     REGEXMATCH($B30,""(?i)remada""),""Remada"",
     IF(REGEXMATCH($B30,""(?i)arranco""),""Arranco"",IF(REGEXMATCH($B30,""(?i)arremesso""),""Arremesso"",""""))
    )
   )
  )
 )
),
prs!$A$6:$D$12,
4,
FALSE
)
,"""")"),"")</f>
        <v/>
      </c>
      <c r="G30" s="46"/>
      <c r="H30" s="48"/>
      <c r="I30" s="53"/>
      <c r="J30" s="50"/>
      <c r="K30" s="50"/>
      <c r="L30" s="51"/>
      <c r="M30" s="46" t="str">
        <f>IFERROR(__xludf.DUMMYFUNCTION("IFERROR(
$L30/
VLOOKUP(
IF(
 REGEXMATCH($I30,""(?i)agachamento""),""Agachamento"",
 IF(
  REGEXMATCH($I30,""(?i)supino""),""Supino"",
  IF(
   REGEXMATCH($I30,""(?i)terra""),""Terra"",
   IF(
    REGEXMATCH($I30,""(?i)desenvolvimento""),""Desenvolvimento"&amp;""",
    IF(
     REGEXMATCH($I30,""(?i)remada""),""Remada"",
     IF(REGEXMATCH($I30,""(?i)arranco""),""Arranco"",IF(REGEXMATCH($I30,""(?i)arremesso""),""Arremesso"",""""))
    )
   )
  )
 )
),
prs!$A$6:$D$12,
4,
FALSE
)
,"""")"),"")</f>
        <v/>
      </c>
      <c r="N30" s="46"/>
      <c r="O30" s="49"/>
      <c r="P30" s="53"/>
      <c r="Q30" s="50"/>
      <c r="R30" s="50"/>
      <c r="S30" s="51"/>
      <c r="T30" s="46" t="str">
        <f>IFERROR(__xludf.DUMMYFUNCTION("IFERROR(
$S30/
VLOOKUP(
IF(
 REGEXMATCH($P30,""(?i)agachamento""),""Agachamento"",
 IF(
  REGEXMATCH($P30,""(?i)supino""),""Supino"",
  IF(
   REGEXMATCH($P30,""(?i)terra""),""Terra"",
   IF(
    REGEXMATCH($P30,""(?i)desenvolvimento""),""Desenvolvimento"&amp;""",
    IF(
     REGEXMATCH($P30,""(?i)remada""),""Remada"",
     IF(REGEXMATCH($P30,""(?i)arranco""),""Arranco"",IF(REGEXMATCH($P30,""(?i)arremesso""),""Arremesso"",""""))
    )
   )
  )
 )
),
prs!$A$6:$D$12,
4,
FALSE
)
,"""")"),"")</f>
        <v/>
      </c>
      <c r="U30" s="46"/>
      <c r="V30" s="49"/>
      <c r="W30" s="53"/>
      <c r="X30" s="50"/>
      <c r="Y30" s="50"/>
      <c r="Z30" s="51"/>
      <c r="AA30" s="46" t="str">
        <f>IFERROR(__xludf.DUMMYFUNCTION("IFERROR(
$Z30/
VLOOKUP(
IF(
 REGEXMATCH($W30,""(?i)agachamento""),""Agachamento"",
 IF(
  REGEXMATCH($W30,""(?i)supino""),""Supino"",
  IF(
   REGEXMATCH($W30,""(?i)terra""),""Terra"",
   IF(
    REGEXMATCH($W30,""(?i)desenvolvimento""),""Desenvolvimento"&amp;""",
    IF(
     REGEXMATCH($W30,""(?i)remada""),""Remada"",
     IF(REGEXMATCH($W30,""(?i)arranco""),""Arranco"",IF(REGEXMATCH($W30,""(?i)arremesso""),""Arremesso"",""""))
    )
   )
  )
 )
),
prs!$A$6:$D$12,
4,
FALSE
)
,"""")"),"")</f>
        <v/>
      </c>
      <c r="AB30" s="46"/>
      <c r="AC30" s="49"/>
    </row>
    <row r="31" ht="15.75" customHeight="1">
      <c r="A31" s="52"/>
      <c r="B31" s="52"/>
      <c r="C31" s="31" t="s">
        <v>17</v>
      </c>
      <c r="H31" s="30"/>
      <c r="I31" s="52"/>
      <c r="J31" s="31" t="s">
        <v>23</v>
      </c>
      <c r="O31" s="30"/>
      <c r="P31" s="52"/>
      <c r="Q31" s="31" t="s">
        <v>24</v>
      </c>
      <c r="V31" s="30"/>
      <c r="W31" s="52"/>
      <c r="X31" s="31" t="s">
        <v>25</v>
      </c>
      <c r="AC31" s="48"/>
    </row>
    <row r="32" ht="15.75" customHeight="1">
      <c r="A32" s="16"/>
      <c r="B32" s="54"/>
      <c r="C32" s="16"/>
      <c r="D32" s="16"/>
      <c r="H32" s="16"/>
      <c r="I32" s="54"/>
      <c r="J32" s="16"/>
      <c r="K32" s="16"/>
      <c r="O32" s="16"/>
      <c r="P32" s="54"/>
      <c r="Q32" s="16"/>
      <c r="R32" s="16"/>
      <c r="V32" s="16"/>
      <c r="W32" s="54"/>
      <c r="X32" s="16"/>
      <c r="Y32" s="16"/>
      <c r="AC32" s="16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D2:G2"/>
    <mergeCell ref="K2:N2"/>
    <mergeCell ref="R2:U2"/>
    <mergeCell ref="Y2:AB2"/>
    <mergeCell ref="J3:N3"/>
    <mergeCell ref="Q3:U3"/>
    <mergeCell ref="X3:AB3"/>
    <mergeCell ref="X16:AB16"/>
    <mergeCell ref="Y17:AB17"/>
    <mergeCell ref="X18:AB18"/>
    <mergeCell ref="X31:AB31"/>
    <mergeCell ref="Y32:AB32"/>
    <mergeCell ref="K17:N17"/>
    <mergeCell ref="J18:N18"/>
    <mergeCell ref="C31:G31"/>
    <mergeCell ref="J31:N31"/>
    <mergeCell ref="Q31:U31"/>
    <mergeCell ref="D32:G32"/>
    <mergeCell ref="K32:N32"/>
    <mergeCell ref="R32:U32"/>
    <mergeCell ref="C3:G3"/>
    <mergeCell ref="C16:G16"/>
    <mergeCell ref="J16:N16"/>
    <mergeCell ref="Q16:U16"/>
    <mergeCell ref="D17:G17"/>
    <mergeCell ref="R17:U17"/>
    <mergeCell ref="C18:G18"/>
    <mergeCell ref="Q18:U18"/>
  </mergeCells>
  <conditionalFormatting sqref="B6:B15 B21">
    <cfRule type="colorScale" priority="1">
      <colorScale>
        <cfvo type="min"/>
        <cfvo type="max"/>
        <color rgb="FFFFFFFF"/>
        <color rgb="FF57BB8A"/>
      </colorScale>
    </cfRule>
  </conditionalFormatting>
  <conditionalFormatting sqref="I6:I15 I21">
    <cfRule type="colorScale" priority="2">
      <colorScale>
        <cfvo type="min"/>
        <cfvo type="max"/>
        <color rgb="FFFFFFFF"/>
        <color rgb="FF57BB8A"/>
      </colorScale>
    </cfRule>
  </conditionalFormatting>
  <conditionalFormatting sqref="P6:P15 P21">
    <cfRule type="colorScale" priority="3">
      <colorScale>
        <cfvo type="min"/>
        <cfvo type="max"/>
        <color rgb="FFFFFFFF"/>
        <color rgb="FF57BB8A"/>
      </colorScale>
    </cfRule>
  </conditionalFormatting>
  <conditionalFormatting sqref="W6:W15 W21">
    <cfRule type="colorScale" priority="4">
      <colorScale>
        <cfvo type="min"/>
        <cfvo type="max"/>
        <color rgb="FFFFFFFF"/>
        <color rgb="FF57BB8A"/>
      </colorScale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7" width="12.63"/>
  </cols>
  <sheetData>
    <row r="1" ht="37.5" customHeight="1">
      <c r="A1" s="6"/>
      <c r="B1" s="9" t="s">
        <v>2</v>
      </c>
    </row>
    <row r="2" ht="15.75" customHeight="1">
      <c r="B2" s="10" t="s">
        <v>3</v>
      </c>
      <c r="C2" s="34" t="str">
        <f>'aluno 01'!C2</f>
        <v/>
      </c>
    </row>
    <row r="3" ht="15.75" customHeight="1">
      <c r="B3" s="10" t="s">
        <v>4</v>
      </c>
      <c r="C3" s="34" t="str">
        <f>'aluno 01'!C3</f>
        <v/>
      </c>
    </row>
    <row r="4" ht="15.75" customHeight="1">
      <c r="A4" s="13"/>
      <c r="B4" s="14"/>
      <c r="C4" s="15"/>
      <c r="D4" s="17"/>
      <c r="E4" s="18"/>
      <c r="F4" s="19"/>
      <c r="G4" s="19"/>
    </row>
    <row r="5" ht="15.75" customHeight="1">
      <c r="A5" s="20"/>
      <c r="B5" s="21" t="s">
        <v>5</v>
      </c>
      <c r="C5" s="21" t="s">
        <v>6</v>
      </c>
      <c r="D5" s="21" t="s">
        <v>7</v>
      </c>
      <c r="E5" s="21" t="s">
        <v>8</v>
      </c>
      <c r="F5" s="21" t="s">
        <v>9</v>
      </c>
      <c r="G5" s="5"/>
    </row>
    <row r="6" ht="15.75" customHeight="1">
      <c r="A6" s="22"/>
      <c r="B6" s="24" t="str">
        <f>'aluno 01'!B6</f>
        <v/>
      </c>
      <c r="C6" s="24" t="str">
        <f>'aluno 01'!C6</f>
        <v/>
      </c>
      <c r="D6" s="24" t="str">
        <f>'aluno 01'!D6</f>
        <v/>
      </c>
      <c r="E6" s="24" t="str">
        <f>'aluno 01'!E6</f>
        <v/>
      </c>
      <c r="F6" s="24" t="str">
        <f>'aluno 01'!F6</f>
        <v/>
      </c>
      <c r="G6" s="5"/>
    </row>
    <row r="7" ht="15.75" customHeight="1">
      <c r="A7" s="22"/>
      <c r="B7" s="25"/>
      <c r="C7" s="25"/>
      <c r="D7" s="25"/>
      <c r="E7" s="25"/>
      <c r="F7" s="25"/>
      <c r="G7" s="25"/>
    </row>
    <row r="8" ht="15.75" customHeight="1">
      <c r="A8" s="26" t="s">
        <v>11</v>
      </c>
    </row>
    <row r="9" ht="15.75" customHeight="1">
      <c r="A9" s="35" t="str">
        <f>'aluno 01'!A9</f>
        <v/>
      </c>
    </row>
    <row r="10" ht="15.75" customHeight="1"/>
    <row r="11" ht="15.75" customHeight="1">
      <c r="A11" s="26" t="s">
        <v>12</v>
      </c>
    </row>
    <row r="12" ht="15.75" customHeight="1">
      <c r="A12" s="2"/>
      <c r="B12" s="29" t="s">
        <v>13</v>
      </c>
      <c r="C12" s="29" t="s">
        <v>14</v>
      </c>
      <c r="D12" s="31" t="s">
        <v>15</v>
      </c>
      <c r="E12" s="31" t="s">
        <v>11</v>
      </c>
    </row>
    <row r="13" ht="15.75" customHeight="1">
      <c r="A13" s="32"/>
      <c r="B13" s="33"/>
      <c r="C13" s="33"/>
      <c r="D13" s="33"/>
      <c r="E13" s="35"/>
    </row>
    <row r="14" ht="15.75" customHeight="1">
      <c r="A14" s="36"/>
      <c r="B14" s="37"/>
      <c r="C14" s="37"/>
      <c r="D14" s="33"/>
      <c r="E14" s="35"/>
    </row>
    <row r="15" ht="15.75" customHeight="1">
      <c r="A15" s="32"/>
      <c r="B15" s="33"/>
      <c r="C15" s="33"/>
      <c r="D15" s="33"/>
      <c r="E15" s="35"/>
    </row>
    <row r="16" ht="15.75" customHeight="1">
      <c r="A16" s="38">
        <f>'bloco 02'!C3</f>
        <v>46274</v>
      </c>
    </row>
    <row r="17" ht="15.75" customHeight="1">
      <c r="A17" s="39" t="s">
        <v>17</v>
      </c>
    </row>
    <row r="18" ht="15.75" customHeight="1">
      <c r="A18" s="26" t="s">
        <v>10</v>
      </c>
    </row>
    <row r="19" ht="15.75" customHeight="1">
      <c r="A19" s="29"/>
      <c r="B19" s="29" t="s">
        <v>13</v>
      </c>
      <c r="C19" s="31" t="s">
        <v>16</v>
      </c>
      <c r="D19" s="31" t="s">
        <v>15</v>
      </c>
      <c r="E19" s="31" t="s">
        <v>19</v>
      </c>
      <c r="F19" s="31" t="s">
        <v>11</v>
      </c>
    </row>
    <row r="20" ht="15.75" customHeight="1">
      <c r="A20" s="12" t="str">
        <f>'bloco 02'!$B6</f>
        <v/>
      </c>
      <c r="B20" s="40" t="str">
        <f>'bloco 02'!C6</f>
        <v/>
      </c>
      <c r="C20" s="40" t="str">
        <f>'bloco 02'!D6</f>
        <v/>
      </c>
      <c r="D20" s="40" t="str">
        <f>'bloco 02'!E6</f>
        <v/>
      </c>
      <c r="E20" s="46" t="str">
        <f>IFERROR(('bloco 02'!F6),"")</f>
        <v/>
      </c>
      <c r="F20" s="47" t="str">
        <f>'bloco 02'!G6</f>
        <v/>
      </c>
    </row>
    <row r="21" ht="15.75" customHeight="1">
      <c r="A21" s="12" t="str">
        <f>'bloco 02'!$B7</f>
        <v/>
      </c>
      <c r="B21" s="40" t="str">
        <f>'bloco 02'!C7</f>
        <v/>
      </c>
      <c r="C21" s="40" t="str">
        <f>'bloco 02'!D7</f>
        <v/>
      </c>
      <c r="D21" s="40" t="str">
        <f>'bloco 02'!E7</f>
        <v/>
      </c>
      <c r="E21" s="46" t="str">
        <f>IFERROR(('bloco 02'!F7),"")</f>
        <v/>
      </c>
      <c r="F21" s="47" t="str">
        <f>'bloco 02'!G7</f>
        <v/>
      </c>
    </row>
    <row r="22" ht="15.75" customHeight="1">
      <c r="A22" s="12" t="str">
        <f>'bloco 02'!$B8</f>
        <v/>
      </c>
      <c r="B22" s="40" t="str">
        <f>'bloco 02'!C8</f>
        <v/>
      </c>
      <c r="C22" s="40" t="str">
        <f>'bloco 02'!D8</f>
        <v/>
      </c>
      <c r="D22" s="40" t="str">
        <f>'bloco 02'!E8</f>
        <v/>
      </c>
      <c r="E22" s="46" t="str">
        <f>IFERROR(('bloco 02'!F8),"")</f>
        <v/>
      </c>
      <c r="F22" s="47" t="str">
        <f>'bloco 02'!G8</f>
        <v/>
      </c>
    </row>
    <row r="23" ht="15.75" customHeight="1">
      <c r="A23" s="12" t="str">
        <f>'bloco 02'!$B9</f>
        <v/>
      </c>
      <c r="B23" s="40" t="str">
        <f>'bloco 02'!C9</f>
        <v/>
      </c>
      <c r="C23" s="40" t="str">
        <f>'bloco 02'!D9</f>
        <v/>
      </c>
      <c r="D23" s="40" t="str">
        <f>'bloco 02'!E9</f>
        <v/>
      </c>
      <c r="E23" s="46" t="str">
        <f>IFERROR(('bloco 02'!F9),"")</f>
        <v/>
      </c>
      <c r="F23" s="47" t="str">
        <f>'bloco 02'!G9</f>
        <v/>
      </c>
    </row>
    <row r="24" ht="15.75" customHeight="1">
      <c r="A24" s="12" t="str">
        <f>'bloco 02'!$B10</f>
        <v/>
      </c>
      <c r="B24" s="40" t="str">
        <f>'bloco 02'!C10</f>
        <v/>
      </c>
      <c r="C24" s="40" t="str">
        <f>'bloco 02'!D10</f>
        <v/>
      </c>
      <c r="D24" s="40" t="str">
        <f>'bloco 02'!E10</f>
        <v/>
      </c>
      <c r="E24" s="46" t="str">
        <f>IFERROR(('bloco 02'!F10),"")</f>
        <v/>
      </c>
      <c r="F24" s="47" t="str">
        <f>'bloco 02'!G10</f>
        <v/>
      </c>
    </row>
    <row r="25" ht="15.75" customHeight="1">
      <c r="A25" s="12" t="str">
        <f>'bloco 02'!$B11</f>
        <v/>
      </c>
      <c r="B25" s="40" t="str">
        <f>'bloco 02'!C11</f>
        <v/>
      </c>
      <c r="C25" s="40" t="str">
        <f>'bloco 02'!D11</f>
        <v/>
      </c>
      <c r="D25" s="40" t="str">
        <f>'bloco 02'!E11</f>
        <v/>
      </c>
      <c r="E25" s="46" t="str">
        <f>IFERROR(('bloco 02'!F11),"")</f>
        <v/>
      </c>
      <c r="F25" s="47" t="str">
        <f>'bloco 02'!G11</f>
        <v/>
      </c>
    </row>
    <row r="26" ht="15.75" customHeight="1">
      <c r="A26" s="12" t="str">
        <f>'bloco 02'!$B12</f>
        <v/>
      </c>
      <c r="B26" s="40" t="str">
        <f>'bloco 02'!C12</f>
        <v/>
      </c>
      <c r="C26" s="40" t="str">
        <f>'bloco 02'!D12</f>
        <v/>
      </c>
      <c r="D26" s="40" t="str">
        <f>'bloco 02'!E12</f>
        <v/>
      </c>
      <c r="E26" s="46" t="str">
        <f>IFERROR(('bloco 02'!F12),"")</f>
        <v/>
      </c>
      <c r="F26" s="47" t="str">
        <f>'bloco 02'!G12</f>
        <v/>
      </c>
    </row>
    <row r="27" ht="15.75" customHeight="1">
      <c r="A27" s="12" t="str">
        <f>'bloco 02'!$B13</f>
        <v/>
      </c>
      <c r="B27" s="40" t="str">
        <f>'bloco 02'!C13</f>
        <v/>
      </c>
      <c r="C27" s="40" t="str">
        <f>'bloco 02'!D13</f>
        <v/>
      </c>
      <c r="D27" s="40" t="str">
        <f>'bloco 02'!E13</f>
        <v/>
      </c>
      <c r="E27" s="46" t="str">
        <f>IFERROR(('bloco 02'!F13),"")</f>
        <v/>
      </c>
      <c r="F27" s="47" t="str">
        <f>'bloco 02'!G13</f>
        <v/>
      </c>
    </row>
    <row r="28" ht="15.75" customHeight="1">
      <c r="A28" s="12" t="str">
        <f>'bloco 02'!$B14</f>
        <v/>
      </c>
      <c r="B28" s="40" t="str">
        <f>'bloco 02'!C14</f>
        <v/>
      </c>
      <c r="C28" s="40" t="str">
        <f>'bloco 02'!D14</f>
        <v/>
      </c>
      <c r="D28" s="40" t="str">
        <f>'bloco 02'!E14</f>
        <v/>
      </c>
      <c r="E28" s="46" t="str">
        <f>IFERROR(('bloco 02'!F14),"")</f>
        <v/>
      </c>
      <c r="F28" s="47" t="str">
        <f>'bloco 02'!G14</f>
        <v/>
      </c>
    </row>
    <row r="29" ht="15.75" customHeight="1">
      <c r="A29" s="12" t="str">
        <f>'bloco 02'!$B15</f>
        <v/>
      </c>
      <c r="B29" s="40" t="str">
        <f>'bloco 02'!C15</f>
        <v/>
      </c>
      <c r="C29" s="40" t="str">
        <f>'bloco 02'!D15</f>
        <v/>
      </c>
      <c r="D29" s="40" t="str">
        <f>'bloco 02'!E15</f>
        <v/>
      </c>
      <c r="E29" s="46" t="str">
        <f>IFERROR(('bloco 02'!F15),"")</f>
        <v/>
      </c>
      <c r="F29" s="47" t="str">
        <f>'bloco 02'!G15</f>
        <v/>
      </c>
    </row>
    <row r="30" ht="15.75" customHeight="1">
      <c r="A30" s="26" t="s">
        <v>22</v>
      </c>
    </row>
    <row r="31" ht="15.75" customHeight="1">
      <c r="A31" s="29"/>
      <c r="B31" s="29" t="s">
        <v>13</v>
      </c>
      <c r="C31" s="31" t="s">
        <v>16</v>
      </c>
      <c r="D31" s="31" t="s">
        <v>15</v>
      </c>
      <c r="E31" s="31" t="s">
        <v>19</v>
      </c>
      <c r="F31" s="31" t="s">
        <v>11</v>
      </c>
    </row>
    <row r="32" ht="15.75" customHeight="1">
      <c r="A32" s="12" t="str">
        <f>'bloco 02'!$B21</f>
        <v/>
      </c>
      <c r="B32" s="40" t="str">
        <f>'bloco 02'!C21</f>
        <v/>
      </c>
      <c r="C32" s="40" t="str">
        <f>'bloco 02'!D21</f>
        <v/>
      </c>
      <c r="D32" s="40" t="str">
        <f>'bloco 02'!E21</f>
        <v/>
      </c>
      <c r="E32" s="46" t="str">
        <f>IFERROR(('bloco 02'!F21),"")</f>
        <v/>
      </c>
      <c r="F32" s="47" t="str">
        <f>'bloco 02'!G21</f>
        <v/>
      </c>
    </row>
    <row r="33" ht="15.75" customHeight="1">
      <c r="A33" s="12" t="str">
        <f>'bloco 02'!$B22</f>
        <v/>
      </c>
      <c r="B33" s="40" t="str">
        <f>'bloco 02'!C22</f>
        <v/>
      </c>
      <c r="C33" s="40" t="str">
        <f>'bloco 02'!D22</f>
        <v/>
      </c>
      <c r="D33" s="40" t="str">
        <f>'bloco 02'!E22</f>
        <v/>
      </c>
      <c r="E33" s="46" t="str">
        <f>IFERROR(('bloco 02'!F22),"")</f>
        <v/>
      </c>
      <c r="F33" s="47" t="str">
        <f>'bloco 02'!G22</f>
        <v/>
      </c>
    </row>
    <row r="34" ht="15.75" customHeight="1">
      <c r="A34" s="12" t="str">
        <f>'bloco 02'!$B23</f>
        <v/>
      </c>
      <c r="B34" s="40" t="str">
        <f>'bloco 02'!C23</f>
        <v/>
      </c>
      <c r="C34" s="40" t="str">
        <f>'bloco 02'!D23</f>
        <v/>
      </c>
      <c r="D34" s="40" t="str">
        <f>'bloco 02'!E23</f>
        <v/>
      </c>
      <c r="E34" s="46" t="str">
        <f>IFERROR(('bloco 02'!F23),"")</f>
        <v/>
      </c>
      <c r="F34" s="47" t="str">
        <f>'bloco 02'!G23</f>
        <v/>
      </c>
    </row>
    <row r="35" ht="15.75" customHeight="1">
      <c r="A35" s="12" t="str">
        <f>'bloco 02'!$B24</f>
        <v/>
      </c>
      <c r="B35" s="40" t="str">
        <f>'bloco 02'!C24</f>
        <v/>
      </c>
      <c r="C35" s="40" t="str">
        <f>'bloco 02'!D24</f>
        <v/>
      </c>
      <c r="D35" s="40" t="str">
        <f>'bloco 02'!E24</f>
        <v/>
      </c>
      <c r="E35" s="46" t="str">
        <f>IFERROR(('bloco 02'!F24),"")</f>
        <v/>
      </c>
      <c r="F35" s="47" t="str">
        <f>'bloco 02'!G24</f>
        <v/>
      </c>
    </row>
    <row r="36" ht="15.75" customHeight="1">
      <c r="A36" s="12" t="str">
        <f>'bloco 02'!$B25</f>
        <v/>
      </c>
      <c r="B36" s="40" t="str">
        <f>'bloco 02'!C25</f>
        <v/>
      </c>
      <c r="C36" s="40" t="str">
        <f>'bloco 02'!D25</f>
        <v/>
      </c>
      <c r="D36" s="40" t="str">
        <f>'bloco 02'!E25</f>
        <v/>
      </c>
      <c r="E36" s="46" t="str">
        <f>IFERROR(('bloco 02'!F25),"")</f>
        <v/>
      </c>
      <c r="F36" s="47" t="str">
        <f>'bloco 02'!G25</f>
        <v/>
      </c>
    </row>
    <row r="37" ht="15.75" customHeight="1">
      <c r="A37" s="12" t="str">
        <f>'bloco 02'!$B26</f>
        <v/>
      </c>
      <c r="B37" s="40" t="str">
        <f>'bloco 02'!C26</f>
        <v/>
      </c>
      <c r="C37" s="40" t="str">
        <f>'bloco 02'!D26</f>
        <v/>
      </c>
      <c r="D37" s="40" t="str">
        <f>'bloco 02'!E26</f>
        <v/>
      </c>
      <c r="E37" s="46" t="str">
        <f>IFERROR(('bloco 02'!F26),"")</f>
        <v/>
      </c>
      <c r="F37" s="47" t="str">
        <f>'bloco 02'!G26</f>
        <v/>
      </c>
    </row>
    <row r="38" ht="15.75" customHeight="1">
      <c r="A38" s="12" t="str">
        <f>'bloco 02'!$B27</f>
        <v/>
      </c>
      <c r="B38" s="40" t="str">
        <f>'bloco 02'!C27</f>
        <v/>
      </c>
      <c r="C38" s="40" t="str">
        <f>'bloco 02'!D27</f>
        <v/>
      </c>
      <c r="D38" s="40" t="str">
        <f>'bloco 02'!E27</f>
        <v/>
      </c>
      <c r="E38" s="46" t="str">
        <f>IFERROR(('bloco 02'!F27),"")</f>
        <v/>
      </c>
      <c r="F38" s="47" t="str">
        <f>'bloco 02'!G27</f>
        <v/>
      </c>
    </row>
    <row r="39" ht="15.75" customHeight="1">
      <c r="A39" s="12" t="str">
        <f>'bloco 02'!$B28</f>
        <v/>
      </c>
      <c r="B39" s="40" t="str">
        <f>'bloco 02'!C28</f>
        <v/>
      </c>
      <c r="C39" s="40" t="str">
        <f>'bloco 02'!D28</f>
        <v/>
      </c>
      <c r="D39" s="40" t="str">
        <f>'bloco 02'!E28</f>
        <v/>
      </c>
      <c r="E39" s="46" t="str">
        <f>IFERROR(('bloco 02'!F28),"")</f>
        <v/>
      </c>
      <c r="F39" s="47" t="str">
        <f>'bloco 02'!G28</f>
        <v/>
      </c>
    </row>
    <row r="40" ht="15.75" customHeight="1">
      <c r="A40" s="12" t="str">
        <f>'bloco 02'!$B29</f>
        <v/>
      </c>
      <c r="B40" s="40" t="str">
        <f>'bloco 02'!C29</f>
        <v/>
      </c>
      <c r="C40" s="40" t="str">
        <f>'bloco 02'!D29</f>
        <v/>
      </c>
      <c r="D40" s="40" t="str">
        <f>'bloco 02'!E29</f>
        <v/>
      </c>
      <c r="E40" s="46" t="str">
        <f>IFERROR(('bloco 02'!F29),"")</f>
        <v/>
      </c>
      <c r="F40" s="47" t="str">
        <f>'bloco 02'!G29</f>
        <v/>
      </c>
    </row>
    <row r="41" ht="15.75" customHeight="1">
      <c r="A41" s="12" t="str">
        <f>'bloco 02'!$B30</f>
        <v/>
      </c>
      <c r="B41" s="40" t="str">
        <f>'bloco 02'!C30</f>
        <v/>
      </c>
      <c r="C41" s="40" t="str">
        <f>'bloco 02'!D30</f>
        <v/>
      </c>
      <c r="D41" s="40" t="str">
        <f>'bloco 02'!E30</f>
        <v/>
      </c>
      <c r="E41" s="46" t="str">
        <f>IFERROR(('bloco 02'!F30),"")</f>
        <v/>
      </c>
      <c r="F41" s="47" t="str">
        <f>'bloco 02'!G30</f>
        <v/>
      </c>
    </row>
    <row r="42" ht="15.75" customHeight="1">
      <c r="A42" s="38">
        <f>'bloco 02'!J3</f>
        <v>46281</v>
      </c>
    </row>
    <row r="43" ht="15.75" customHeight="1">
      <c r="A43" s="39" t="s">
        <v>23</v>
      </c>
    </row>
    <row r="44" ht="15.75" customHeight="1">
      <c r="A44" s="26" t="s">
        <v>10</v>
      </c>
    </row>
    <row r="45" ht="15.75" customHeight="1">
      <c r="A45" s="29"/>
      <c r="B45" s="29" t="s">
        <v>13</v>
      </c>
      <c r="C45" s="31" t="s">
        <v>16</v>
      </c>
      <c r="D45" s="31" t="s">
        <v>15</v>
      </c>
      <c r="E45" s="31" t="s">
        <v>19</v>
      </c>
      <c r="F45" s="31" t="s">
        <v>11</v>
      </c>
    </row>
    <row r="46" ht="15.75" customHeight="1">
      <c r="A46" s="12" t="str">
        <f>'bloco 02'!$I6</f>
        <v/>
      </c>
      <c r="B46" s="40" t="str">
        <f>'bloco 02'!J6</f>
        <v/>
      </c>
      <c r="C46" s="40" t="str">
        <f>'bloco 02'!K6</f>
        <v/>
      </c>
      <c r="D46" s="40" t="str">
        <f>'bloco 02'!L6</f>
        <v/>
      </c>
      <c r="E46" s="46" t="str">
        <f>IFERROR(('bloco 02'!M6),"")</f>
        <v/>
      </c>
      <c r="F46" s="47" t="str">
        <f>'bloco 02'!N6</f>
        <v/>
      </c>
    </row>
    <row r="47" ht="15.75" customHeight="1">
      <c r="A47" s="12" t="str">
        <f>'bloco 02'!$I7</f>
        <v/>
      </c>
      <c r="B47" s="40" t="str">
        <f>'bloco 02'!J7</f>
        <v/>
      </c>
      <c r="C47" s="40" t="str">
        <f>'bloco 02'!K7</f>
        <v/>
      </c>
      <c r="D47" s="40" t="str">
        <f>'bloco 02'!L7</f>
        <v/>
      </c>
      <c r="E47" s="46" t="str">
        <f>IFERROR(('bloco 02'!M7),"")</f>
        <v/>
      </c>
      <c r="F47" s="47" t="str">
        <f>'bloco 02'!N7</f>
        <v/>
      </c>
    </row>
    <row r="48" ht="15.75" customHeight="1">
      <c r="A48" s="12" t="str">
        <f>'bloco 02'!$I8</f>
        <v/>
      </c>
      <c r="B48" s="40" t="str">
        <f>'bloco 02'!J8</f>
        <v/>
      </c>
      <c r="C48" s="40" t="str">
        <f>'bloco 02'!K8</f>
        <v/>
      </c>
      <c r="D48" s="40" t="str">
        <f>'bloco 02'!L8</f>
        <v/>
      </c>
      <c r="E48" s="46" t="str">
        <f>IFERROR(('bloco 02'!M8),"")</f>
        <v/>
      </c>
      <c r="F48" s="47" t="str">
        <f>'bloco 02'!N8</f>
        <v/>
      </c>
    </row>
    <row r="49" ht="15.75" customHeight="1">
      <c r="A49" s="12" t="str">
        <f>'bloco 02'!$I9</f>
        <v/>
      </c>
      <c r="B49" s="40" t="str">
        <f>'bloco 02'!J9</f>
        <v/>
      </c>
      <c r="C49" s="40" t="str">
        <f>'bloco 02'!K9</f>
        <v/>
      </c>
      <c r="D49" s="40" t="str">
        <f>'bloco 02'!L9</f>
        <v/>
      </c>
      <c r="E49" s="46" t="str">
        <f>IFERROR(('bloco 02'!M9),"")</f>
        <v/>
      </c>
      <c r="F49" s="47" t="str">
        <f>'bloco 02'!N9</f>
        <v/>
      </c>
    </row>
    <row r="50" ht="15.75" customHeight="1">
      <c r="A50" s="12" t="str">
        <f>'bloco 02'!$I10</f>
        <v/>
      </c>
      <c r="B50" s="40" t="str">
        <f>'bloco 02'!J10</f>
        <v/>
      </c>
      <c r="C50" s="40" t="str">
        <f>'bloco 02'!K10</f>
        <v/>
      </c>
      <c r="D50" s="40" t="str">
        <f>'bloco 02'!L10</f>
        <v/>
      </c>
      <c r="E50" s="46" t="str">
        <f>IFERROR(('bloco 02'!M10),"")</f>
        <v/>
      </c>
      <c r="F50" s="47" t="str">
        <f>'bloco 02'!N10</f>
        <v/>
      </c>
    </row>
    <row r="51" ht="15.75" customHeight="1">
      <c r="A51" s="12" t="str">
        <f>'bloco 02'!$I11</f>
        <v/>
      </c>
      <c r="B51" s="40" t="str">
        <f>'bloco 02'!J11</f>
        <v/>
      </c>
      <c r="C51" s="40" t="str">
        <f>'bloco 02'!K11</f>
        <v/>
      </c>
      <c r="D51" s="40" t="str">
        <f>'bloco 02'!L11</f>
        <v/>
      </c>
      <c r="E51" s="46" t="str">
        <f>IFERROR(('bloco 02'!M11),"")</f>
        <v/>
      </c>
      <c r="F51" s="47" t="str">
        <f>'bloco 02'!N11</f>
        <v/>
      </c>
    </row>
    <row r="52" ht="15.75" customHeight="1">
      <c r="A52" s="12" t="str">
        <f>'bloco 02'!$I12</f>
        <v/>
      </c>
      <c r="B52" s="40" t="str">
        <f>'bloco 02'!J12</f>
        <v/>
      </c>
      <c r="C52" s="40" t="str">
        <f>'bloco 02'!K12</f>
        <v/>
      </c>
      <c r="D52" s="40" t="str">
        <f>'bloco 02'!L12</f>
        <v/>
      </c>
      <c r="E52" s="46" t="str">
        <f>IFERROR(('bloco 02'!M12),"")</f>
        <v/>
      </c>
      <c r="F52" s="47" t="str">
        <f>'bloco 02'!N12</f>
        <v/>
      </c>
    </row>
    <row r="53" ht="15.75" customHeight="1">
      <c r="A53" s="12" t="str">
        <f>'bloco 02'!$I13</f>
        <v/>
      </c>
      <c r="B53" s="40" t="str">
        <f>'bloco 02'!J13</f>
        <v/>
      </c>
      <c r="C53" s="40" t="str">
        <f>'bloco 02'!K13</f>
        <v/>
      </c>
      <c r="D53" s="40" t="str">
        <f>'bloco 02'!L13</f>
        <v/>
      </c>
      <c r="E53" s="46" t="str">
        <f>IFERROR(('bloco 02'!M13),"")</f>
        <v/>
      </c>
      <c r="F53" s="47" t="str">
        <f>'bloco 02'!N13</f>
        <v/>
      </c>
    </row>
    <row r="54" ht="15.75" customHeight="1">
      <c r="A54" s="12" t="str">
        <f>'bloco 02'!$I14</f>
        <v/>
      </c>
      <c r="B54" s="40" t="str">
        <f>'bloco 02'!J14</f>
        <v/>
      </c>
      <c r="C54" s="40" t="str">
        <f>'bloco 02'!K14</f>
        <v/>
      </c>
      <c r="D54" s="40" t="str">
        <f>'bloco 02'!L14</f>
        <v/>
      </c>
      <c r="E54" s="46" t="str">
        <f>IFERROR(('bloco 02'!M14),"")</f>
        <v/>
      </c>
      <c r="F54" s="47" t="str">
        <f>'bloco 02'!N14</f>
        <v/>
      </c>
    </row>
    <row r="55" ht="15.75" customHeight="1">
      <c r="A55" s="12" t="str">
        <f>'bloco 02'!$I15</f>
        <v/>
      </c>
      <c r="B55" s="40" t="str">
        <f>'bloco 02'!J15</f>
        <v/>
      </c>
      <c r="C55" s="40" t="str">
        <f>'bloco 02'!K15</f>
        <v/>
      </c>
      <c r="D55" s="40" t="str">
        <f>'bloco 02'!L15</f>
        <v/>
      </c>
      <c r="E55" s="46" t="str">
        <f>IFERROR(('bloco 02'!M15),"")</f>
        <v/>
      </c>
      <c r="F55" s="47" t="str">
        <f>'bloco 02'!N15</f>
        <v/>
      </c>
    </row>
    <row r="56" ht="15.75" customHeight="1">
      <c r="A56" s="26" t="s">
        <v>22</v>
      </c>
    </row>
    <row r="57" ht="15.75" customHeight="1">
      <c r="A57" s="29"/>
      <c r="B57" s="29" t="s">
        <v>13</v>
      </c>
      <c r="C57" s="31" t="s">
        <v>16</v>
      </c>
      <c r="D57" s="31" t="s">
        <v>15</v>
      </c>
      <c r="E57" s="31" t="s">
        <v>19</v>
      </c>
      <c r="F57" s="31" t="s">
        <v>11</v>
      </c>
    </row>
    <row r="58" ht="15.75" customHeight="1">
      <c r="A58" s="12" t="str">
        <f>'bloco 02'!$I21</f>
        <v/>
      </c>
      <c r="B58" s="40" t="str">
        <f>'bloco 02'!J21</f>
        <v/>
      </c>
      <c r="C58" s="40" t="str">
        <f>'bloco 02'!K21</f>
        <v/>
      </c>
      <c r="D58" s="40" t="str">
        <f>'bloco 02'!L21</f>
        <v/>
      </c>
      <c r="E58" s="46" t="str">
        <f>IFERROR(('bloco 02'!M21),"")</f>
        <v/>
      </c>
      <c r="F58" s="47" t="str">
        <f>'bloco 02'!N21</f>
        <v/>
      </c>
    </row>
    <row r="59" ht="15.75" customHeight="1">
      <c r="A59" s="12" t="str">
        <f>'bloco 02'!$I22</f>
        <v/>
      </c>
      <c r="B59" s="40" t="str">
        <f>'bloco 02'!J22</f>
        <v/>
      </c>
      <c r="C59" s="40" t="str">
        <f>'bloco 02'!K22</f>
        <v/>
      </c>
      <c r="D59" s="40" t="str">
        <f>'bloco 02'!L22</f>
        <v/>
      </c>
      <c r="E59" s="46" t="str">
        <f>IFERROR(('bloco 02'!M22),"")</f>
        <v/>
      </c>
      <c r="F59" s="47" t="str">
        <f>'bloco 02'!N22</f>
        <v/>
      </c>
    </row>
    <row r="60" ht="15.75" customHeight="1">
      <c r="A60" s="12" t="str">
        <f>'bloco 02'!$I23</f>
        <v/>
      </c>
      <c r="B60" s="40" t="str">
        <f>'bloco 02'!J23</f>
        <v/>
      </c>
      <c r="C60" s="40" t="str">
        <f>'bloco 02'!K23</f>
        <v/>
      </c>
      <c r="D60" s="40" t="str">
        <f>'bloco 02'!L23</f>
        <v/>
      </c>
      <c r="E60" s="46" t="str">
        <f>IFERROR(('bloco 02'!M23),"")</f>
        <v/>
      </c>
      <c r="F60" s="47" t="str">
        <f>'bloco 02'!N23</f>
        <v/>
      </c>
    </row>
    <row r="61" ht="15.75" customHeight="1">
      <c r="A61" s="12" t="str">
        <f>'bloco 02'!$I24</f>
        <v/>
      </c>
      <c r="B61" s="40" t="str">
        <f>'bloco 02'!J24</f>
        <v/>
      </c>
      <c r="C61" s="40" t="str">
        <f>'bloco 02'!K24</f>
        <v/>
      </c>
      <c r="D61" s="40" t="str">
        <f>'bloco 02'!L24</f>
        <v/>
      </c>
      <c r="E61" s="46" t="str">
        <f>IFERROR(('bloco 02'!M24),"")</f>
        <v/>
      </c>
      <c r="F61" s="47" t="str">
        <f>'bloco 02'!N24</f>
        <v/>
      </c>
    </row>
    <row r="62" ht="15.75" customHeight="1">
      <c r="A62" s="12" t="str">
        <f>'bloco 02'!$I25</f>
        <v/>
      </c>
      <c r="B62" s="40" t="str">
        <f>'bloco 02'!J25</f>
        <v/>
      </c>
      <c r="C62" s="40" t="str">
        <f>'bloco 02'!K25</f>
        <v/>
      </c>
      <c r="D62" s="40" t="str">
        <f>'bloco 02'!L25</f>
        <v/>
      </c>
      <c r="E62" s="46" t="str">
        <f>IFERROR(('bloco 02'!M25),"")</f>
        <v/>
      </c>
      <c r="F62" s="47" t="str">
        <f>'bloco 02'!N25</f>
        <v/>
      </c>
    </row>
    <row r="63" ht="15.75" customHeight="1">
      <c r="A63" s="12" t="str">
        <f>'bloco 02'!$I26</f>
        <v/>
      </c>
      <c r="B63" s="40" t="str">
        <f>'bloco 02'!J26</f>
        <v/>
      </c>
      <c r="C63" s="40" t="str">
        <f>'bloco 02'!K26</f>
        <v/>
      </c>
      <c r="D63" s="40" t="str">
        <f>'bloco 02'!L26</f>
        <v/>
      </c>
      <c r="E63" s="46" t="str">
        <f>IFERROR(('bloco 02'!M26),"")</f>
        <v/>
      </c>
      <c r="F63" s="47" t="str">
        <f>'bloco 02'!N26</f>
        <v/>
      </c>
    </row>
    <row r="64" ht="15.75" customHeight="1">
      <c r="A64" s="12" t="str">
        <f>'bloco 02'!$I27</f>
        <v/>
      </c>
      <c r="B64" s="40" t="str">
        <f>'bloco 02'!J27</f>
        <v/>
      </c>
      <c r="C64" s="40" t="str">
        <f>'bloco 02'!K27</f>
        <v/>
      </c>
      <c r="D64" s="40" t="str">
        <f>'bloco 02'!L27</f>
        <v/>
      </c>
      <c r="E64" s="46" t="str">
        <f>IFERROR(('bloco 02'!M27),"")</f>
        <v/>
      </c>
      <c r="F64" s="47" t="str">
        <f>'bloco 02'!N27</f>
        <v/>
      </c>
    </row>
    <row r="65" ht="15.75" customHeight="1">
      <c r="A65" s="12" t="str">
        <f>'bloco 02'!$I28</f>
        <v/>
      </c>
      <c r="B65" s="40" t="str">
        <f>'bloco 02'!J28</f>
        <v/>
      </c>
      <c r="C65" s="40" t="str">
        <f>'bloco 02'!K28</f>
        <v/>
      </c>
      <c r="D65" s="40" t="str">
        <f>'bloco 02'!L28</f>
        <v/>
      </c>
      <c r="E65" s="46" t="str">
        <f>IFERROR(('bloco 02'!M28),"")</f>
        <v/>
      </c>
      <c r="F65" s="47" t="str">
        <f>'bloco 02'!N28</f>
        <v/>
      </c>
    </row>
    <row r="66" ht="15.75" customHeight="1">
      <c r="A66" s="12" t="str">
        <f>'bloco 02'!$I29</f>
        <v/>
      </c>
      <c r="B66" s="40" t="str">
        <f>'bloco 02'!J29</f>
        <v/>
      </c>
      <c r="C66" s="40" t="str">
        <f>'bloco 02'!K29</f>
        <v/>
      </c>
      <c r="D66" s="40" t="str">
        <f>'bloco 02'!L29</f>
        <v/>
      </c>
      <c r="E66" s="46" t="str">
        <f>IFERROR(('bloco 02'!M29),"")</f>
        <v/>
      </c>
      <c r="F66" s="47" t="str">
        <f>'bloco 02'!N29</f>
        <v/>
      </c>
    </row>
    <row r="67" ht="15.75" customHeight="1">
      <c r="A67" s="12" t="str">
        <f>'bloco 02'!$I30</f>
        <v/>
      </c>
      <c r="B67" s="40" t="str">
        <f>'bloco 02'!J30</f>
        <v/>
      </c>
      <c r="C67" s="40" t="str">
        <f>'bloco 02'!K30</f>
        <v/>
      </c>
      <c r="D67" s="40" t="str">
        <f>'bloco 02'!L30</f>
        <v/>
      </c>
      <c r="E67" s="46" t="str">
        <f>IFERROR(('bloco 02'!M30),"")</f>
        <v/>
      </c>
      <c r="F67" s="47" t="str">
        <f>'bloco 02'!N30</f>
        <v/>
      </c>
    </row>
    <row r="68" ht="15.75" customHeight="1">
      <c r="A68" s="40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>
      <c r="A85" s="38">
        <f>'bloco 02'!Q3</f>
        <v>46288</v>
      </c>
    </row>
    <row r="86" ht="15.75" customHeight="1">
      <c r="A86" s="39" t="s">
        <v>24</v>
      </c>
    </row>
    <row r="87" ht="15.75" customHeight="1">
      <c r="A87" s="26" t="s">
        <v>10</v>
      </c>
    </row>
    <row r="88" ht="15.75" customHeight="1">
      <c r="A88" s="29"/>
      <c r="B88" s="29" t="s">
        <v>13</v>
      </c>
      <c r="C88" s="31" t="s">
        <v>16</v>
      </c>
      <c r="D88" s="31" t="s">
        <v>15</v>
      </c>
      <c r="E88" s="31" t="s">
        <v>19</v>
      </c>
      <c r="F88" s="31" t="s">
        <v>11</v>
      </c>
    </row>
    <row r="89" ht="15.75" customHeight="1">
      <c r="A89" s="12" t="str">
        <f>'bloco 02'!$P6</f>
        <v/>
      </c>
      <c r="B89" s="40" t="str">
        <f>'bloco 02'!Q6</f>
        <v/>
      </c>
      <c r="C89" s="40" t="str">
        <f>'bloco 02'!R6</f>
        <v/>
      </c>
      <c r="D89" s="40" t="str">
        <f>'bloco 02'!S6</f>
        <v/>
      </c>
      <c r="E89" s="46" t="str">
        <f>IFERROR(('bloco 02'!T6),"")</f>
        <v/>
      </c>
      <c r="F89" s="47" t="str">
        <f>'bloco 02'!U6</f>
        <v/>
      </c>
    </row>
    <row r="90" ht="15.75" customHeight="1">
      <c r="A90" s="12" t="str">
        <f>'bloco 02'!$P7</f>
        <v/>
      </c>
      <c r="B90" s="40" t="str">
        <f>'bloco 02'!Q7</f>
        <v/>
      </c>
      <c r="C90" s="40" t="str">
        <f>'bloco 02'!R7</f>
        <v/>
      </c>
      <c r="D90" s="40" t="str">
        <f>'bloco 02'!S7</f>
        <v/>
      </c>
      <c r="E90" s="46" t="str">
        <f>IFERROR(('bloco 02'!T7),"")</f>
        <v/>
      </c>
      <c r="F90" s="47" t="str">
        <f>'bloco 02'!U7</f>
        <v/>
      </c>
    </row>
    <row r="91" ht="15.75" customHeight="1">
      <c r="A91" s="12" t="str">
        <f>'bloco 02'!$P8</f>
        <v/>
      </c>
      <c r="B91" s="40" t="str">
        <f>'bloco 02'!Q8</f>
        <v/>
      </c>
      <c r="C91" s="40" t="str">
        <f>'bloco 02'!R8</f>
        <v/>
      </c>
      <c r="D91" s="40" t="str">
        <f>'bloco 02'!S8</f>
        <v/>
      </c>
      <c r="E91" s="46" t="str">
        <f>IFERROR(('bloco 02'!T8),"")</f>
        <v/>
      </c>
      <c r="F91" s="47" t="str">
        <f>'bloco 02'!U8</f>
        <v/>
      </c>
    </row>
    <row r="92" ht="15.75" customHeight="1">
      <c r="A92" s="12" t="str">
        <f>'bloco 02'!$P9</f>
        <v/>
      </c>
      <c r="B92" s="40" t="str">
        <f>'bloco 02'!Q9</f>
        <v/>
      </c>
      <c r="C92" s="40" t="str">
        <f>'bloco 02'!R9</f>
        <v/>
      </c>
      <c r="D92" s="40" t="str">
        <f>'bloco 02'!S9</f>
        <v/>
      </c>
      <c r="E92" s="46" t="str">
        <f>IFERROR(('bloco 02'!T9),"")</f>
        <v/>
      </c>
      <c r="F92" s="47" t="str">
        <f>'bloco 02'!U9</f>
        <v/>
      </c>
    </row>
    <row r="93" ht="15.75" customHeight="1">
      <c r="A93" s="12" t="str">
        <f>'bloco 02'!$P10</f>
        <v/>
      </c>
      <c r="B93" s="40" t="str">
        <f>'bloco 02'!Q10</f>
        <v/>
      </c>
      <c r="C93" s="40" t="str">
        <f>'bloco 02'!R10</f>
        <v/>
      </c>
      <c r="D93" s="40" t="str">
        <f>'bloco 02'!S10</f>
        <v/>
      </c>
      <c r="E93" s="46" t="str">
        <f>IFERROR(('bloco 02'!T10),"")</f>
        <v/>
      </c>
      <c r="F93" s="47" t="str">
        <f>'bloco 02'!U10</f>
        <v/>
      </c>
    </row>
    <row r="94" ht="15.75" customHeight="1">
      <c r="A94" s="12" t="str">
        <f>'bloco 02'!$P11</f>
        <v/>
      </c>
      <c r="B94" s="40" t="str">
        <f>'bloco 02'!Q11</f>
        <v/>
      </c>
      <c r="C94" s="40" t="str">
        <f>'bloco 02'!R11</f>
        <v/>
      </c>
      <c r="D94" s="40" t="str">
        <f>'bloco 02'!S11</f>
        <v/>
      </c>
      <c r="E94" s="46" t="str">
        <f>IFERROR(('bloco 02'!T11),"")</f>
        <v/>
      </c>
      <c r="F94" s="47" t="str">
        <f>'bloco 02'!U11</f>
        <v/>
      </c>
    </row>
    <row r="95" ht="15.75" customHeight="1">
      <c r="A95" s="12" t="str">
        <f>'bloco 02'!$P12</f>
        <v/>
      </c>
      <c r="B95" s="40" t="str">
        <f>'bloco 02'!Q12</f>
        <v/>
      </c>
      <c r="C95" s="40" t="str">
        <f>'bloco 02'!R12</f>
        <v/>
      </c>
      <c r="D95" s="40" t="str">
        <f>'bloco 02'!S12</f>
        <v/>
      </c>
      <c r="E95" s="46" t="str">
        <f>IFERROR(('bloco 02'!T12),"")</f>
        <v/>
      </c>
      <c r="F95" s="47" t="str">
        <f>'bloco 02'!U12</f>
        <v/>
      </c>
    </row>
    <row r="96" ht="15.75" customHeight="1">
      <c r="A96" s="12" t="str">
        <f>'bloco 02'!$P13</f>
        <v/>
      </c>
      <c r="B96" s="40" t="str">
        <f>'bloco 02'!Q13</f>
        <v/>
      </c>
      <c r="C96" s="40" t="str">
        <f>'bloco 02'!R13</f>
        <v/>
      </c>
      <c r="D96" s="40" t="str">
        <f>'bloco 02'!S13</f>
        <v/>
      </c>
      <c r="E96" s="46" t="str">
        <f>IFERROR(('bloco 02'!T13),"")</f>
        <v/>
      </c>
      <c r="F96" s="47" t="str">
        <f>'bloco 02'!U13</f>
        <v/>
      </c>
    </row>
    <row r="97" ht="15.75" customHeight="1">
      <c r="A97" s="12" t="str">
        <f>'bloco 02'!$P14</f>
        <v/>
      </c>
      <c r="B97" s="40" t="str">
        <f>'bloco 02'!Q14</f>
        <v/>
      </c>
      <c r="C97" s="40" t="str">
        <f>'bloco 02'!R14</f>
        <v/>
      </c>
      <c r="D97" s="40" t="str">
        <f>'bloco 02'!S14</f>
        <v/>
      </c>
      <c r="E97" s="46" t="str">
        <f>IFERROR(('bloco 02'!T14),"")</f>
        <v/>
      </c>
      <c r="F97" s="47" t="str">
        <f>'bloco 02'!U14</f>
        <v/>
      </c>
    </row>
    <row r="98" ht="15.75" customHeight="1">
      <c r="A98" s="12" t="str">
        <f>'bloco 02'!$P15</f>
        <v/>
      </c>
      <c r="B98" s="40" t="str">
        <f>'bloco 02'!Q15</f>
        <v/>
      </c>
      <c r="C98" s="40" t="str">
        <f>'bloco 02'!R15</f>
        <v/>
      </c>
      <c r="D98" s="40" t="str">
        <f>'bloco 02'!S15</f>
        <v/>
      </c>
      <c r="E98" s="46" t="str">
        <f>IFERROR(('bloco 02'!T15),"")</f>
        <v/>
      </c>
      <c r="F98" s="47" t="str">
        <f>'bloco 02'!U15</f>
        <v/>
      </c>
    </row>
    <row r="99" ht="15.75" customHeight="1">
      <c r="A99" s="26" t="s">
        <v>22</v>
      </c>
    </row>
    <row r="100" ht="15.75" customHeight="1">
      <c r="A100" s="29"/>
      <c r="B100" s="29" t="s">
        <v>13</v>
      </c>
      <c r="C100" s="31" t="s">
        <v>16</v>
      </c>
      <c r="D100" s="31" t="s">
        <v>15</v>
      </c>
      <c r="E100" s="31" t="s">
        <v>19</v>
      </c>
      <c r="F100" s="31" t="s">
        <v>11</v>
      </c>
    </row>
    <row r="101" ht="15.75" customHeight="1">
      <c r="A101" s="12" t="str">
        <f>'bloco 02'!$P21</f>
        <v/>
      </c>
      <c r="B101" s="40" t="str">
        <f>'bloco 02'!Q21</f>
        <v/>
      </c>
      <c r="C101" s="40" t="str">
        <f>'bloco 02'!R21</f>
        <v/>
      </c>
      <c r="D101" s="40" t="str">
        <f>'bloco 02'!S21</f>
        <v/>
      </c>
      <c r="E101" s="46" t="str">
        <f>IFERROR(('bloco 02'!T21),"")</f>
        <v/>
      </c>
      <c r="F101" s="47" t="str">
        <f>'bloco 02'!U21</f>
        <v/>
      </c>
    </row>
    <row r="102" ht="15.75" customHeight="1">
      <c r="A102" s="12" t="str">
        <f>'bloco 02'!$P22</f>
        <v/>
      </c>
      <c r="B102" s="40" t="str">
        <f>'bloco 02'!Q22</f>
        <v/>
      </c>
      <c r="C102" s="40" t="str">
        <f>'bloco 02'!R22</f>
        <v/>
      </c>
      <c r="D102" s="40" t="str">
        <f>'bloco 02'!S22</f>
        <v/>
      </c>
      <c r="E102" s="46" t="str">
        <f>IFERROR(('bloco 02'!T22),"")</f>
        <v/>
      </c>
      <c r="F102" s="47" t="str">
        <f>'bloco 02'!U22</f>
        <v/>
      </c>
    </row>
    <row r="103" ht="15.75" customHeight="1">
      <c r="A103" s="12" t="str">
        <f>'bloco 02'!$P23</f>
        <v/>
      </c>
      <c r="B103" s="40" t="str">
        <f>'bloco 02'!Q23</f>
        <v/>
      </c>
      <c r="C103" s="40" t="str">
        <f>'bloco 02'!R23</f>
        <v/>
      </c>
      <c r="D103" s="40" t="str">
        <f>'bloco 02'!S23</f>
        <v/>
      </c>
      <c r="E103" s="46" t="str">
        <f>IFERROR(('bloco 02'!T23),"")</f>
        <v/>
      </c>
      <c r="F103" s="47" t="str">
        <f>'bloco 02'!U23</f>
        <v/>
      </c>
    </row>
    <row r="104" ht="15.75" customHeight="1">
      <c r="A104" s="12" t="str">
        <f>'bloco 02'!$P24</f>
        <v/>
      </c>
      <c r="B104" s="40" t="str">
        <f>'bloco 02'!Q24</f>
        <v/>
      </c>
      <c r="C104" s="40" t="str">
        <f>'bloco 02'!R24</f>
        <v/>
      </c>
      <c r="D104" s="40" t="str">
        <f>'bloco 02'!S24</f>
        <v/>
      </c>
      <c r="E104" s="46" t="str">
        <f>IFERROR(('bloco 02'!T24),"")</f>
        <v/>
      </c>
      <c r="F104" s="47" t="str">
        <f>'bloco 02'!U24</f>
        <v/>
      </c>
    </row>
    <row r="105" ht="15.75" customHeight="1">
      <c r="A105" s="12" t="str">
        <f>'bloco 02'!$P25</f>
        <v/>
      </c>
      <c r="B105" s="40" t="str">
        <f>'bloco 02'!Q25</f>
        <v/>
      </c>
      <c r="C105" s="40" t="str">
        <f>'bloco 02'!R25</f>
        <v/>
      </c>
      <c r="D105" s="40" t="str">
        <f>'bloco 02'!S25</f>
        <v/>
      </c>
      <c r="E105" s="46" t="str">
        <f>IFERROR(('bloco 02'!T25),"")</f>
        <v/>
      </c>
      <c r="F105" s="47" t="str">
        <f>'bloco 02'!U25</f>
        <v/>
      </c>
    </row>
    <row r="106" ht="15.75" customHeight="1">
      <c r="A106" s="12" t="str">
        <f>'bloco 02'!$P26</f>
        <v/>
      </c>
      <c r="B106" s="40" t="str">
        <f>'bloco 02'!Q26</f>
        <v/>
      </c>
      <c r="C106" s="40" t="str">
        <f>'bloco 02'!R26</f>
        <v/>
      </c>
      <c r="D106" s="40" t="str">
        <f>'bloco 02'!S26</f>
        <v/>
      </c>
      <c r="E106" s="46" t="str">
        <f>IFERROR(('bloco 02'!T26),"")</f>
        <v/>
      </c>
      <c r="F106" s="47" t="str">
        <f>'bloco 02'!U26</f>
        <v/>
      </c>
    </row>
    <row r="107" ht="15.75" customHeight="1">
      <c r="A107" s="12" t="str">
        <f>'bloco 02'!$P27</f>
        <v/>
      </c>
      <c r="B107" s="40" t="str">
        <f>'bloco 02'!Q27</f>
        <v/>
      </c>
      <c r="C107" s="40" t="str">
        <f>'bloco 02'!R27</f>
        <v/>
      </c>
      <c r="D107" s="40" t="str">
        <f>'bloco 02'!S27</f>
        <v/>
      </c>
      <c r="E107" s="46" t="str">
        <f>IFERROR(('bloco 02'!T27),"")</f>
        <v/>
      </c>
      <c r="F107" s="47" t="str">
        <f>'bloco 02'!U27</f>
        <v/>
      </c>
    </row>
    <row r="108" ht="15.75" customHeight="1">
      <c r="A108" s="12" t="str">
        <f>'bloco 02'!$P28</f>
        <v/>
      </c>
      <c r="B108" s="40" t="str">
        <f>'bloco 02'!Q28</f>
        <v/>
      </c>
      <c r="C108" s="40" t="str">
        <f>'bloco 02'!R28</f>
        <v/>
      </c>
      <c r="D108" s="40" t="str">
        <f>'bloco 02'!S28</f>
        <v/>
      </c>
      <c r="E108" s="46" t="str">
        <f>IFERROR(('bloco 02'!T28),"")</f>
        <v/>
      </c>
      <c r="F108" s="47" t="str">
        <f>'bloco 02'!U28</f>
        <v/>
      </c>
    </row>
    <row r="109" ht="15.75" customHeight="1">
      <c r="A109" s="12" t="str">
        <f>'bloco 02'!$P29</f>
        <v/>
      </c>
      <c r="B109" s="40" t="str">
        <f>'bloco 02'!Q29</f>
        <v/>
      </c>
      <c r="C109" s="40" t="str">
        <f>'bloco 02'!R29</f>
        <v/>
      </c>
      <c r="D109" s="40" t="str">
        <f>'bloco 02'!S29</f>
        <v/>
      </c>
      <c r="E109" s="46" t="str">
        <f>IFERROR(('bloco 02'!T29),"")</f>
        <v/>
      </c>
      <c r="F109" s="47" t="str">
        <f>'bloco 02'!U29</f>
        <v/>
      </c>
    </row>
    <row r="110" ht="15.75" customHeight="1">
      <c r="A110" s="12" t="str">
        <f>'bloco 02'!$P30</f>
        <v/>
      </c>
      <c r="B110" s="40" t="str">
        <f>'bloco 02'!Q30</f>
        <v/>
      </c>
      <c r="C110" s="40" t="str">
        <f>'bloco 02'!R30</f>
        <v/>
      </c>
      <c r="D110" s="40" t="str">
        <f>'bloco 02'!S30</f>
        <v/>
      </c>
      <c r="E110" s="46" t="str">
        <f>IFERROR(('bloco 02'!T30),"")</f>
        <v/>
      </c>
      <c r="F110" s="47" t="str">
        <f>'bloco 02'!U30</f>
        <v/>
      </c>
    </row>
    <row r="111" ht="15.75" customHeight="1">
      <c r="A111" s="40"/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>
      <c r="A128" s="38">
        <f>'bloco 02'!X3</f>
        <v>46295</v>
      </c>
    </row>
    <row r="129" ht="15.75" customHeight="1">
      <c r="A129" s="39" t="s">
        <v>25</v>
      </c>
    </row>
    <row r="130" ht="15.75" customHeight="1">
      <c r="A130" s="26" t="s">
        <v>10</v>
      </c>
    </row>
    <row r="131" ht="15.75" customHeight="1">
      <c r="A131" s="29"/>
      <c r="B131" s="29" t="s">
        <v>13</v>
      </c>
      <c r="C131" s="31" t="s">
        <v>16</v>
      </c>
      <c r="D131" s="31" t="s">
        <v>15</v>
      </c>
      <c r="E131" s="31" t="s">
        <v>19</v>
      </c>
      <c r="F131" s="31" t="s">
        <v>11</v>
      </c>
    </row>
    <row r="132" ht="15.75" customHeight="1">
      <c r="A132" s="12" t="str">
        <f>'bloco 02'!$W6</f>
        <v/>
      </c>
      <c r="B132" s="40" t="str">
        <f>'bloco 02'!X6</f>
        <v/>
      </c>
      <c r="C132" s="40" t="str">
        <f>'bloco 02'!Y6</f>
        <v/>
      </c>
      <c r="D132" s="40" t="str">
        <f>'bloco 02'!Z6</f>
        <v/>
      </c>
      <c r="E132" s="46" t="str">
        <f>IFERROR(('bloco 02'!AA6),"")</f>
        <v/>
      </c>
      <c r="F132" s="47" t="str">
        <f>'bloco 02'!AB6</f>
        <v/>
      </c>
    </row>
    <row r="133" ht="15.75" customHeight="1">
      <c r="A133" s="12" t="str">
        <f>'bloco 02'!$W7</f>
        <v/>
      </c>
      <c r="B133" s="40" t="str">
        <f>'bloco 02'!X7</f>
        <v/>
      </c>
      <c r="C133" s="40" t="str">
        <f>'bloco 02'!Y7</f>
        <v/>
      </c>
      <c r="D133" s="40" t="str">
        <f>'bloco 02'!Z7</f>
        <v/>
      </c>
      <c r="E133" s="46" t="str">
        <f>IFERROR(('bloco 02'!AA7),"")</f>
        <v/>
      </c>
      <c r="F133" s="47" t="str">
        <f>'bloco 02'!AB7</f>
        <v/>
      </c>
    </row>
    <row r="134" ht="15.75" customHeight="1">
      <c r="A134" s="12" t="str">
        <f>'bloco 02'!$W8</f>
        <v/>
      </c>
      <c r="B134" s="40" t="str">
        <f>'bloco 02'!X8</f>
        <v/>
      </c>
      <c r="C134" s="40" t="str">
        <f>'bloco 02'!Y8</f>
        <v/>
      </c>
      <c r="D134" s="40" t="str">
        <f>'bloco 02'!Z8</f>
        <v/>
      </c>
      <c r="E134" s="46" t="str">
        <f>IFERROR(('bloco 02'!AA8),"")</f>
        <v/>
      </c>
      <c r="F134" s="47" t="str">
        <f>'bloco 02'!AB8</f>
        <v/>
      </c>
    </row>
    <row r="135" ht="15.75" customHeight="1">
      <c r="A135" s="12" t="str">
        <f>'bloco 02'!$W9</f>
        <v/>
      </c>
      <c r="B135" s="40" t="str">
        <f>'bloco 02'!X9</f>
        <v/>
      </c>
      <c r="C135" s="40" t="str">
        <f>'bloco 02'!Y9</f>
        <v/>
      </c>
      <c r="D135" s="40" t="str">
        <f>'bloco 02'!Z9</f>
        <v/>
      </c>
      <c r="E135" s="46" t="str">
        <f>IFERROR(('bloco 02'!AA9),"")</f>
        <v/>
      </c>
      <c r="F135" s="47" t="str">
        <f>'bloco 02'!AB9</f>
        <v/>
      </c>
    </row>
    <row r="136" ht="15.75" customHeight="1">
      <c r="A136" s="12" t="str">
        <f>'bloco 02'!$W10</f>
        <v/>
      </c>
      <c r="B136" s="40" t="str">
        <f>'bloco 02'!X10</f>
        <v/>
      </c>
      <c r="C136" s="40" t="str">
        <f>'bloco 02'!Y10</f>
        <v/>
      </c>
      <c r="D136" s="40" t="str">
        <f>'bloco 02'!Z10</f>
        <v/>
      </c>
      <c r="E136" s="46" t="str">
        <f>IFERROR(('bloco 02'!AA10),"")</f>
        <v/>
      </c>
      <c r="F136" s="47" t="str">
        <f>'bloco 02'!AB10</f>
        <v/>
      </c>
    </row>
    <row r="137" ht="15.75" customHeight="1">
      <c r="A137" s="12" t="str">
        <f>'bloco 02'!$W11</f>
        <v/>
      </c>
      <c r="B137" s="40" t="str">
        <f>'bloco 02'!X11</f>
        <v/>
      </c>
      <c r="C137" s="40" t="str">
        <f>'bloco 02'!Y11</f>
        <v/>
      </c>
      <c r="D137" s="40" t="str">
        <f>'bloco 02'!Z11</f>
        <v/>
      </c>
      <c r="E137" s="46" t="str">
        <f>IFERROR(('bloco 02'!AA11),"")</f>
        <v/>
      </c>
      <c r="F137" s="47" t="str">
        <f>'bloco 02'!AB11</f>
        <v/>
      </c>
    </row>
    <row r="138" ht="15.75" customHeight="1">
      <c r="A138" s="12" t="str">
        <f>'bloco 02'!$W12</f>
        <v/>
      </c>
      <c r="B138" s="40" t="str">
        <f>'bloco 02'!X12</f>
        <v/>
      </c>
      <c r="C138" s="40" t="str">
        <f>'bloco 02'!Y12</f>
        <v/>
      </c>
      <c r="D138" s="40" t="str">
        <f>'bloco 02'!Z12</f>
        <v/>
      </c>
      <c r="E138" s="46" t="str">
        <f>IFERROR(('bloco 02'!AA12),"")</f>
        <v/>
      </c>
      <c r="F138" s="47" t="str">
        <f>'bloco 02'!AB12</f>
        <v/>
      </c>
    </row>
    <row r="139" ht="15.75" customHeight="1">
      <c r="A139" s="12" t="str">
        <f>'bloco 02'!$W13</f>
        <v/>
      </c>
      <c r="B139" s="40" t="str">
        <f>'bloco 02'!X13</f>
        <v/>
      </c>
      <c r="C139" s="40" t="str">
        <f>'bloco 02'!Y13</f>
        <v/>
      </c>
      <c r="D139" s="40" t="str">
        <f>'bloco 02'!Z13</f>
        <v/>
      </c>
      <c r="E139" s="46" t="str">
        <f>IFERROR(('bloco 02'!AA13),"")</f>
        <v/>
      </c>
      <c r="F139" s="47" t="str">
        <f>'bloco 02'!AB13</f>
        <v/>
      </c>
    </row>
    <row r="140" ht="15.75" customHeight="1">
      <c r="A140" s="12" t="str">
        <f>'bloco 02'!$W14</f>
        <v/>
      </c>
      <c r="B140" s="40" t="str">
        <f>'bloco 02'!X14</f>
        <v/>
      </c>
      <c r="C140" s="40" t="str">
        <f>'bloco 02'!Y14</f>
        <v/>
      </c>
      <c r="D140" s="40" t="str">
        <f>'bloco 02'!Z14</f>
        <v/>
      </c>
      <c r="E140" s="46" t="str">
        <f>IFERROR(('bloco 02'!AA14),"")</f>
        <v/>
      </c>
      <c r="F140" s="47" t="str">
        <f>'bloco 02'!AB14</f>
        <v/>
      </c>
    </row>
    <row r="141" ht="15.75" customHeight="1">
      <c r="A141" s="12" t="str">
        <f>'bloco 02'!$W15</f>
        <v/>
      </c>
      <c r="B141" s="40" t="str">
        <f>'bloco 02'!X15</f>
        <v/>
      </c>
      <c r="C141" s="40" t="str">
        <f>'bloco 02'!Y15</f>
        <v/>
      </c>
      <c r="D141" s="40" t="str">
        <f>'bloco 02'!Z15</f>
        <v/>
      </c>
      <c r="E141" s="46" t="str">
        <f>IFERROR(('bloco 02'!AA15),"")</f>
        <v/>
      </c>
      <c r="F141" s="47" t="str">
        <f>'bloco 02'!AB15</f>
        <v/>
      </c>
    </row>
    <row r="142" ht="15.75" customHeight="1">
      <c r="A142" s="26" t="s">
        <v>22</v>
      </c>
    </row>
    <row r="143" ht="15.75" customHeight="1">
      <c r="A143" s="29"/>
      <c r="B143" s="29" t="s">
        <v>13</v>
      </c>
      <c r="C143" s="31" t="s">
        <v>16</v>
      </c>
      <c r="D143" s="31" t="s">
        <v>15</v>
      </c>
      <c r="E143" s="31" t="s">
        <v>19</v>
      </c>
      <c r="F143" s="31" t="s">
        <v>11</v>
      </c>
    </row>
    <row r="144" ht="15.75" customHeight="1">
      <c r="A144" s="12" t="str">
        <f>'bloco 02'!$W21</f>
        <v/>
      </c>
      <c r="B144" s="40" t="str">
        <f>'bloco 02'!X21</f>
        <v/>
      </c>
      <c r="C144" s="40" t="str">
        <f>'bloco 02'!Y21</f>
        <v/>
      </c>
      <c r="D144" s="40" t="str">
        <f>'bloco 02'!Z21</f>
        <v/>
      </c>
      <c r="E144" s="46" t="str">
        <f>IFERROR(('bloco 02'!AA21),"")</f>
        <v/>
      </c>
      <c r="F144" s="47" t="str">
        <f>'bloco 02'!AB21</f>
        <v/>
      </c>
    </row>
    <row r="145" ht="15.75" customHeight="1">
      <c r="A145" s="12" t="str">
        <f>'bloco 02'!$W22</f>
        <v/>
      </c>
      <c r="B145" s="40" t="str">
        <f>'bloco 02'!X22</f>
        <v/>
      </c>
      <c r="C145" s="40" t="str">
        <f>'bloco 02'!Y22</f>
        <v/>
      </c>
      <c r="D145" s="40" t="str">
        <f>'bloco 02'!Z22</f>
        <v/>
      </c>
      <c r="E145" s="46" t="str">
        <f>IFERROR(('bloco 02'!AA22),"")</f>
        <v/>
      </c>
      <c r="F145" s="47" t="str">
        <f>'bloco 02'!AB22</f>
        <v/>
      </c>
    </row>
    <row r="146" ht="15.75" customHeight="1">
      <c r="A146" s="12" t="str">
        <f>'bloco 02'!$W23</f>
        <v/>
      </c>
      <c r="B146" s="40" t="str">
        <f>'bloco 02'!X23</f>
        <v/>
      </c>
      <c r="C146" s="40" t="str">
        <f>'bloco 02'!Y23</f>
        <v/>
      </c>
      <c r="D146" s="40" t="str">
        <f>'bloco 02'!Z23</f>
        <v/>
      </c>
      <c r="E146" s="46" t="str">
        <f>IFERROR(('bloco 02'!AA23),"")</f>
        <v/>
      </c>
      <c r="F146" s="47" t="str">
        <f>'bloco 02'!AB23</f>
        <v/>
      </c>
    </row>
    <row r="147" ht="15.75" customHeight="1">
      <c r="A147" s="12" t="str">
        <f>'bloco 02'!$W24</f>
        <v/>
      </c>
      <c r="B147" s="40" t="str">
        <f>'bloco 02'!X24</f>
        <v/>
      </c>
      <c r="C147" s="40" t="str">
        <f>'bloco 02'!Y24</f>
        <v/>
      </c>
      <c r="D147" s="40" t="str">
        <f>'bloco 02'!Z24</f>
        <v/>
      </c>
      <c r="E147" s="46" t="str">
        <f>IFERROR(('bloco 02'!AA24),"")</f>
        <v/>
      </c>
      <c r="F147" s="47" t="str">
        <f>'bloco 02'!AB24</f>
        <v/>
      </c>
    </row>
    <row r="148" ht="15.75" customHeight="1">
      <c r="A148" s="12" t="str">
        <f>'bloco 02'!$W25</f>
        <v/>
      </c>
      <c r="B148" s="40" t="str">
        <f>'bloco 02'!X25</f>
        <v/>
      </c>
      <c r="C148" s="40" t="str">
        <f>'bloco 02'!Y25</f>
        <v/>
      </c>
      <c r="D148" s="40" t="str">
        <f>'bloco 02'!Z25</f>
        <v/>
      </c>
      <c r="E148" s="46" t="str">
        <f>IFERROR(('bloco 02'!AA25),"")</f>
        <v/>
      </c>
      <c r="F148" s="47" t="str">
        <f>'bloco 02'!AB25</f>
        <v/>
      </c>
    </row>
    <row r="149" ht="15.75" customHeight="1">
      <c r="A149" s="12" t="str">
        <f>'bloco 02'!$W26</f>
        <v/>
      </c>
      <c r="B149" s="40" t="str">
        <f>'bloco 02'!X26</f>
        <v/>
      </c>
      <c r="C149" s="40" t="str">
        <f>'bloco 02'!Y26</f>
        <v/>
      </c>
      <c r="D149" s="40" t="str">
        <f>'bloco 02'!Z26</f>
        <v/>
      </c>
      <c r="E149" s="46" t="str">
        <f>IFERROR(('bloco 02'!AA26),"")</f>
        <v/>
      </c>
      <c r="F149" s="47" t="str">
        <f>'bloco 02'!AB26</f>
        <v/>
      </c>
    </row>
    <row r="150" ht="15.75" customHeight="1">
      <c r="A150" s="12" t="str">
        <f>'bloco 02'!$W27</f>
        <v/>
      </c>
      <c r="B150" s="40" t="str">
        <f>'bloco 02'!X27</f>
        <v/>
      </c>
      <c r="C150" s="40" t="str">
        <f>'bloco 02'!Y27</f>
        <v/>
      </c>
      <c r="D150" s="40" t="str">
        <f>'bloco 02'!Z27</f>
        <v/>
      </c>
      <c r="E150" s="46" t="str">
        <f>IFERROR(('bloco 02'!AA27),"")</f>
        <v/>
      </c>
      <c r="F150" s="47" t="str">
        <f>'bloco 02'!AB27</f>
        <v/>
      </c>
    </row>
    <row r="151" ht="15.75" customHeight="1">
      <c r="A151" s="12" t="str">
        <f>'bloco 02'!$W28</f>
        <v/>
      </c>
      <c r="B151" s="40" t="str">
        <f>'bloco 02'!X28</f>
        <v/>
      </c>
      <c r="C151" s="40" t="str">
        <f>'bloco 02'!Y28</f>
        <v/>
      </c>
      <c r="D151" s="40" t="str">
        <f>'bloco 02'!Z28</f>
        <v/>
      </c>
      <c r="E151" s="46" t="str">
        <f>IFERROR(('bloco 02'!AA28),"")</f>
        <v/>
      </c>
      <c r="F151" s="47" t="str">
        <f>'bloco 02'!AB28</f>
        <v/>
      </c>
    </row>
    <row r="152" ht="15.75" customHeight="1">
      <c r="A152" s="12" t="str">
        <f>'bloco 02'!$W29</f>
        <v/>
      </c>
      <c r="B152" s="40" t="str">
        <f>'bloco 02'!X29</f>
        <v/>
      </c>
      <c r="C152" s="40" t="str">
        <f>'bloco 02'!Y29</f>
        <v/>
      </c>
      <c r="D152" s="40" t="str">
        <f>'bloco 02'!Z29</f>
        <v/>
      </c>
      <c r="E152" s="46" t="str">
        <f>IFERROR(('bloco 02'!AA29),"")</f>
        <v/>
      </c>
      <c r="F152" s="47" t="str">
        <f>'bloco 02'!AB29</f>
        <v/>
      </c>
    </row>
    <row r="153" ht="15.75" customHeight="1">
      <c r="A153" s="12" t="str">
        <f>'bloco 02'!$W30</f>
        <v/>
      </c>
      <c r="B153" s="40" t="str">
        <f>'bloco 02'!X30</f>
        <v/>
      </c>
      <c r="C153" s="40" t="str">
        <f>'bloco 02'!Y30</f>
        <v/>
      </c>
      <c r="D153" s="40" t="str">
        <f>'bloco 02'!Z30</f>
        <v/>
      </c>
      <c r="E153" s="46" t="str">
        <f>IFERROR(('bloco 02'!AA30),"")</f>
        <v/>
      </c>
      <c r="F153" s="47" t="str">
        <f>'bloco 02'!AB30</f>
        <v/>
      </c>
    </row>
    <row r="154" ht="15.75" customHeight="1">
      <c r="A154" s="40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>
      <c r="A171" s="11"/>
      <c r="B171" s="11"/>
      <c r="C171" s="11"/>
      <c r="D171" s="11"/>
      <c r="E171" s="11"/>
      <c r="F171" s="11"/>
      <c r="G171" s="11"/>
    </row>
    <row r="172" ht="15.75" customHeight="1">
      <c r="A172" s="11"/>
      <c r="B172" s="11"/>
      <c r="C172" s="11"/>
      <c r="D172" s="11"/>
      <c r="E172" s="11"/>
      <c r="F172" s="11"/>
      <c r="G172" s="11"/>
    </row>
    <row r="173" ht="15.75" customHeight="1">
      <c r="A173" s="11"/>
      <c r="B173" s="11"/>
      <c r="C173" s="11"/>
      <c r="D173" s="11"/>
      <c r="E173" s="11"/>
      <c r="F173" s="11"/>
      <c r="G173" s="11"/>
    </row>
    <row r="174" ht="15.75" customHeight="1">
      <c r="A174" s="11"/>
      <c r="B174" s="11"/>
      <c r="C174" s="11"/>
      <c r="D174" s="11"/>
      <c r="E174" s="11"/>
      <c r="F174" s="11"/>
      <c r="G174" s="11"/>
    </row>
    <row r="175" ht="15.75" customHeight="1">
      <c r="A175" s="11"/>
      <c r="B175" s="11"/>
      <c r="C175" s="11"/>
      <c r="D175" s="11"/>
      <c r="E175" s="11"/>
      <c r="F175" s="11"/>
      <c r="G175" s="11"/>
    </row>
    <row r="176" ht="15.75" customHeight="1">
      <c r="A176" s="11"/>
      <c r="B176" s="11"/>
      <c r="C176" s="11"/>
      <c r="D176" s="11"/>
      <c r="E176" s="11"/>
      <c r="F176" s="11"/>
      <c r="G176" s="11"/>
    </row>
    <row r="177" ht="15.75" customHeight="1">
      <c r="A177" s="11"/>
      <c r="B177" s="11"/>
      <c r="C177" s="11"/>
      <c r="D177" s="11"/>
      <c r="E177" s="11"/>
      <c r="F177" s="11"/>
      <c r="G177" s="11"/>
    </row>
    <row r="178" ht="15.75" customHeight="1">
      <c r="A178" s="11"/>
      <c r="B178" s="11"/>
      <c r="C178" s="11"/>
      <c r="D178" s="11"/>
      <c r="E178" s="11"/>
      <c r="F178" s="11"/>
      <c r="G178" s="11"/>
    </row>
    <row r="179" ht="15.75" customHeight="1">
      <c r="A179" s="11"/>
      <c r="B179" s="11"/>
      <c r="C179" s="11"/>
      <c r="D179" s="11"/>
      <c r="E179" s="11"/>
      <c r="F179" s="11"/>
      <c r="G179" s="11"/>
    </row>
    <row r="180" ht="15.75" customHeight="1">
      <c r="A180" s="11"/>
      <c r="B180" s="11"/>
      <c r="C180" s="11"/>
      <c r="D180" s="11"/>
      <c r="E180" s="11"/>
      <c r="F180" s="11"/>
      <c r="G180" s="11"/>
    </row>
    <row r="181" ht="15.75" customHeight="1">
      <c r="A181" s="11"/>
      <c r="B181" s="11"/>
      <c r="C181" s="11"/>
      <c r="D181" s="11"/>
      <c r="E181" s="11"/>
      <c r="F181" s="11"/>
      <c r="G181" s="11"/>
    </row>
    <row r="182" ht="15.75" customHeight="1">
      <c r="A182" s="11"/>
      <c r="B182" s="11"/>
      <c r="C182" s="11"/>
      <c r="D182" s="11"/>
      <c r="E182" s="11"/>
      <c r="F182" s="11"/>
      <c r="G182" s="11"/>
    </row>
    <row r="183" ht="15.75" customHeight="1">
      <c r="A183" s="11"/>
      <c r="B183" s="11"/>
      <c r="C183" s="11"/>
      <c r="D183" s="11"/>
      <c r="E183" s="11"/>
      <c r="F183" s="11"/>
      <c r="G183" s="11"/>
    </row>
    <row r="184" ht="15.75" customHeight="1">
      <c r="A184" s="11"/>
      <c r="B184" s="11"/>
      <c r="C184" s="11"/>
      <c r="D184" s="11"/>
      <c r="E184" s="11"/>
      <c r="F184" s="11"/>
      <c r="G184" s="11"/>
    </row>
    <row r="185" ht="15.75" customHeight="1">
      <c r="A185" s="11"/>
      <c r="B185" s="11"/>
      <c r="C185" s="11"/>
      <c r="D185" s="11"/>
      <c r="E185" s="11"/>
      <c r="F185" s="11"/>
      <c r="G185" s="11"/>
    </row>
    <row r="186" ht="15.75" customHeight="1">
      <c r="A186" s="11"/>
      <c r="B186" s="11"/>
      <c r="C186" s="11"/>
      <c r="D186" s="11"/>
      <c r="E186" s="11"/>
      <c r="F186" s="11"/>
      <c r="G186" s="11"/>
    </row>
    <row r="187" ht="15.75" customHeight="1">
      <c r="A187" s="11"/>
      <c r="B187" s="11"/>
      <c r="C187" s="11"/>
      <c r="D187" s="11"/>
      <c r="E187" s="11"/>
      <c r="F187" s="11"/>
      <c r="G187" s="11"/>
    </row>
    <row r="188" ht="15.75" customHeight="1">
      <c r="A188" s="11"/>
      <c r="B188" s="11"/>
      <c r="C188" s="11"/>
      <c r="D188" s="11"/>
      <c r="E188" s="11"/>
      <c r="F188" s="11"/>
      <c r="G188" s="11"/>
    </row>
    <row r="189" ht="15.75" customHeight="1">
      <c r="A189" s="11"/>
      <c r="B189" s="11"/>
      <c r="C189" s="11"/>
      <c r="D189" s="11"/>
      <c r="E189" s="11"/>
      <c r="F189" s="11"/>
      <c r="G189" s="11"/>
    </row>
    <row r="190" ht="15.75" customHeight="1">
      <c r="A190" s="11"/>
      <c r="B190" s="11"/>
      <c r="C190" s="11"/>
      <c r="D190" s="11"/>
      <c r="E190" s="11"/>
      <c r="F190" s="11"/>
      <c r="G190" s="11"/>
    </row>
    <row r="191" ht="15.75" customHeight="1">
      <c r="A191" s="11"/>
      <c r="B191" s="11"/>
      <c r="C191" s="11"/>
      <c r="D191" s="11"/>
      <c r="E191" s="11"/>
      <c r="F191" s="11"/>
      <c r="G191" s="11"/>
    </row>
    <row r="192" ht="15.75" customHeight="1">
      <c r="A192" s="11"/>
      <c r="B192" s="11"/>
      <c r="C192" s="11"/>
      <c r="D192" s="11"/>
      <c r="E192" s="11"/>
      <c r="F192" s="11"/>
      <c r="G192" s="11"/>
    </row>
    <row r="193" ht="15.75" customHeight="1">
      <c r="A193" s="11"/>
      <c r="B193" s="11"/>
      <c r="C193" s="11"/>
      <c r="D193" s="11"/>
      <c r="E193" s="11"/>
      <c r="F193" s="11"/>
      <c r="G193" s="11"/>
    </row>
    <row r="194" ht="15.75" customHeight="1">
      <c r="A194" s="11"/>
      <c r="B194" s="11"/>
      <c r="C194" s="11"/>
      <c r="D194" s="11"/>
      <c r="E194" s="11"/>
      <c r="F194" s="11"/>
      <c r="G194" s="11"/>
    </row>
    <row r="195" ht="15.75" customHeight="1">
      <c r="A195" s="11"/>
      <c r="B195" s="11"/>
      <c r="C195" s="11"/>
      <c r="D195" s="11"/>
      <c r="E195" s="11"/>
      <c r="F195" s="11"/>
      <c r="G195" s="11"/>
    </row>
    <row r="196" ht="15.75" customHeight="1">
      <c r="A196" s="11"/>
      <c r="B196" s="11"/>
      <c r="C196" s="11"/>
      <c r="D196" s="11"/>
      <c r="E196" s="11"/>
      <c r="F196" s="11"/>
      <c r="G196" s="11"/>
    </row>
    <row r="197" ht="15.75" customHeight="1">
      <c r="A197" s="11"/>
      <c r="B197" s="11"/>
      <c r="C197" s="11"/>
      <c r="D197" s="11"/>
      <c r="E197" s="11"/>
      <c r="F197" s="11"/>
      <c r="G197" s="11"/>
    </row>
    <row r="198" ht="15.75" customHeight="1">
      <c r="A198" s="11"/>
      <c r="B198" s="11"/>
      <c r="C198" s="11"/>
      <c r="D198" s="11"/>
      <c r="E198" s="11"/>
      <c r="F198" s="11"/>
      <c r="G198" s="11"/>
    </row>
    <row r="199" ht="15.75" customHeight="1">
      <c r="A199" s="11"/>
      <c r="B199" s="11"/>
      <c r="C199" s="11"/>
      <c r="D199" s="11"/>
      <c r="E199" s="11"/>
      <c r="F199" s="11"/>
      <c r="G199" s="11"/>
    </row>
    <row r="200" ht="15.75" customHeight="1">
      <c r="A200" s="11"/>
      <c r="B200" s="11"/>
      <c r="C200" s="11"/>
      <c r="D200" s="11"/>
      <c r="E200" s="11"/>
      <c r="F200" s="11"/>
      <c r="G200" s="11"/>
    </row>
    <row r="201" ht="15.75" customHeight="1">
      <c r="A201" s="11"/>
      <c r="B201" s="11"/>
      <c r="C201" s="11"/>
      <c r="D201" s="11"/>
      <c r="E201" s="11"/>
      <c r="F201" s="11"/>
      <c r="G201" s="11"/>
    </row>
    <row r="202" ht="15.75" customHeight="1">
      <c r="A202" s="11"/>
      <c r="B202" s="11"/>
      <c r="C202" s="11"/>
      <c r="D202" s="11"/>
      <c r="E202" s="11"/>
      <c r="F202" s="11"/>
      <c r="G202" s="11"/>
    </row>
    <row r="203" ht="15.75" customHeight="1">
      <c r="A203" s="11"/>
      <c r="B203" s="11"/>
      <c r="C203" s="11"/>
      <c r="D203" s="11"/>
      <c r="E203" s="11"/>
      <c r="F203" s="11"/>
      <c r="G203" s="11"/>
    </row>
    <row r="204" ht="15.75" customHeight="1">
      <c r="A204" s="11"/>
      <c r="B204" s="11"/>
      <c r="C204" s="11"/>
      <c r="D204" s="11"/>
      <c r="E204" s="11"/>
      <c r="F204" s="11"/>
      <c r="G204" s="11"/>
    </row>
    <row r="205" ht="15.75" customHeight="1">
      <c r="A205" s="11"/>
      <c r="B205" s="11"/>
      <c r="C205" s="11"/>
      <c r="D205" s="11"/>
      <c r="E205" s="11"/>
      <c r="F205" s="11"/>
      <c r="G205" s="11"/>
    </row>
    <row r="206" ht="15.75" customHeight="1">
      <c r="A206" s="11"/>
      <c r="B206" s="11"/>
      <c r="C206" s="11"/>
      <c r="D206" s="11"/>
      <c r="E206" s="11"/>
      <c r="F206" s="11"/>
      <c r="G206" s="11"/>
    </row>
    <row r="207" ht="15.75" customHeight="1">
      <c r="A207" s="11"/>
      <c r="B207" s="11"/>
      <c r="C207" s="11"/>
      <c r="D207" s="11"/>
      <c r="E207" s="11"/>
      <c r="F207" s="11"/>
      <c r="G207" s="11"/>
    </row>
    <row r="208" ht="15.75" customHeight="1">
      <c r="A208" s="11"/>
      <c r="B208" s="11"/>
      <c r="C208" s="11"/>
      <c r="D208" s="11"/>
      <c r="E208" s="11"/>
      <c r="F208" s="11"/>
      <c r="G208" s="11"/>
    </row>
    <row r="209" ht="15.75" customHeight="1">
      <c r="A209" s="11"/>
      <c r="B209" s="11"/>
      <c r="C209" s="11"/>
      <c r="D209" s="11"/>
      <c r="E209" s="11"/>
      <c r="F209" s="11"/>
      <c r="G209" s="11"/>
    </row>
    <row r="210" ht="15.75" customHeight="1">
      <c r="A210" s="11"/>
      <c r="B210" s="11"/>
      <c r="C210" s="11"/>
      <c r="D210" s="11"/>
      <c r="E210" s="11"/>
      <c r="F210" s="11"/>
      <c r="G210" s="11"/>
    </row>
    <row r="211" ht="15.75" customHeight="1">
      <c r="A211" s="11"/>
      <c r="B211" s="11"/>
      <c r="C211" s="11"/>
      <c r="D211" s="11"/>
      <c r="E211" s="11"/>
      <c r="F211" s="11"/>
      <c r="G211" s="11"/>
    </row>
    <row r="212" ht="15.75" customHeight="1">
      <c r="A212" s="11"/>
      <c r="B212" s="11"/>
      <c r="C212" s="11"/>
      <c r="D212" s="11"/>
      <c r="E212" s="11"/>
      <c r="F212" s="11"/>
      <c r="G212" s="11"/>
    </row>
    <row r="213" ht="15.75" customHeight="1">
      <c r="A213" s="11"/>
      <c r="B213" s="11"/>
      <c r="C213" s="11"/>
      <c r="D213" s="11"/>
      <c r="E213" s="11"/>
      <c r="F213" s="11"/>
      <c r="G213" s="11"/>
    </row>
    <row r="214" ht="15.75" customHeight="1">
      <c r="A214" s="11"/>
      <c r="B214" s="11"/>
      <c r="C214" s="11"/>
      <c r="D214" s="11"/>
      <c r="E214" s="11"/>
      <c r="F214" s="11"/>
      <c r="G214" s="11"/>
    </row>
    <row r="215" ht="15.75" customHeight="1">
      <c r="A215" s="11"/>
      <c r="B215" s="11"/>
      <c r="C215" s="11"/>
      <c r="D215" s="11"/>
      <c r="E215" s="11"/>
      <c r="F215" s="11"/>
      <c r="G215" s="11"/>
    </row>
    <row r="216" ht="15.75" customHeight="1">
      <c r="A216" s="11"/>
      <c r="B216" s="11"/>
      <c r="C216" s="11"/>
      <c r="D216" s="11"/>
      <c r="E216" s="11"/>
      <c r="F216" s="11"/>
      <c r="G216" s="11"/>
    </row>
    <row r="217" ht="15.75" customHeight="1">
      <c r="A217" s="11"/>
      <c r="B217" s="11"/>
      <c r="C217" s="11"/>
      <c r="D217" s="11"/>
      <c r="E217" s="11"/>
      <c r="F217" s="11"/>
      <c r="G217" s="11"/>
    </row>
    <row r="218" ht="15.75" customHeight="1">
      <c r="A218" s="11"/>
      <c r="B218" s="11"/>
      <c r="C218" s="11"/>
      <c r="D218" s="11"/>
      <c r="E218" s="11"/>
      <c r="F218" s="11"/>
      <c r="G218" s="11"/>
    </row>
    <row r="219" ht="15.75" customHeight="1">
      <c r="A219" s="11"/>
      <c r="B219" s="11"/>
      <c r="C219" s="11"/>
      <c r="D219" s="11"/>
      <c r="E219" s="11"/>
      <c r="F219" s="11"/>
      <c r="G219" s="11"/>
    </row>
    <row r="220" ht="15.75" customHeight="1">
      <c r="A220" s="11"/>
      <c r="B220" s="11"/>
      <c r="C220" s="11"/>
      <c r="D220" s="11"/>
      <c r="E220" s="11"/>
      <c r="F220" s="11"/>
      <c r="G220" s="11"/>
    </row>
    <row r="221" ht="15.75" customHeight="1">
      <c r="A221" s="11"/>
      <c r="B221" s="11"/>
      <c r="C221" s="11"/>
      <c r="D221" s="11"/>
      <c r="E221" s="11"/>
      <c r="F221" s="11"/>
      <c r="G221" s="11"/>
    </row>
    <row r="222" ht="15.75" customHeight="1">
      <c r="A222" s="11"/>
      <c r="B222" s="11"/>
      <c r="C222" s="11"/>
      <c r="D222" s="11"/>
      <c r="E222" s="11"/>
      <c r="F222" s="11"/>
      <c r="G222" s="11"/>
    </row>
    <row r="223" ht="15.75" customHeight="1">
      <c r="A223" s="11"/>
      <c r="B223" s="11"/>
      <c r="C223" s="11"/>
      <c r="D223" s="11"/>
      <c r="E223" s="11"/>
      <c r="F223" s="11"/>
      <c r="G223" s="11"/>
    </row>
    <row r="224" ht="15.75" customHeight="1">
      <c r="A224" s="11"/>
      <c r="B224" s="11"/>
      <c r="C224" s="11"/>
      <c r="D224" s="11"/>
      <c r="E224" s="11"/>
      <c r="F224" s="11"/>
      <c r="G224" s="11"/>
    </row>
    <row r="225" ht="15.75" customHeight="1">
      <c r="A225" s="11"/>
      <c r="B225" s="11"/>
      <c r="C225" s="11"/>
      <c r="D225" s="11"/>
      <c r="E225" s="11"/>
      <c r="F225" s="11"/>
      <c r="G225" s="11"/>
    </row>
    <row r="226" ht="15.75" customHeight="1">
      <c r="A226" s="11"/>
      <c r="B226" s="11"/>
      <c r="C226" s="11"/>
      <c r="D226" s="11"/>
      <c r="E226" s="11"/>
      <c r="F226" s="11"/>
      <c r="G226" s="11"/>
    </row>
    <row r="227" ht="15.75" customHeight="1">
      <c r="A227" s="11"/>
      <c r="B227" s="11"/>
      <c r="C227" s="11"/>
      <c r="D227" s="11"/>
      <c r="E227" s="11"/>
      <c r="F227" s="11"/>
      <c r="G227" s="11"/>
    </row>
    <row r="228" ht="15.75" customHeight="1">
      <c r="A228" s="11"/>
      <c r="B228" s="11"/>
      <c r="C228" s="11"/>
      <c r="D228" s="11"/>
      <c r="E228" s="11"/>
      <c r="F228" s="11"/>
      <c r="G228" s="11"/>
    </row>
    <row r="229" ht="15.75" customHeight="1">
      <c r="A229" s="11"/>
      <c r="B229" s="11"/>
      <c r="C229" s="11"/>
      <c r="D229" s="11"/>
      <c r="E229" s="11"/>
      <c r="F229" s="11"/>
      <c r="G229" s="11"/>
    </row>
    <row r="230" ht="15.75" customHeight="1">
      <c r="A230" s="11"/>
      <c r="B230" s="11"/>
      <c r="C230" s="11"/>
      <c r="D230" s="11"/>
      <c r="E230" s="11"/>
      <c r="F230" s="11"/>
      <c r="G230" s="11"/>
    </row>
    <row r="231" ht="15.75" customHeight="1">
      <c r="A231" s="11"/>
      <c r="B231" s="11"/>
      <c r="C231" s="11"/>
      <c r="D231" s="11"/>
      <c r="E231" s="11"/>
      <c r="F231" s="11"/>
      <c r="G231" s="11"/>
    </row>
    <row r="232" ht="15.75" customHeight="1">
      <c r="A232" s="11"/>
      <c r="B232" s="11"/>
      <c r="C232" s="11"/>
      <c r="D232" s="11"/>
      <c r="E232" s="11"/>
      <c r="F232" s="11"/>
      <c r="G232" s="11"/>
    </row>
    <row r="233" ht="15.75" customHeight="1">
      <c r="A233" s="11"/>
      <c r="B233" s="11"/>
      <c r="C233" s="11"/>
      <c r="D233" s="11"/>
      <c r="E233" s="11"/>
      <c r="F233" s="11"/>
      <c r="G233" s="11"/>
    </row>
    <row r="234" ht="15.75" customHeight="1">
      <c r="A234" s="11"/>
      <c r="B234" s="11"/>
      <c r="C234" s="11"/>
      <c r="D234" s="11"/>
      <c r="E234" s="11"/>
      <c r="F234" s="11"/>
      <c r="G234" s="11"/>
    </row>
    <row r="235" ht="15.75" customHeight="1">
      <c r="A235" s="11"/>
      <c r="B235" s="11"/>
      <c r="C235" s="11"/>
      <c r="D235" s="11"/>
      <c r="E235" s="11"/>
      <c r="F235" s="11"/>
      <c r="G235" s="11"/>
    </row>
    <row r="236" ht="15.75" customHeight="1">
      <c r="A236" s="11"/>
      <c r="B236" s="11"/>
      <c r="C236" s="11"/>
      <c r="D236" s="11"/>
      <c r="E236" s="11"/>
      <c r="F236" s="11"/>
      <c r="G236" s="11"/>
    </row>
    <row r="237" ht="15.75" customHeight="1">
      <c r="A237" s="11"/>
      <c r="B237" s="11"/>
      <c r="C237" s="11"/>
      <c r="D237" s="11"/>
      <c r="E237" s="11"/>
      <c r="F237" s="11"/>
      <c r="G237" s="11"/>
    </row>
    <row r="238" ht="15.75" customHeight="1">
      <c r="A238" s="11"/>
      <c r="B238" s="11"/>
      <c r="C238" s="11"/>
      <c r="D238" s="11"/>
      <c r="E238" s="11"/>
      <c r="F238" s="11"/>
      <c r="G238" s="11"/>
    </row>
    <row r="239" ht="15.75" customHeight="1">
      <c r="A239" s="11"/>
      <c r="B239" s="11"/>
      <c r="C239" s="11"/>
      <c r="D239" s="11"/>
      <c r="E239" s="11"/>
      <c r="F239" s="11"/>
      <c r="G239" s="11"/>
    </row>
    <row r="240" ht="15.75" customHeight="1">
      <c r="A240" s="11"/>
      <c r="B240" s="11"/>
      <c r="C240" s="11"/>
      <c r="D240" s="11"/>
      <c r="E240" s="11"/>
      <c r="F240" s="11"/>
      <c r="G240" s="11"/>
    </row>
    <row r="241" ht="15.75" customHeight="1">
      <c r="A241" s="11"/>
      <c r="B241" s="11"/>
      <c r="C241" s="11"/>
      <c r="D241" s="11"/>
      <c r="E241" s="11"/>
      <c r="F241" s="11"/>
      <c r="G241" s="11"/>
    </row>
    <row r="242" ht="15.75" customHeight="1">
      <c r="A242" s="11"/>
      <c r="B242" s="11"/>
      <c r="C242" s="11"/>
      <c r="D242" s="11"/>
      <c r="E242" s="11"/>
      <c r="F242" s="11"/>
      <c r="G242" s="11"/>
    </row>
    <row r="243" ht="15.75" customHeight="1">
      <c r="A243" s="11"/>
      <c r="B243" s="11"/>
      <c r="C243" s="11"/>
      <c r="D243" s="11"/>
      <c r="E243" s="11"/>
      <c r="F243" s="11"/>
      <c r="G243" s="11"/>
    </row>
    <row r="244" ht="15.75" customHeight="1">
      <c r="A244" s="11"/>
      <c r="B244" s="11"/>
      <c r="C244" s="11"/>
      <c r="D244" s="11"/>
      <c r="E244" s="11"/>
      <c r="F244" s="11"/>
      <c r="G244" s="11"/>
    </row>
    <row r="245" ht="15.75" customHeight="1">
      <c r="A245" s="11"/>
      <c r="B245" s="11"/>
      <c r="C245" s="11"/>
      <c r="D245" s="11"/>
      <c r="E245" s="11"/>
      <c r="F245" s="11"/>
      <c r="G245" s="11"/>
    </row>
    <row r="246" ht="15.75" customHeight="1">
      <c r="A246" s="11"/>
      <c r="B246" s="11"/>
      <c r="C246" s="11"/>
      <c r="D246" s="11"/>
      <c r="E246" s="11"/>
      <c r="F246" s="11"/>
      <c r="G246" s="11"/>
    </row>
    <row r="247" ht="15.75" customHeight="1">
      <c r="A247" s="11"/>
      <c r="B247" s="11"/>
      <c r="C247" s="11"/>
      <c r="D247" s="11"/>
      <c r="E247" s="11"/>
      <c r="F247" s="11"/>
      <c r="G247" s="11"/>
    </row>
    <row r="248" ht="15.75" customHeight="1">
      <c r="A248" s="11"/>
      <c r="B248" s="11"/>
      <c r="C248" s="11"/>
      <c r="D248" s="11"/>
      <c r="E248" s="11"/>
      <c r="F248" s="11"/>
      <c r="G248" s="11"/>
    </row>
    <row r="249" ht="15.75" customHeight="1">
      <c r="A249" s="11"/>
      <c r="B249" s="11"/>
      <c r="C249" s="11"/>
      <c r="D249" s="11"/>
      <c r="E249" s="11"/>
      <c r="F249" s="11"/>
      <c r="G249" s="11"/>
    </row>
    <row r="250" ht="15.75" customHeight="1">
      <c r="A250" s="11"/>
      <c r="B250" s="11"/>
      <c r="C250" s="11"/>
      <c r="D250" s="11"/>
      <c r="E250" s="11"/>
      <c r="F250" s="11"/>
      <c r="G250" s="11"/>
    </row>
    <row r="251" ht="15.75" customHeight="1">
      <c r="A251" s="11"/>
      <c r="B251" s="11"/>
      <c r="C251" s="11"/>
      <c r="D251" s="11"/>
      <c r="E251" s="11"/>
      <c r="F251" s="11"/>
      <c r="G251" s="11"/>
    </row>
    <row r="252" ht="15.75" customHeight="1">
      <c r="A252" s="11"/>
      <c r="B252" s="11"/>
      <c r="C252" s="11"/>
      <c r="D252" s="11"/>
      <c r="E252" s="11"/>
      <c r="F252" s="11"/>
      <c r="G252" s="11"/>
    </row>
    <row r="253" ht="15.75" customHeight="1">
      <c r="A253" s="11"/>
      <c r="B253" s="11"/>
      <c r="C253" s="11"/>
      <c r="D253" s="11"/>
      <c r="E253" s="11"/>
      <c r="F253" s="11"/>
      <c r="G253" s="11"/>
    </row>
    <row r="254" ht="15.75" customHeight="1">
      <c r="A254" s="11"/>
      <c r="B254" s="11"/>
      <c r="C254" s="11"/>
      <c r="D254" s="11"/>
      <c r="E254" s="11"/>
      <c r="F254" s="11"/>
      <c r="G254" s="11"/>
    </row>
    <row r="255" ht="15.75" customHeight="1">
      <c r="A255" s="11"/>
      <c r="B255" s="11"/>
      <c r="C255" s="11"/>
      <c r="D255" s="11"/>
      <c r="E255" s="11"/>
      <c r="F255" s="11"/>
      <c r="G255" s="11"/>
    </row>
    <row r="256" ht="15.75" customHeight="1">
      <c r="A256" s="11"/>
      <c r="B256" s="11"/>
      <c r="C256" s="11"/>
      <c r="D256" s="11"/>
      <c r="E256" s="11"/>
      <c r="F256" s="11"/>
      <c r="G256" s="11"/>
    </row>
    <row r="257" ht="15.75" customHeight="1">
      <c r="A257" s="11"/>
      <c r="B257" s="11"/>
      <c r="C257" s="11"/>
      <c r="D257" s="11"/>
      <c r="E257" s="11"/>
      <c r="F257" s="11"/>
      <c r="G257" s="11"/>
    </row>
    <row r="258" ht="15.75" customHeight="1">
      <c r="A258" s="11"/>
      <c r="B258" s="11"/>
      <c r="C258" s="11"/>
      <c r="D258" s="11"/>
      <c r="E258" s="11"/>
      <c r="F258" s="11"/>
      <c r="G258" s="11"/>
    </row>
    <row r="259" ht="15.75" customHeight="1">
      <c r="A259" s="11"/>
      <c r="B259" s="11"/>
      <c r="C259" s="11"/>
      <c r="D259" s="11"/>
      <c r="E259" s="11"/>
      <c r="F259" s="11"/>
      <c r="G259" s="11"/>
    </row>
    <row r="260" ht="15.75" customHeight="1">
      <c r="A260" s="11"/>
      <c r="B260" s="11"/>
      <c r="C260" s="11"/>
      <c r="D260" s="11"/>
      <c r="E260" s="11"/>
      <c r="F260" s="11"/>
      <c r="G260" s="11"/>
    </row>
    <row r="261" ht="15.75" customHeight="1">
      <c r="A261" s="11"/>
      <c r="B261" s="11"/>
      <c r="C261" s="11"/>
      <c r="D261" s="11"/>
      <c r="E261" s="11"/>
      <c r="F261" s="11"/>
      <c r="G261" s="11"/>
    </row>
    <row r="262" ht="15.75" customHeight="1">
      <c r="A262" s="11"/>
      <c r="B262" s="11"/>
      <c r="C262" s="11"/>
      <c r="D262" s="11"/>
      <c r="E262" s="11"/>
      <c r="F262" s="11"/>
      <c r="G262" s="11"/>
    </row>
    <row r="263" ht="15.75" customHeight="1">
      <c r="A263" s="11"/>
      <c r="B263" s="11"/>
      <c r="C263" s="11"/>
      <c r="D263" s="11"/>
      <c r="E263" s="11"/>
      <c r="F263" s="11"/>
      <c r="G263" s="11"/>
    </row>
    <row r="264" ht="15.75" customHeight="1">
      <c r="A264" s="11"/>
      <c r="B264" s="11"/>
      <c r="C264" s="11"/>
      <c r="D264" s="11"/>
      <c r="E264" s="11"/>
      <c r="F264" s="11"/>
      <c r="G264" s="11"/>
    </row>
    <row r="265" ht="15.75" customHeight="1">
      <c r="A265" s="11"/>
      <c r="B265" s="11"/>
      <c r="C265" s="11"/>
      <c r="D265" s="11"/>
      <c r="E265" s="11"/>
      <c r="F265" s="11"/>
      <c r="G265" s="11"/>
    </row>
    <row r="266" ht="15.75" customHeight="1">
      <c r="A266" s="11"/>
      <c r="B266" s="11"/>
      <c r="C266" s="11"/>
      <c r="D266" s="11"/>
      <c r="E266" s="11"/>
      <c r="F266" s="11"/>
      <c r="G266" s="11"/>
    </row>
    <row r="267" ht="15.75" customHeight="1">
      <c r="A267" s="11"/>
      <c r="B267" s="11"/>
      <c r="C267" s="11"/>
      <c r="D267" s="11"/>
      <c r="E267" s="11"/>
      <c r="F267" s="11"/>
      <c r="G267" s="11"/>
    </row>
    <row r="268" ht="15.75" customHeight="1">
      <c r="A268" s="11"/>
      <c r="B268" s="11"/>
      <c r="C268" s="11"/>
      <c r="D268" s="11"/>
      <c r="E268" s="11"/>
      <c r="F268" s="11"/>
      <c r="G268" s="11"/>
    </row>
    <row r="269" ht="15.75" customHeight="1">
      <c r="A269" s="11"/>
      <c r="B269" s="11"/>
      <c r="C269" s="11"/>
      <c r="D269" s="11"/>
      <c r="E269" s="11"/>
      <c r="F269" s="11"/>
      <c r="G269" s="11"/>
    </row>
    <row r="270" ht="15.75" customHeight="1">
      <c r="A270" s="11"/>
      <c r="B270" s="11"/>
      <c r="C270" s="11"/>
      <c r="D270" s="11"/>
      <c r="E270" s="11"/>
      <c r="F270" s="11"/>
      <c r="G270" s="11"/>
    </row>
    <row r="271" ht="15.75" customHeight="1">
      <c r="A271" s="11"/>
      <c r="B271" s="11"/>
      <c r="C271" s="11"/>
      <c r="D271" s="11"/>
      <c r="E271" s="11"/>
      <c r="F271" s="11"/>
      <c r="G271" s="11"/>
    </row>
    <row r="272" ht="15.75" customHeight="1">
      <c r="A272" s="11"/>
      <c r="B272" s="11"/>
      <c r="C272" s="11"/>
      <c r="D272" s="11"/>
      <c r="E272" s="11"/>
      <c r="F272" s="11"/>
      <c r="G272" s="11"/>
    </row>
    <row r="273" ht="15.75" customHeight="1">
      <c r="A273" s="11"/>
      <c r="B273" s="11"/>
      <c r="C273" s="11"/>
      <c r="D273" s="11"/>
      <c r="E273" s="11"/>
      <c r="F273" s="11"/>
      <c r="G273" s="11"/>
    </row>
    <row r="274" ht="15.75" customHeight="1">
      <c r="A274" s="11"/>
      <c r="B274" s="11"/>
      <c r="C274" s="11"/>
      <c r="D274" s="11"/>
      <c r="E274" s="11"/>
      <c r="F274" s="11"/>
      <c r="G274" s="11"/>
    </row>
    <row r="275" ht="15.75" customHeight="1">
      <c r="A275" s="11"/>
      <c r="B275" s="11"/>
      <c r="C275" s="11"/>
      <c r="D275" s="11"/>
      <c r="E275" s="11"/>
      <c r="F275" s="11"/>
      <c r="G275" s="11"/>
    </row>
    <row r="276" ht="15.75" customHeight="1">
      <c r="A276" s="11"/>
      <c r="B276" s="11"/>
      <c r="C276" s="11"/>
      <c r="D276" s="11"/>
      <c r="E276" s="11"/>
      <c r="F276" s="11"/>
      <c r="G276" s="11"/>
    </row>
    <row r="277" ht="15.75" customHeight="1">
      <c r="A277" s="11"/>
      <c r="B277" s="11"/>
      <c r="C277" s="11"/>
      <c r="D277" s="11"/>
      <c r="E277" s="11"/>
      <c r="F277" s="11"/>
      <c r="G277" s="11"/>
    </row>
    <row r="278" ht="15.75" customHeight="1">
      <c r="A278" s="11"/>
      <c r="B278" s="11"/>
      <c r="C278" s="11"/>
      <c r="D278" s="11"/>
      <c r="E278" s="11"/>
      <c r="F278" s="11"/>
      <c r="G278" s="11"/>
    </row>
    <row r="279" ht="15.75" customHeight="1">
      <c r="A279" s="11"/>
      <c r="B279" s="11"/>
      <c r="C279" s="11"/>
      <c r="D279" s="11"/>
      <c r="E279" s="11"/>
      <c r="F279" s="11"/>
      <c r="G279" s="11"/>
    </row>
    <row r="280" ht="15.75" customHeight="1">
      <c r="A280" s="11"/>
      <c r="B280" s="11"/>
      <c r="C280" s="11"/>
      <c r="D280" s="11"/>
      <c r="E280" s="11"/>
      <c r="F280" s="11"/>
      <c r="G280" s="11"/>
    </row>
    <row r="281" ht="15.75" customHeight="1">
      <c r="A281" s="11"/>
      <c r="B281" s="11"/>
      <c r="C281" s="11"/>
      <c r="D281" s="11"/>
      <c r="E281" s="11"/>
      <c r="F281" s="11"/>
      <c r="G281" s="11"/>
    </row>
    <row r="282" ht="15.75" customHeight="1">
      <c r="A282" s="11"/>
      <c r="B282" s="11"/>
      <c r="C282" s="11"/>
      <c r="D282" s="11"/>
      <c r="E282" s="11"/>
      <c r="F282" s="11"/>
      <c r="G282" s="11"/>
    </row>
    <row r="283" ht="15.75" customHeight="1">
      <c r="A283" s="11"/>
      <c r="B283" s="11"/>
      <c r="C283" s="11"/>
      <c r="D283" s="11"/>
      <c r="E283" s="11"/>
      <c r="F283" s="11"/>
      <c r="G283" s="11"/>
    </row>
    <row r="284" ht="15.75" customHeight="1">
      <c r="A284" s="11"/>
      <c r="B284" s="11"/>
      <c r="C284" s="11"/>
      <c r="D284" s="11"/>
      <c r="E284" s="11"/>
      <c r="F284" s="11"/>
      <c r="G284" s="11"/>
    </row>
    <row r="285" ht="15.75" customHeight="1">
      <c r="A285" s="11"/>
      <c r="B285" s="11"/>
      <c r="C285" s="11"/>
      <c r="D285" s="11"/>
      <c r="E285" s="11"/>
      <c r="F285" s="11"/>
      <c r="G285" s="11"/>
    </row>
    <row r="286" ht="15.75" customHeight="1">
      <c r="A286" s="11"/>
      <c r="B286" s="11"/>
      <c r="C286" s="11"/>
      <c r="D286" s="11"/>
      <c r="E286" s="11"/>
      <c r="F286" s="11"/>
      <c r="G286" s="11"/>
    </row>
    <row r="287" ht="15.75" customHeight="1">
      <c r="A287" s="11"/>
      <c r="B287" s="11"/>
      <c r="C287" s="11"/>
      <c r="D287" s="11"/>
      <c r="E287" s="11"/>
      <c r="F287" s="11"/>
      <c r="G287" s="11"/>
    </row>
    <row r="288" ht="15.75" customHeight="1">
      <c r="A288" s="11"/>
      <c r="B288" s="11"/>
      <c r="C288" s="11"/>
      <c r="D288" s="11"/>
      <c r="E288" s="11"/>
      <c r="F288" s="11"/>
      <c r="G288" s="11"/>
    </row>
    <row r="289" ht="15.75" customHeight="1">
      <c r="A289" s="11"/>
      <c r="B289" s="11"/>
      <c r="C289" s="11"/>
      <c r="D289" s="11"/>
      <c r="E289" s="11"/>
      <c r="F289" s="11"/>
      <c r="G289" s="11"/>
    </row>
    <row r="290" ht="15.75" customHeight="1">
      <c r="A290" s="11"/>
      <c r="B290" s="11"/>
      <c r="C290" s="11"/>
      <c r="D290" s="11"/>
      <c r="E290" s="11"/>
      <c r="F290" s="11"/>
      <c r="G290" s="11"/>
    </row>
    <row r="291" ht="15.75" customHeight="1">
      <c r="A291" s="11"/>
      <c r="B291" s="11"/>
      <c r="C291" s="11"/>
      <c r="D291" s="11"/>
      <c r="E291" s="11"/>
      <c r="F291" s="11"/>
      <c r="G291" s="11"/>
    </row>
    <row r="292" ht="15.75" customHeight="1">
      <c r="A292" s="11"/>
      <c r="B292" s="11"/>
      <c r="C292" s="11"/>
      <c r="D292" s="11"/>
      <c r="E292" s="11"/>
      <c r="F292" s="11"/>
      <c r="G292" s="11"/>
    </row>
    <row r="293" ht="15.75" customHeight="1">
      <c r="A293" s="11"/>
      <c r="B293" s="11"/>
      <c r="C293" s="11"/>
      <c r="D293" s="11"/>
      <c r="E293" s="11"/>
      <c r="F293" s="11"/>
      <c r="G293" s="11"/>
    </row>
    <row r="294" ht="15.75" customHeight="1">
      <c r="A294" s="11"/>
      <c r="B294" s="11"/>
      <c r="C294" s="11"/>
      <c r="D294" s="11"/>
      <c r="E294" s="11"/>
      <c r="F294" s="11"/>
      <c r="G294" s="11"/>
    </row>
    <row r="295" ht="15.75" customHeight="1">
      <c r="A295" s="11"/>
      <c r="B295" s="11"/>
      <c r="C295" s="11"/>
      <c r="D295" s="11"/>
      <c r="E295" s="11"/>
      <c r="F295" s="11"/>
      <c r="G295" s="11"/>
    </row>
    <row r="296" ht="15.75" customHeight="1">
      <c r="A296" s="11"/>
      <c r="B296" s="11"/>
      <c r="C296" s="11"/>
      <c r="D296" s="11"/>
      <c r="E296" s="11"/>
      <c r="F296" s="11"/>
      <c r="G296" s="11"/>
    </row>
    <row r="297" ht="15.75" customHeight="1">
      <c r="A297" s="11"/>
      <c r="B297" s="11"/>
      <c r="C297" s="11"/>
      <c r="D297" s="11"/>
      <c r="E297" s="11"/>
      <c r="F297" s="11"/>
      <c r="G297" s="11"/>
    </row>
    <row r="298" ht="15.75" customHeight="1">
      <c r="A298" s="11"/>
      <c r="B298" s="11"/>
      <c r="C298" s="11"/>
      <c r="D298" s="11"/>
      <c r="E298" s="11"/>
      <c r="F298" s="11"/>
      <c r="G298" s="11"/>
    </row>
    <row r="299" ht="15.75" customHeight="1">
      <c r="A299" s="11"/>
      <c r="B299" s="11"/>
      <c r="C299" s="11"/>
      <c r="D299" s="11"/>
      <c r="E299" s="11"/>
      <c r="F299" s="11"/>
      <c r="G299" s="11"/>
    </row>
    <row r="300" ht="15.75" customHeight="1">
      <c r="A300" s="11"/>
      <c r="B300" s="11"/>
      <c r="C300" s="11"/>
      <c r="D300" s="11"/>
      <c r="E300" s="11"/>
      <c r="F300" s="11"/>
      <c r="G300" s="11"/>
    </row>
    <row r="301" ht="15.75" customHeight="1">
      <c r="A301" s="11"/>
      <c r="B301" s="11"/>
      <c r="C301" s="11"/>
      <c r="D301" s="11"/>
      <c r="E301" s="11"/>
      <c r="F301" s="11"/>
      <c r="G301" s="11"/>
    </row>
    <row r="302" ht="15.75" customHeight="1">
      <c r="A302" s="11"/>
      <c r="B302" s="11"/>
      <c r="C302" s="11"/>
      <c r="D302" s="11"/>
      <c r="E302" s="11"/>
      <c r="F302" s="11"/>
      <c r="G302" s="11"/>
    </row>
    <row r="303" ht="15.75" customHeight="1">
      <c r="A303" s="11"/>
      <c r="B303" s="11"/>
      <c r="C303" s="11"/>
      <c r="D303" s="11"/>
      <c r="E303" s="11"/>
      <c r="F303" s="11"/>
      <c r="G303" s="11"/>
    </row>
    <row r="304" ht="15.75" customHeight="1">
      <c r="A304" s="11"/>
      <c r="B304" s="11"/>
      <c r="C304" s="11"/>
      <c r="D304" s="11"/>
      <c r="E304" s="11"/>
      <c r="F304" s="11"/>
      <c r="G304" s="11"/>
    </row>
    <row r="305" ht="15.75" customHeight="1">
      <c r="A305" s="11"/>
      <c r="B305" s="11"/>
      <c r="C305" s="11"/>
      <c r="D305" s="11"/>
      <c r="E305" s="11"/>
      <c r="F305" s="11"/>
      <c r="G305" s="11"/>
    </row>
    <row r="306" ht="15.75" customHeight="1">
      <c r="A306" s="11"/>
      <c r="B306" s="11"/>
      <c r="C306" s="11"/>
      <c r="D306" s="11"/>
      <c r="E306" s="11"/>
      <c r="F306" s="11"/>
      <c r="G306" s="11"/>
    </row>
    <row r="307" ht="15.75" customHeight="1">
      <c r="A307" s="11"/>
      <c r="B307" s="11"/>
      <c r="C307" s="11"/>
      <c r="D307" s="11"/>
      <c r="E307" s="11"/>
      <c r="F307" s="11"/>
      <c r="G307" s="11"/>
    </row>
    <row r="308" ht="15.75" customHeight="1">
      <c r="A308" s="11"/>
      <c r="B308" s="11"/>
      <c r="C308" s="11"/>
      <c r="D308" s="11"/>
      <c r="E308" s="11"/>
      <c r="F308" s="11"/>
      <c r="G308" s="11"/>
    </row>
    <row r="309" ht="15.75" customHeight="1">
      <c r="A309" s="11"/>
      <c r="B309" s="11"/>
      <c r="C309" s="11"/>
      <c r="D309" s="11"/>
      <c r="E309" s="11"/>
      <c r="F309" s="11"/>
      <c r="G309" s="11"/>
    </row>
    <row r="310" ht="15.75" customHeight="1">
      <c r="A310" s="11"/>
      <c r="B310" s="11"/>
      <c r="C310" s="11"/>
      <c r="D310" s="11"/>
      <c r="E310" s="11"/>
      <c r="F310" s="11"/>
      <c r="G310" s="11"/>
    </row>
    <row r="311" ht="15.75" customHeight="1">
      <c r="A311" s="11"/>
      <c r="B311" s="11"/>
      <c r="C311" s="11"/>
      <c r="D311" s="11"/>
      <c r="E311" s="11"/>
      <c r="F311" s="11"/>
      <c r="G311" s="11"/>
    </row>
    <row r="312" ht="15.75" customHeight="1">
      <c r="A312" s="11"/>
      <c r="B312" s="11"/>
      <c r="C312" s="11"/>
      <c r="D312" s="11"/>
      <c r="E312" s="11"/>
      <c r="F312" s="11"/>
      <c r="G312" s="11"/>
    </row>
    <row r="313" ht="15.75" customHeight="1">
      <c r="A313" s="11"/>
      <c r="B313" s="11"/>
      <c r="C313" s="11"/>
      <c r="D313" s="11"/>
      <c r="E313" s="11"/>
      <c r="F313" s="11"/>
      <c r="G313" s="11"/>
    </row>
    <row r="314" ht="15.75" customHeight="1">
      <c r="A314" s="11"/>
      <c r="B314" s="11"/>
      <c r="C314" s="11"/>
      <c r="D314" s="11"/>
      <c r="E314" s="11"/>
      <c r="F314" s="11"/>
      <c r="G314" s="11"/>
    </row>
    <row r="315" ht="15.75" customHeight="1">
      <c r="A315" s="11"/>
      <c r="B315" s="11"/>
      <c r="C315" s="11"/>
      <c r="D315" s="11"/>
      <c r="E315" s="11"/>
      <c r="F315" s="11"/>
      <c r="G315" s="11"/>
    </row>
    <row r="316" ht="15.75" customHeight="1">
      <c r="A316" s="11"/>
      <c r="B316" s="11"/>
      <c r="C316" s="11"/>
      <c r="D316" s="11"/>
      <c r="E316" s="11"/>
      <c r="F316" s="11"/>
      <c r="G316" s="11"/>
    </row>
    <row r="317" ht="15.75" customHeight="1">
      <c r="A317" s="11"/>
      <c r="B317" s="11"/>
      <c r="C317" s="11"/>
      <c r="D317" s="11"/>
      <c r="E317" s="11"/>
      <c r="F317" s="11"/>
      <c r="G317" s="11"/>
    </row>
    <row r="318" ht="15.75" customHeight="1">
      <c r="A318" s="11"/>
      <c r="B318" s="11"/>
      <c r="C318" s="11"/>
      <c r="D318" s="11"/>
      <c r="E318" s="11"/>
      <c r="F318" s="11"/>
      <c r="G318" s="11"/>
    </row>
    <row r="319" ht="15.75" customHeight="1">
      <c r="A319" s="11"/>
      <c r="B319" s="11"/>
      <c r="C319" s="11"/>
      <c r="D319" s="11"/>
      <c r="E319" s="11"/>
      <c r="F319" s="11"/>
      <c r="G319" s="11"/>
    </row>
    <row r="320" ht="15.75" customHeight="1">
      <c r="A320" s="11"/>
      <c r="B320" s="11"/>
      <c r="C320" s="11"/>
      <c r="D320" s="11"/>
      <c r="E320" s="11"/>
      <c r="F320" s="11"/>
      <c r="G320" s="11"/>
    </row>
    <row r="321" ht="15.75" customHeight="1">
      <c r="A321" s="11"/>
      <c r="B321" s="11"/>
      <c r="C321" s="11"/>
      <c r="D321" s="11"/>
      <c r="E321" s="11"/>
      <c r="F321" s="11"/>
      <c r="G321" s="11"/>
    </row>
    <row r="322" ht="15.75" customHeight="1">
      <c r="A322" s="11"/>
      <c r="B322" s="11"/>
      <c r="C322" s="11"/>
      <c r="D322" s="11"/>
      <c r="E322" s="11"/>
      <c r="F322" s="11"/>
      <c r="G322" s="11"/>
    </row>
    <row r="323" ht="15.75" customHeight="1">
      <c r="A323" s="11"/>
      <c r="B323" s="11"/>
      <c r="C323" s="11"/>
      <c r="D323" s="11"/>
      <c r="E323" s="11"/>
      <c r="F323" s="11"/>
      <c r="G323" s="11"/>
    </row>
    <row r="324" ht="15.75" customHeight="1">
      <c r="A324" s="11"/>
      <c r="B324" s="11"/>
      <c r="C324" s="11"/>
      <c r="D324" s="11"/>
      <c r="E324" s="11"/>
      <c r="F324" s="11"/>
      <c r="G324" s="11"/>
    </row>
    <row r="325" ht="15.75" customHeight="1">
      <c r="A325" s="11"/>
      <c r="B325" s="11"/>
      <c r="C325" s="11"/>
      <c r="D325" s="11"/>
      <c r="E325" s="11"/>
      <c r="F325" s="11"/>
      <c r="G325" s="11"/>
    </row>
    <row r="326" ht="15.75" customHeight="1">
      <c r="A326" s="11"/>
      <c r="B326" s="11"/>
      <c r="C326" s="11"/>
      <c r="D326" s="11"/>
      <c r="E326" s="11"/>
      <c r="F326" s="11"/>
      <c r="G326" s="11"/>
    </row>
    <row r="327" ht="15.75" customHeight="1">
      <c r="A327" s="11"/>
      <c r="B327" s="11"/>
      <c r="C327" s="11"/>
      <c r="D327" s="11"/>
      <c r="E327" s="11"/>
      <c r="F327" s="11"/>
      <c r="G327" s="11"/>
    </row>
    <row r="328" ht="15.75" customHeight="1">
      <c r="A328" s="11"/>
      <c r="B328" s="11"/>
      <c r="C328" s="11"/>
      <c r="D328" s="11"/>
      <c r="E328" s="11"/>
      <c r="F328" s="11"/>
      <c r="G328" s="11"/>
    </row>
    <row r="329" ht="15.75" customHeight="1">
      <c r="A329" s="11"/>
      <c r="B329" s="11"/>
      <c r="C329" s="11"/>
      <c r="D329" s="11"/>
      <c r="E329" s="11"/>
      <c r="F329" s="11"/>
      <c r="G329" s="11"/>
    </row>
    <row r="330" ht="15.75" customHeight="1">
      <c r="A330" s="11"/>
      <c r="B330" s="11"/>
      <c r="C330" s="11"/>
      <c r="D330" s="11"/>
      <c r="E330" s="11"/>
      <c r="F330" s="11"/>
      <c r="G330" s="11"/>
    </row>
    <row r="331" ht="15.75" customHeight="1">
      <c r="A331" s="11"/>
      <c r="B331" s="11"/>
      <c r="C331" s="11"/>
      <c r="D331" s="11"/>
      <c r="E331" s="11"/>
      <c r="F331" s="11"/>
      <c r="G331" s="11"/>
    </row>
    <row r="332" ht="15.75" customHeight="1">
      <c r="A332" s="11"/>
      <c r="B332" s="11"/>
      <c r="C332" s="11"/>
      <c r="D332" s="11"/>
      <c r="E332" s="11"/>
      <c r="F332" s="11"/>
      <c r="G332" s="11"/>
    </row>
    <row r="333" ht="15.75" customHeight="1">
      <c r="A333" s="11"/>
      <c r="B333" s="11"/>
      <c r="C333" s="11"/>
      <c r="D333" s="11"/>
      <c r="E333" s="11"/>
      <c r="F333" s="11"/>
      <c r="G333" s="11"/>
    </row>
    <row r="334" ht="15.75" customHeight="1">
      <c r="A334" s="11"/>
      <c r="B334" s="11"/>
      <c r="C334" s="11"/>
      <c r="D334" s="11"/>
      <c r="E334" s="11"/>
      <c r="F334" s="11"/>
      <c r="G334" s="11"/>
    </row>
    <row r="335" ht="15.75" customHeight="1">
      <c r="A335" s="11"/>
      <c r="B335" s="11"/>
      <c r="C335" s="11"/>
      <c r="D335" s="11"/>
      <c r="E335" s="11"/>
      <c r="F335" s="11"/>
      <c r="G335" s="11"/>
    </row>
    <row r="336" ht="15.75" customHeight="1">
      <c r="A336" s="11"/>
      <c r="B336" s="11"/>
      <c r="C336" s="11"/>
      <c r="D336" s="11"/>
      <c r="E336" s="11"/>
      <c r="F336" s="11"/>
      <c r="G336" s="11"/>
    </row>
    <row r="337" ht="15.75" customHeight="1">
      <c r="A337" s="11"/>
      <c r="B337" s="11"/>
      <c r="C337" s="11"/>
      <c r="D337" s="11"/>
      <c r="E337" s="11"/>
      <c r="F337" s="11"/>
      <c r="G337" s="11"/>
    </row>
    <row r="338" ht="15.75" customHeight="1">
      <c r="A338" s="11"/>
      <c r="B338" s="11"/>
      <c r="C338" s="11"/>
      <c r="D338" s="11"/>
      <c r="E338" s="11"/>
      <c r="F338" s="11"/>
      <c r="G338" s="11"/>
    </row>
    <row r="339" ht="15.75" customHeight="1">
      <c r="A339" s="11"/>
      <c r="B339" s="11"/>
      <c r="C339" s="11"/>
      <c r="D339" s="11"/>
      <c r="E339" s="11"/>
      <c r="F339" s="11"/>
      <c r="G339" s="11"/>
    </row>
    <row r="340" ht="15.75" customHeight="1">
      <c r="A340" s="11"/>
      <c r="B340" s="11"/>
      <c r="C340" s="11"/>
      <c r="D340" s="11"/>
      <c r="E340" s="11"/>
      <c r="F340" s="11"/>
      <c r="G340" s="11"/>
    </row>
    <row r="341" ht="15.75" customHeight="1">
      <c r="A341" s="11"/>
      <c r="B341" s="11"/>
      <c r="C341" s="11"/>
      <c r="D341" s="11"/>
      <c r="E341" s="11"/>
      <c r="F341" s="11"/>
      <c r="G341" s="11"/>
    </row>
    <row r="342" ht="15.75" customHeight="1">
      <c r="A342" s="11"/>
      <c r="B342" s="11"/>
      <c r="C342" s="11"/>
      <c r="D342" s="11"/>
      <c r="E342" s="11"/>
      <c r="F342" s="11"/>
      <c r="G342" s="11"/>
    </row>
    <row r="343" ht="15.75" customHeight="1">
      <c r="A343" s="11"/>
      <c r="B343" s="11"/>
      <c r="C343" s="11"/>
      <c r="D343" s="11"/>
      <c r="E343" s="11"/>
      <c r="F343" s="11"/>
      <c r="G343" s="11"/>
    </row>
    <row r="344" ht="15.75" customHeight="1">
      <c r="A344" s="11"/>
      <c r="B344" s="11"/>
      <c r="C344" s="11"/>
      <c r="D344" s="11"/>
      <c r="E344" s="11"/>
      <c r="F344" s="11"/>
      <c r="G344" s="11"/>
    </row>
    <row r="345" ht="15.75" customHeight="1">
      <c r="A345" s="11"/>
      <c r="B345" s="11"/>
      <c r="C345" s="11"/>
      <c r="D345" s="11"/>
      <c r="E345" s="11"/>
      <c r="F345" s="11"/>
      <c r="G345" s="11"/>
    </row>
    <row r="346" ht="15.75" customHeight="1">
      <c r="A346" s="11"/>
      <c r="B346" s="11"/>
      <c r="C346" s="11"/>
      <c r="D346" s="11"/>
      <c r="E346" s="11"/>
      <c r="F346" s="11"/>
      <c r="G346" s="11"/>
    </row>
    <row r="347" ht="15.75" customHeight="1">
      <c r="A347" s="11"/>
      <c r="B347" s="11"/>
      <c r="C347" s="11"/>
      <c r="D347" s="11"/>
      <c r="E347" s="11"/>
      <c r="F347" s="11"/>
      <c r="G347" s="11"/>
    </row>
    <row r="348" ht="15.75" customHeight="1">
      <c r="A348" s="11"/>
      <c r="B348" s="11"/>
      <c r="C348" s="11"/>
      <c r="D348" s="11"/>
      <c r="E348" s="11"/>
      <c r="F348" s="11"/>
      <c r="G348" s="11"/>
    </row>
    <row r="349" ht="15.75" customHeight="1">
      <c r="A349" s="11"/>
      <c r="B349" s="11"/>
      <c r="C349" s="11"/>
      <c r="D349" s="11"/>
      <c r="E349" s="11"/>
      <c r="F349" s="11"/>
      <c r="G349" s="11"/>
    </row>
    <row r="350" ht="15.75" customHeight="1">
      <c r="A350" s="11"/>
      <c r="B350" s="11"/>
      <c r="C350" s="11"/>
      <c r="D350" s="11"/>
      <c r="E350" s="11"/>
      <c r="F350" s="11"/>
      <c r="G350" s="11"/>
    </row>
    <row r="351" ht="15.75" customHeight="1">
      <c r="A351" s="11"/>
      <c r="B351" s="11"/>
      <c r="C351" s="11"/>
      <c r="D351" s="11"/>
      <c r="E351" s="11"/>
      <c r="F351" s="11"/>
      <c r="G351" s="11"/>
    </row>
    <row r="352" ht="15.75" customHeight="1">
      <c r="A352" s="11"/>
      <c r="B352" s="11"/>
      <c r="C352" s="11"/>
      <c r="D352" s="11"/>
      <c r="E352" s="11"/>
      <c r="F352" s="11"/>
      <c r="G352" s="11"/>
    </row>
    <row r="353" ht="15.75" customHeight="1">
      <c r="A353" s="11"/>
      <c r="B353" s="11"/>
      <c r="C353" s="11"/>
      <c r="D353" s="11"/>
      <c r="E353" s="11"/>
      <c r="F353" s="11"/>
      <c r="G353" s="11"/>
    </row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8">
    <mergeCell ref="A1:A3"/>
    <mergeCell ref="B1:G1"/>
    <mergeCell ref="C2:G2"/>
    <mergeCell ref="C3:G3"/>
    <mergeCell ref="A8:G8"/>
    <mergeCell ref="A9:G10"/>
    <mergeCell ref="A11:G11"/>
    <mergeCell ref="E12:G12"/>
    <mergeCell ref="E13:G13"/>
    <mergeCell ref="E14:G14"/>
    <mergeCell ref="E15:G15"/>
    <mergeCell ref="A16:G16"/>
    <mergeCell ref="A17:G17"/>
    <mergeCell ref="A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A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A42:G42"/>
    <mergeCell ref="A43:G43"/>
    <mergeCell ref="A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F107:G107"/>
    <mergeCell ref="F108:G108"/>
    <mergeCell ref="F109:G109"/>
    <mergeCell ref="F110:G110"/>
    <mergeCell ref="A111:G127"/>
    <mergeCell ref="A128:G128"/>
    <mergeCell ref="A129:G129"/>
    <mergeCell ref="A130:G130"/>
    <mergeCell ref="F131:G131"/>
    <mergeCell ref="F132:G132"/>
    <mergeCell ref="F133:G133"/>
    <mergeCell ref="F134:G134"/>
    <mergeCell ref="F135:G135"/>
    <mergeCell ref="F136:G136"/>
    <mergeCell ref="F151:G151"/>
    <mergeCell ref="F152:G152"/>
    <mergeCell ref="F153:G153"/>
    <mergeCell ref="A154:G170"/>
    <mergeCell ref="F144:G144"/>
    <mergeCell ref="F145:G145"/>
    <mergeCell ref="F146:G146"/>
    <mergeCell ref="F147:G147"/>
    <mergeCell ref="F148:G148"/>
    <mergeCell ref="F149:G149"/>
    <mergeCell ref="F150:G150"/>
    <mergeCell ref="F54:G54"/>
    <mergeCell ref="F55:G55"/>
    <mergeCell ref="A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A68:G84"/>
    <mergeCell ref="A85:G85"/>
    <mergeCell ref="A86:G86"/>
    <mergeCell ref="A87:G87"/>
    <mergeCell ref="F88:G88"/>
    <mergeCell ref="F89:G89"/>
    <mergeCell ref="F90:G90"/>
    <mergeCell ref="F98:G98"/>
    <mergeCell ref="A99:G99"/>
    <mergeCell ref="F91:G91"/>
    <mergeCell ref="F92:G92"/>
    <mergeCell ref="F93:G93"/>
    <mergeCell ref="F94:G94"/>
    <mergeCell ref="F95:G95"/>
    <mergeCell ref="F96:G96"/>
    <mergeCell ref="F97:G97"/>
    <mergeCell ref="F100:G100"/>
    <mergeCell ref="F101:G101"/>
    <mergeCell ref="F102:G102"/>
    <mergeCell ref="F103:G103"/>
    <mergeCell ref="F104:G104"/>
    <mergeCell ref="F105:G105"/>
    <mergeCell ref="F106:G106"/>
    <mergeCell ref="F137:G137"/>
    <mergeCell ref="F138:G138"/>
    <mergeCell ref="F139:G139"/>
    <mergeCell ref="F140:G140"/>
    <mergeCell ref="F141:G141"/>
    <mergeCell ref="A142:G142"/>
    <mergeCell ref="F143:G143"/>
  </mergeCells>
  <printOptions horizontalCentered="1"/>
  <pageMargins bottom="0.75" footer="0.0" header="0.0" left="0.7" right="0.7" top="0.75"/>
  <pageSetup fitToHeight="0" paperSize="9" orientation="portrait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31.38"/>
    <col customWidth="1" min="3" max="6" width="6.38"/>
    <col customWidth="1" min="7" max="7" width="9.5"/>
    <col customWidth="1" min="8" max="8" width="6.38"/>
    <col customWidth="1" min="9" max="9" width="31.38"/>
    <col customWidth="1" min="10" max="13" width="6.38"/>
    <col customWidth="1" min="14" max="14" width="9.5"/>
    <col customWidth="1" min="15" max="15" width="6.38"/>
    <col customWidth="1" min="16" max="16" width="31.38"/>
    <col customWidth="1" min="17" max="20" width="6.38"/>
    <col customWidth="1" min="21" max="21" width="9.5"/>
    <col customWidth="1" min="22" max="22" width="6.38"/>
    <col customWidth="1" min="23" max="23" width="31.38"/>
    <col customWidth="1" min="24" max="27" width="6.38"/>
    <col customWidth="1" min="28" max="28" width="9.5"/>
    <col customWidth="1" min="29" max="29" width="6.38"/>
  </cols>
  <sheetData>
    <row r="1" ht="15.75" customHeight="1">
      <c r="A1" s="1" t="s">
        <v>1</v>
      </c>
      <c r="B1" s="2"/>
      <c r="C1" s="3"/>
      <c r="D1" s="4"/>
      <c r="E1" s="5"/>
      <c r="F1" s="5"/>
      <c r="G1" s="7"/>
      <c r="H1" s="8"/>
      <c r="I1" s="2"/>
      <c r="J1" s="5"/>
      <c r="K1" s="5"/>
      <c r="L1" s="5"/>
      <c r="M1" s="1"/>
      <c r="N1" s="7"/>
      <c r="O1" s="1"/>
      <c r="P1" s="2"/>
      <c r="Q1" s="5"/>
      <c r="R1" s="5"/>
      <c r="S1" s="5"/>
      <c r="T1" s="5"/>
      <c r="U1" s="7"/>
      <c r="V1" s="1"/>
      <c r="W1" s="2"/>
      <c r="X1" s="5"/>
      <c r="Y1" s="5"/>
      <c r="Z1" s="5"/>
      <c r="AA1" s="5"/>
      <c r="AB1" s="5"/>
      <c r="AC1" s="5"/>
    </row>
    <row r="2" ht="15.75" customHeight="1">
      <c r="A2" s="16"/>
      <c r="B2" s="16"/>
      <c r="C2" s="16"/>
      <c r="D2" s="16"/>
      <c r="H2" s="16"/>
      <c r="I2" s="16"/>
      <c r="J2" s="16"/>
      <c r="K2" s="16"/>
      <c r="O2" s="16"/>
      <c r="P2" s="16"/>
      <c r="Q2" s="16"/>
      <c r="R2" s="16"/>
      <c r="V2" s="16"/>
      <c r="W2" s="16"/>
      <c r="X2" s="16"/>
      <c r="Y2" s="16"/>
      <c r="AC2" s="16"/>
    </row>
    <row r="3" ht="15.75" customHeight="1">
      <c r="A3" s="2" t="s">
        <v>10</v>
      </c>
      <c r="B3" s="23"/>
      <c r="C3" s="28">
        <f>macro!F6</f>
        <v>46274</v>
      </c>
      <c r="H3" s="30"/>
      <c r="I3" s="23"/>
      <c r="J3" s="4">
        <f>C3+7</f>
        <v>46281</v>
      </c>
      <c r="O3" s="30"/>
      <c r="P3" s="23"/>
      <c r="Q3" s="28">
        <f>J3+7</f>
        <v>46288</v>
      </c>
      <c r="V3" s="30"/>
      <c r="W3" s="23"/>
      <c r="X3" s="28">
        <f>Q3+7</f>
        <v>46295</v>
      </c>
      <c r="AC3" s="16"/>
    </row>
    <row r="4" ht="15.75" customHeight="1">
      <c r="A4" s="2"/>
      <c r="B4" s="2"/>
      <c r="C4" s="5" t="s">
        <v>13</v>
      </c>
      <c r="D4" s="5" t="s">
        <v>16</v>
      </c>
      <c r="E4" s="5" t="s">
        <v>15</v>
      </c>
      <c r="F4" s="5" t="s">
        <v>18</v>
      </c>
      <c r="G4" s="5" t="s">
        <v>11</v>
      </c>
      <c r="H4" s="30"/>
      <c r="I4" s="2"/>
      <c r="J4" s="5" t="s">
        <v>13</v>
      </c>
      <c r="K4" s="5" t="s">
        <v>16</v>
      </c>
      <c r="L4" s="5" t="s">
        <v>15</v>
      </c>
      <c r="M4" s="5" t="s">
        <v>18</v>
      </c>
      <c r="N4" s="5" t="s">
        <v>11</v>
      </c>
      <c r="O4" s="30"/>
      <c r="P4" s="2"/>
      <c r="Q4" s="5" t="s">
        <v>13</v>
      </c>
      <c r="R4" s="5" t="s">
        <v>16</v>
      </c>
      <c r="S4" s="5" t="s">
        <v>15</v>
      </c>
      <c r="T4" s="5" t="s">
        <v>18</v>
      </c>
      <c r="U4" s="5" t="s">
        <v>11</v>
      </c>
      <c r="V4" s="30"/>
      <c r="W4" s="2"/>
      <c r="X4" s="5" t="s">
        <v>13</v>
      </c>
      <c r="Y4" s="5" t="s">
        <v>16</v>
      </c>
      <c r="Z4" s="5" t="s">
        <v>15</v>
      </c>
      <c r="AA4" s="5" t="s">
        <v>18</v>
      </c>
      <c r="AB4" s="5" t="s">
        <v>11</v>
      </c>
      <c r="AC4" s="30"/>
    </row>
    <row r="5" ht="15.75" customHeight="1">
      <c r="A5" s="2"/>
      <c r="B5" s="2" t="s">
        <v>20</v>
      </c>
      <c r="C5" s="41"/>
      <c r="D5" s="5"/>
      <c r="E5" s="5"/>
      <c r="F5" s="5" t="s">
        <v>21</v>
      </c>
      <c r="G5" s="5"/>
      <c r="H5" s="30"/>
      <c r="I5" s="2" t="s">
        <v>20</v>
      </c>
      <c r="J5" s="41"/>
      <c r="K5" s="5"/>
      <c r="L5" s="5"/>
      <c r="M5" s="5" t="s">
        <v>21</v>
      </c>
      <c r="N5" s="5"/>
      <c r="O5" s="30"/>
      <c r="P5" s="2" t="s">
        <v>20</v>
      </c>
      <c r="Q5" s="41"/>
      <c r="R5" s="5"/>
      <c r="S5" s="5"/>
      <c r="T5" s="5" t="s">
        <v>21</v>
      </c>
      <c r="U5" s="5"/>
      <c r="V5" s="30"/>
      <c r="W5" s="2" t="s">
        <v>20</v>
      </c>
      <c r="X5" s="41"/>
      <c r="Y5" s="5"/>
      <c r="Z5" s="5"/>
      <c r="AA5" s="5" t="s">
        <v>21</v>
      </c>
      <c r="AB5" s="5"/>
      <c r="AC5" s="30"/>
    </row>
    <row r="6" ht="15.75" customHeight="1">
      <c r="A6" s="42"/>
      <c r="B6" s="43"/>
      <c r="C6" s="44"/>
      <c r="D6" s="44"/>
      <c r="E6" s="45"/>
      <c r="F6" s="46" t="str">
        <f>IFERROR(__xludf.DUMMYFUNCTION("IFERROR(
$E6/
VLOOKUP(
IF(
 REGEXMATCH($B6,""(?i)agachamento""),""Agachamento"",
 IF(
  REGEXMATCH($B6,""(?i)supino""),""Supino"",
  IF(
   REGEXMATCH($B6,""(?i)terra""),""Terra"",
   IF(
    REGEXMATCH($B6,""(?i)desenvolvimento""),""Desenvolvimento"",
  "&amp;"  IF(
     REGEXMATCH($B6,""(?i)remada""),""Remada"",
     IF(REGEXMATCH($B6,""(?i)arranco""),""Arranco"",IF(REGEXMATCH($B6,""(?i)arremesso""),""Arremesso"",""""))
    )
   )
  )
 )
),
prs!$A$18:$D$24,
4,
FALSE
)
,"""")"),"")</f>
        <v/>
      </c>
      <c r="G6" s="46"/>
      <c r="H6" s="48"/>
      <c r="I6" s="43"/>
      <c r="J6" s="44"/>
      <c r="K6" s="44"/>
      <c r="L6" s="45"/>
      <c r="M6" s="46" t="str">
        <f>IFERROR(__xludf.DUMMYFUNCTION("IFERROR(
$L6/
VLOOKUP(
IF(
 REGEXMATCH($I6,""(?i)agachamento""),""Agachamento"",
 IF(
  REGEXMATCH($I6,""(?i)supino""),""Supino"",
  IF(
   REGEXMATCH($I6,""(?i)terra""),""Terra"",
   IF(
    REGEXMATCH($I6,""(?i)desenvolvimento""),""Desenvolvimento"",
  "&amp;"  IF(
     REGEXMATCH($I6,""(?i)remada""),""Remada"",
     IF(REGEXMATCH($I6,""(?i)arranco""),""Arranco"",IF(REGEXMATCH($I6,""(?i)arremesso""),""Arremesso"",""""))
    )
   )
  )
 )
),
prs!$A$18:$D$24,
4,
FALSE
)
,"""")"),"")</f>
        <v/>
      </c>
      <c r="N6" s="46"/>
      <c r="O6" s="49"/>
      <c r="P6" s="43"/>
      <c r="Q6" s="44"/>
      <c r="R6" s="44"/>
      <c r="S6" s="45"/>
      <c r="T6" s="46" t="str">
        <f>IFERROR(__xludf.DUMMYFUNCTION("IFERROR(
$S6/
VLOOKUP(
IF(
 REGEXMATCH($P6,""(?i)agachamento""),""Agachamento"",
 IF(
  REGEXMATCH($P6,""(?i)supino""),""Supino"",
  IF(
   REGEXMATCH($P6,""(?i)terra""),""Terra"",
   IF(
    REGEXMATCH($P6,""(?i)desenvolvimento""),""Desenvolvimento"",
  "&amp;"  IF(
     REGEXMATCH($P6,""(?i)remada""),""Remada"",
     IF(REGEXMATCH($P6,""(?i)arranco""),""Arranco"",IF(REGEXMATCH($P6,""(?i)arremesso""),""Arremesso"",""""))
    )
   )
  )
 )
),
prs!$A$18:$D$24,
4,
FALSE
)
,"""")"),"")</f>
        <v/>
      </c>
      <c r="U6" s="46"/>
      <c r="V6" s="49"/>
      <c r="W6" s="43"/>
      <c r="X6" s="44"/>
      <c r="Y6" s="44"/>
      <c r="Z6" s="45"/>
      <c r="AA6" s="46" t="str">
        <f>IFERROR(__xludf.DUMMYFUNCTION("IFERROR(
$Z6/
VLOOKUP(
IF(
 REGEXMATCH($W6,""(?i)agachamento""),""Agachamento"",
 IF(
  REGEXMATCH($W6,""(?i)supino""),""Supino"",
  IF(
   REGEXMATCH($W6,""(?i)terra""),""Terra"",
   IF(
    REGEXMATCH($W6,""(?i)desenvolvimento""),""Desenvolvimento"",
  "&amp;"  IF(
     REGEXMATCH($W6,""(?i)remada""),""Remada"",
     IF(REGEXMATCH($W6,""(?i)arranco""),""Arranco"",IF(REGEXMATCH($W6,""(?i)arremesso""),""Arremesso"",""""))
    )
   )
  )
 )
),
prs!$A$18:$D$24,
4,
FALSE
)
,"""")"),"")</f>
        <v/>
      </c>
      <c r="AB6" s="46"/>
      <c r="AC6" s="42"/>
    </row>
    <row r="7" ht="15.75" customHeight="1">
      <c r="A7" s="42"/>
      <c r="B7" s="43"/>
      <c r="C7" s="44"/>
      <c r="D7" s="44"/>
      <c r="E7" s="45"/>
      <c r="F7" s="46" t="str">
        <f>IFERROR(__xludf.DUMMYFUNCTION("IFERROR(
$E7/
VLOOKUP(
IF(
 REGEXMATCH($B7,""(?i)agachamento""),""Agachamento"",
 IF(
  REGEXMATCH($B7,""(?i)supino""),""Supino"",
  IF(
   REGEXMATCH($B7,""(?i)terra""),""Terra"",
   IF(
    REGEXMATCH($B7,""(?i)desenvolvimento""),""Desenvolvimento"",
  "&amp;"  IF(
     REGEXMATCH($B7,""(?i)remada""),""Remada"",
     IF(REGEXMATCH($B7,""(?i)arranco""),""Arranco"",IF(REGEXMATCH($B7,""(?i)arremesso""),""Arremesso"",""""))
    )
   )
  )
 )
),
prs!$A$18:$D$24,
4,
FALSE
)
,"""")"),"")</f>
        <v/>
      </c>
      <c r="G7" s="46"/>
      <c r="H7" s="48"/>
      <c r="I7" s="43"/>
      <c r="J7" s="44"/>
      <c r="K7" s="44"/>
      <c r="L7" s="45"/>
      <c r="M7" s="46" t="str">
        <f>IFERROR(__xludf.DUMMYFUNCTION("IFERROR(
$L7/
VLOOKUP(
IF(
 REGEXMATCH($I7,""(?i)agachamento""),""Agachamento"",
 IF(
  REGEXMATCH($I7,""(?i)supino""),""Supino"",
  IF(
   REGEXMATCH($I7,""(?i)terra""),""Terra"",
   IF(
    REGEXMATCH($I7,""(?i)desenvolvimento""),""Desenvolvimento"",
  "&amp;"  IF(
     REGEXMATCH($I7,""(?i)remada""),""Remada"",
     IF(REGEXMATCH($I7,""(?i)arranco""),""Arranco"",IF(REGEXMATCH($I7,""(?i)arremesso""),""Arremesso"",""""))
    )
   )
  )
 )
),
prs!$A$18:$D$24,
4,
FALSE
)
,"""")"),"")</f>
        <v/>
      </c>
      <c r="N7" s="46"/>
      <c r="O7" s="49"/>
      <c r="P7" s="43"/>
      <c r="Q7" s="44"/>
      <c r="R7" s="44"/>
      <c r="S7" s="45"/>
      <c r="T7" s="46" t="str">
        <f>IFERROR(__xludf.DUMMYFUNCTION("IFERROR(
$S7/
VLOOKUP(
IF(
 REGEXMATCH($P7,""(?i)agachamento""),""Agachamento"",
 IF(
  REGEXMATCH($P7,""(?i)supino""),""Supino"",
  IF(
   REGEXMATCH($P7,""(?i)terra""),""Terra"",
   IF(
    REGEXMATCH($P7,""(?i)desenvolvimento""),""Desenvolvimento"",
  "&amp;"  IF(
     REGEXMATCH($P7,""(?i)remada""),""Remada"",
     IF(REGEXMATCH($P7,""(?i)arranco""),""Arranco"",IF(REGEXMATCH($P7,""(?i)arremesso""),""Arremesso"",""""))
    )
   )
  )
 )
),
prs!$A$18:$D$24,
4,
FALSE
)
,"""")"),"")</f>
        <v/>
      </c>
      <c r="U7" s="46"/>
      <c r="V7" s="49"/>
      <c r="W7" s="43"/>
      <c r="X7" s="44"/>
      <c r="Y7" s="44"/>
      <c r="Z7" s="45"/>
      <c r="AA7" s="46" t="str">
        <f>IFERROR(__xludf.DUMMYFUNCTION("IFERROR(
$Z7/
VLOOKUP(
IF(
 REGEXMATCH($W7,""(?i)agachamento""),""Agachamento"",
 IF(
  REGEXMATCH($W7,""(?i)supino""),""Supino"",
  IF(
   REGEXMATCH($W7,""(?i)terra""),""Terra"",
   IF(
    REGEXMATCH($W7,""(?i)desenvolvimento""),""Desenvolvimento"",
  "&amp;"  IF(
     REGEXMATCH($W7,""(?i)remada""),""Remada"",
     IF(REGEXMATCH($W7,""(?i)arranco""),""Arranco"",IF(REGEXMATCH($W7,""(?i)arremesso""),""Arremesso"",""""))
    )
   )
  )
 )
),
prs!$A$18:$D$24,
4,
FALSE
)
,"""")"),"")</f>
        <v/>
      </c>
      <c r="AB7" s="46"/>
      <c r="AC7" s="42"/>
    </row>
    <row r="8" ht="15.75" customHeight="1">
      <c r="A8" s="42"/>
      <c r="B8" s="43"/>
      <c r="C8" s="44"/>
      <c r="D8" s="44"/>
      <c r="E8" s="45"/>
      <c r="F8" s="46" t="str">
        <f>IFERROR(__xludf.DUMMYFUNCTION("IFERROR(
$E8/
VLOOKUP(
IF(
 REGEXMATCH($B8,""(?i)agachamento""),""Agachamento"",
 IF(
  REGEXMATCH($B8,""(?i)supino""),""Supino"",
  IF(
   REGEXMATCH($B8,""(?i)terra""),""Terra"",
   IF(
    REGEXMATCH($B8,""(?i)desenvolvimento""),""Desenvolvimento"",
  "&amp;"  IF(
     REGEXMATCH($B8,""(?i)remada""),""Remada"",
     IF(REGEXMATCH($B8,""(?i)arranco""),""Arranco"",IF(REGEXMATCH($B8,""(?i)arremesso""),""Arremesso"",""""))
    )
   )
  )
 )
),
prs!$A$18:$D$24,
4,
FALSE
)
,"""")"),"")</f>
        <v/>
      </c>
      <c r="G8" s="46"/>
      <c r="H8" s="48"/>
      <c r="I8" s="43"/>
      <c r="J8" s="44"/>
      <c r="K8" s="44"/>
      <c r="L8" s="45"/>
      <c r="M8" s="46" t="str">
        <f>IFERROR(__xludf.DUMMYFUNCTION("IFERROR(
$L8/
VLOOKUP(
IF(
 REGEXMATCH($I8,""(?i)agachamento""),""Agachamento"",
 IF(
  REGEXMATCH($I8,""(?i)supino""),""Supino"",
  IF(
   REGEXMATCH($I8,""(?i)terra""),""Terra"",
   IF(
    REGEXMATCH($I8,""(?i)desenvolvimento""),""Desenvolvimento"",
  "&amp;"  IF(
     REGEXMATCH($I8,""(?i)remada""),""Remada"",
     IF(REGEXMATCH($I8,""(?i)arranco""),""Arranco"",IF(REGEXMATCH($I8,""(?i)arremesso""),""Arremesso"",""""))
    )
   )
  )
 )
),
prs!$A$18:$D$24,
4,
FALSE
)
,"""")"),"")</f>
        <v/>
      </c>
      <c r="N8" s="46"/>
      <c r="O8" s="49"/>
      <c r="P8" s="43"/>
      <c r="Q8" s="44"/>
      <c r="R8" s="44"/>
      <c r="S8" s="45"/>
      <c r="T8" s="46" t="str">
        <f>IFERROR(__xludf.DUMMYFUNCTION("IFERROR(
$S8/
VLOOKUP(
IF(
 REGEXMATCH($P8,""(?i)agachamento""),""Agachamento"",
 IF(
  REGEXMATCH($P8,""(?i)supino""),""Supino"",
  IF(
   REGEXMATCH($P8,""(?i)terra""),""Terra"",
   IF(
    REGEXMATCH($P8,""(?i)desenvolvimento""),""Desenvolvimento"",
  "&amp;"  IF(
     REGEXMATCH($P8,""(?i)remada""),""Remada"",
     IF(REGEXMATCH($P8,""(?i)arranco""),""Arranco"",IF(REGEXMATCH($P8,""(?i)arremesso""),""Arremesso"",""""))
    )
   )
  )
 )
),
prs!$A$18:$D$24,
4,
FALSE
)
,"""")"),"")</f>
        <v/>
      </c>
      <c r="U8" s="46"/>
      <c r="V8" s="49"/>
      <c r="W8" s="43"/>
      <c r="X8" s="44"/>
      <c r="Y8" s="44"/>
      <c r="Z8" s="45"/>
      <c r="AA8" s="46" t="str">
        <f>IFERROR(__xludf.DUMMYFUNCTION("IFERROR(
$Z8/
VLOOKUP(
IF(
 REGEXMATCH($W8,""(?i)agachamento""),""Agachamento"",
 IF(
  REGEXMATCH($W8,""(?i)supino""),""Supino"",
  IF(
   REGEXMATCH($W8,""(?i)terra""),""Terra"",
   IF(
    REGEXMATCH($W8,""(?i)desenvolvimento""),""Desenvolvimento"",
  "&amp;"  IF(
     REGEXMATCH($W8,""(?i)remada""),""Remada"",
     IF(REGEXMATCH($W8,""(?i)arranco""),""Arranco"",IF(REGEXMATCH($W8,""(?i)arremesso""),""Arremesso"",""""))
    )
   )
  )
 )
),
prs!$A$18:$D$24,
4,
FALSE
)
,"""")"),"")</f>
        <v/>
      </c>
      <c r="AB8" s="46"/>
      <c r="AC8" s="42"/>
    </row>
    <row r="9" ht="15.75" customHeight="1">
      <c r="A9" s="42"/>
      <c r="B9" s="43"/>
      <c r="C9" s="50"/>
      <c r="D9" s="50"/>
      <c r="E9" s="51"/>
      <c r="F9" s="46" t="str">
        <f>IFERROR(__xludf.DUMMYFUNCTION("IFERROR(
$E9/
VLOOKUP(
IF(
 REGEXMATCH($B9,""(?i)agachamento""),""Agachamento"",
 IF(
  REGEXMATCH($B9,""(?i)supino""),""Supino"",
  IF(
   REGEXMATCH($B9,""(?i)terra""),""Terra"",
   IF(
    REGEXMATCH($B9,""(?i)desenvolvimento""),""Desenvolvimento"",
  "&amp;"  IF(
     REGEXMATCH($B9,""(?i)remada""),""Remada"",
     IF(REGEXMATCH($B9,""(?i)arranco""),""Arranco"",IF(REGEXMATCH($B9,""(?i)arremesso""),""Arremesso"",""""))
    )
   )
  )
 )
),
prs!$A$18:$D$24,
4,
FALSE
)
,"""")"),"")</f>
        <v/>
      </c>
      <c r="G9" s="46"/>
      <c r="H9" s="48"/>
      <c r="I9" s="43"/>
      <c r="J9" s="50"/>
      <c r="K9" s="50"/>
      <c r="L9" s="51"/>
      <c r="M9" s="46" t="str">
        <f>IFERROR(__xludf.DUMMYFUNCTION("IFERROR(
$L9/
VLOOKUP(
IF(
 REGEXMATCH($I9,""(?i)agachamento""),""Agachamento"",
 IF(
  REGEXMATCH($I9,""(?i)supino""),""Supino"",
  IF(
   REGEXMATCH($I9,""(?i)terra""),""Terra"",
   IF(
    REGEXMATCH($I9,""(?i)desenvolvimento""),""Desenvolvimento"",
  "&amp;"  IF(
     REGEXMATCH($I9,""(?i)remada""),""Remada"",
     IF(REGEXMATCH($I9,""(?i)arranco""),""Arranco"",IF(REGEXMATCH($I9,""(?i)arremesso""),""Arremesso"",""""))
    )
   )
  )
 )
),
prs!$A$18:$D$24,
4,
FALSE
)
,"""")"),"")</f>
        <v/>
      </c>
      <c r="N9" s="46"/>
      <c r="O9" s="49"/>
      <c r="P9" s="43"/>
      <c r="Q9" s="50"/>
      <c r="R9" s="50"/>
      <c r="S9" s="51"/>
      <c r="T9" s="46" t="str">
        <f>IFERROR(__xludf.DUMMYFUNCTION("IFERROR(
$S9/
VLOOKUP(
IF(
 REGEXMATCH($P9,""(?i)agachamento""),""Agachamento"",
 IF(
  REGEXMATCH($P9,""(?i)supino""),""Supino"",
  IF(
   REGEXMATCH($P9,""(?i)terra""),""Terra"",
   IF(
    REGEXMATCH($P9,""(?i)desenvolvimento""),""Desenvolvimento"",
  "&amp;"  IF(
     REGEXMATCH($P9,""(?i)remada""),""Remada"",
     IF(REGEXMATCH($P9,""(?i)arranco""),""Arranco"",IF(REGEXMATCH($P9,""(?i)arremesso""),""Arremesso"",""""))
    )
   )
  )
 )
),
prs!$A$18:$D$24,
4,
FALSE
)
,"""")"),"")</f>
        <v/>
      </c>
      <c r="U9" s="46"/>
      <c r="V9" s="49"/>
      <c r="W9" s="43"/>
      <c r="X9" s="50"/>
      <c r="Y9" s="50"/>
      <c r="Z9" s="51"/>
      <c r="AA9" s="46" t="str">
        <f>IFERROR(__xludf.DUMMYFUNCTION("IFERROR(
$Z9/
VLOOKUP(
IF(
 REGEXMATCH($W9,""(?i)agachamento""),""Agachamento"",
 IF(
  REGEXMATCH($W9,""(?i)supino""),""Supino"",
  IF(
   REGEXMATCH($W9,""(?i)terra""),""Terra"",
   IF(
    REGEXMATCH($W9,""(?i)desenvolvimento""),""Desenvolvimento"",
  "&amp;"  IF(
     REGEXMATCH($W9,""(?i)remada""),""Remada"",
     IF(REGEXMATCH($W9,""(?i)arranco""),""Arranco"",IF(REGEXMATCH($W9,""(?i)arremesso""),""Arremesso"",""""))
    )
   )
  )
 )
),
prs!$A$18:$D$24,
4,
FALSE
)
,"""")"),"")</f>
        <v/>
      </c>
      <c r="AB9" s="46"/>
      <c r="AC9" s="42"/>
    </row>
    <row r="10" ht="15.75" customHeight="1">
      <c r="A10" s="42"/>
      <c r="B10" s="43"/>
      <c r="C10" s="50"/>
      <c r="D10" s="50"/>
      <c r="E10" s="51"/>
      <c r="F10" s="46" t="str">
        <f>IFERROR(__xludf.DUMMYFUNCTION("IFERROR(
$E10/
VLOOKUP(
IF(
 REGEXMATCH($B10,""(?i)agachamento""),""Agachamento"",
 IF(
  REGEXMATCH($B10,""(?i)supino""),""Supino"",
  IF(
   REGEXMATCH($B10,""(?i)terra""),""Terra"",
   IF(
    REGEXMATCH($B10,""(?i)desenvolvimento""),""Desenvolvimento"&amp;""",
    IF(
     REGEXMATCH($B10,""(?i)remada""),""Remada"",
     IF(REGEXMATCH($B10,""(?i)arranco""),""Arranco"",IF(REGEXMATCH($B10,""(?i)arremesso""),""Arremesso"",""""))
    )
   )
  )
 )
),
prs!$A$18:$D$24,
4,
FALSE
)
,"""")"),"")</f>
        <v/>
      </c>
      <c r="G10" s="46"/>
      <c r="H10" s="48"/>
      <c r="I10" s="43"/>
      <c r="J10" s="50"/>
      <c r="K10" s="50"/>
      <c r="L10" s="51"/>
      <c r="M10" s="46" t="str">
        <f>IFERROR(__xludf.DUMMYFUNCTION("IFERROR(
$L10/
VLOOKUP(
IF(
 REGEXMATCH($I10,""(?i)agachamento""),""Agachamento"",
 IF(
  REGEXMATCH($I10,""(?i)supino""),""Supino"",
  IF(
   REGEXMATCH($I10,""(?i)terra""),""Terra"",
   IF(
    REGEXMATCH($I10,""(?i)desenvolvimento""),""Desenvolvimento"&amp;""",
    IF(
     REGEXMATCH($I10,""(?i)remada""),""Remada"",
     IF(REGEXMATCH($I10,""(?i)arranco""),""Arranco"",IF(REGEXMATCH($I10,""(?i)arremesso""),""Arremesso"",""""))
    )
   )
  )
 )
),
prs!$A$18:$D$24,
4,
FALSE
)
,"""")"),"")</f>
        <v/>
      </c>
      <c r="N10" s="46"/>
      <c r="O10" s="49"/>
      <c r="P10" s="43"/>
      <c r="Q10" s="50"/>
      <c r="R10" s="50"/>
      <c r="S10" s="51"/>
      <c r="T10" s="46" t="str">
        <f>IFERROR(__xludf.DUMMYFUNCTION("IFERROR(
$S10/
VLOOKUP(
IF(
 REGEXMATCH($P10,""(?i)agachamento""),""Agachamento"",
 IF(
  REGEXMATCH($P10,""(?i)supino""),""Supino"",
  IF(
   REGEXMATCH($P10,""(?i)terra""),""Terra"",
   IF(
    REGEXMATCH($P10,""(?i)desenvolvimento""),""Desenvolvimento"&amp;""",
    IF(
     REGEXMATCH($P10,""(?i)remada""),""Remada"",
     IF(REGEXMATCH($P10,""(?i)arranco""),""Arranco"",IF(REGEXMATCH($P10,""(?i)arremesso""),""Arremesso"",""""))
    )
   )
  )
 )
),
prs!$A$18:$D$24,
4,
FALSE
)
,"""")"),"")</f>
        <v/>
      </c>
      <c r="U10" s="46"/>
      <c r="V10" s="49"/>
      <c r="W10" s="43"/>
      <c r="X10" s="50"/>
      <c r="Y10" s="50"/>
      <c r="Z10" s="51"/>
      <c r="AA10" s="46" t="str">
        <f>IFERROR(__xludf.DUMMYFUNCTION("IFERROR(
$Z10/
VLOOKUP(
IF(
 REGEXMATCH($W10,""(?i)agachamento""),""Agachamento"",
 IF(
  REGEXMATCH($W10,""(?i)supino""),""Supino"",
  IF(
   REGEXMATCH($W10,""(?i)terra""),""Terra"",
   IF(
    REGEXMATCH($W10,""(?i)desenvolvimento""),""Desenvolvimento"&amp;""",
    IF(
     REGEXMATCH($W10,""(?i)remada""),""Remada"",
     IF(REGEXMATCH($W10,""(?i)arranco""),""Arranco"",IF(REGEXMATCH($W10,""(?i)arremesso""),""Arremesso"",""""))
    )
   )
  )
 )
),
prs!$A$18:$D$24,
4,
FALSE
)
,"""")"),"")</f>
        <v/>
      </c>
      <c r="AB10" s="46"/>
      <c r="AC10" s="42"/>
    </row>
    <row r="11" ht="15.75" customHeight="1">
      <c r="A11" s="42"/>
      <c r="B11" s="43"/>
      <c r="C11" s="50"/>
      <c r="D11" s="50"/>
      <c r="E11" s="51"/>
      <c r="F11" s="46" t="str">
        <f>IFERROR(__xludf.DUMMYFUNCTION("IFERROR(
$E11/
VLOOKUP(
IF(
 REGEXMATCH($B11,""(?i)agachamento""),""Agachamento"",
 IF(
  REGEXMATCH($B11,""(?i)supino""),""Supino"",
  IF(
   REGEXMATCH($B11,""(?i)terra""),""Terra"",
   IF(
    REGEXMATCH($B11,""(?i)desenvolvimento""),""Desenvolvimento"&amp;""",
    IF(
     REGEXMATCH($B11,""(?i)remada""),""Remada"",
     IF(REGEXMATCH($B11,""(?i)arranco""),""Arranco"",IF(REGEXMATCH($B11,""(?i)arremesso""),""Arremesso"",""""))
    )
   )
  )
 )
),
prs!$A$18:$D$24,
4,
FALSE
)
,"""")"),"")</f>
        <v/>
      </c>
      <c r="G11" s="46"/>
      <c r="H11" s="48"/>
      <c r="I11" s="43"/>
      <c r="J11" s="50"/>
      <c r="K11" s="50"/>
      <c r="L11" s="51"/>
      <c r="M11" s="46" t="str">
        <f>IFERROR(__xludf.DUMMYFUNCTION("IFERROR(
$L11/
VLOOKUP(
IF(
 REGEXMATCH($I11,""(?i)agachamento""),""Agachamento"",
 IF(
  REGEXMATCH($I11,""(?i)supino""),""Supino"",
  IF(
   REGEXMATCH($I11,""(?i)terra""),""Terra"",
   IF(
    REGEXMATCH($I11,""(?i)desenvolvimento""),""Desenvolvimento"&amp;""",
    IF(
     REGEXMATCH($I11,""(?i)remada""),""Remada"",
     IF(REGEXMATCH($I11,""(?i)arranco""),""Arranco"",IF(REGEXMATCH($I11,""(?i)arremesso""),""Arremesso"",""""))
    )
   )
  )
 )
),
prs!$A$18:$D$24,
4,
FALSE
)
,"""")"),"")</f>
        <v/>
      </c>
      <c r="N11" s="46"/>
      <c r="O11" s="49"/>
      <c r="P11" s="43"/>
      <c r="Q11" s="50"/>
      <c r="R11" s="50"/>
      <c r="S11" s="51"/>
      <c r="T11" s="46" t="str">
        <f>IFERROR(__xludf.DUMMYFUNCTION("IFERROR(
$S11/
VLOOKUP(
IF(
 REGEXMATCH($P11,""(?i)agachamento""),""Agachamento"",
 IF(
  REGEXMATCH($P11,""(?i)supino""),""Supino"",
  IF(
   REGEXMATCH($P11,""(?i)terra""),""Terra"",
   IF(
    REGEXMATCH($P11,""(?i)desenvolvimento""),""Desenvolvimento"&amp;""",
    IF(
     REGEXMATCH($P11,""(?i)remada""),""Remada"",
     IF(REGEXMATCH($P11,""(?i)arranco""),""Arranco"",IF(REGEXMATCH($P11,""(?i)arremesso""),""Arremesso"",""""))
    )
   )
  )
 )
),
prs!$A$18:$D$24,
4,
FALSE
)
,"""")"),"")</f>
        <v/>
      </c>
      <c r="U11" s="46"/>
      <c r="V11" s="49"/>
      <c r="W11" s="43"/>
      <c r="X11" s="50"/>
      <c r="Y11" s="50"/>
      <c r="Z11" s="51"/>
      <c r="AA11" s="46" t="str">
        <f>IFERROR(__xludf.DUMMYFUNCTION("IFERROR(
$Z11/
VLOOKUP(
IF(
 REGEXMATCH($W11,""(?i)agachamento""),""Agachamento"",
 IF(
  REGEXMATCH($W11,""(?i)supino""),""Supino"",
  IF(
   REGEXMATCH($W11,""(?i)terra""),""Terra"",
   IF(
    REGEXMATCH($W11,""(?i)desenvolvimento""),""Desenvolvimento"&amp;""",
    IF(
     REGEXMATCH($W11,""(?i)remada""),""Remada"",
     IF(REGEXMATCH($W11,""(?i)arranco""),""Arranco"",IF(REGEXMATCH($W11,""(?i)arremesso""),""Arremesso"",""""))
    )
   )
  )
 )
),
prs!$A$18:$D$24,
4,
FALSE
)
,"""")"),"")</f>
        <v/>
      </c>
      <c r="AB11" s="46"/>
      <c r="AC11" s="42"/>
    </row>
    <row r="12" ht="15.75" customHeight="1">
      <c r="A12" s="42"/>
      <c r="B12" s="43"/>
      <c r="C12" s="50"/>
      <c r="D12" s="50"/>
      <c r="E12" s="51"/>
      <c r="F12" s="46" t="str">
        <f>IFERROR(__xludf.DUMMYFUNCTION("IFERROR(
$E12/
VLOOKUP(
IF(
 REGEXMATCH($B12,""(?i)agachamento""),""Agachamento"",
 IF(
  REGEXMATCH($B12,""(?i)supino""),""Supino"",
  IF(
   REGEXMATCH($B12,""(?i)terra""),""Terra"",
   IF(
    REGEXMATCH($B12,""(?i)desenvolvimento""),""Desenvolvimento"&amp;""",
    IF(
     REGEXMATCH($B12,""(?i)remada""),""Remada"",
     IF(REGEXMATCH($B12,""(?i)arranco""),""Arranco"",IF(REGEXMATCH($B12,""(?i)arremesso""),""Arremesso"",""""))
    )
   )
  )
 )
),
prs!$A$18:$D$24,
4,
FALSE
)
,"""")"),"")</f>
        <v/>
      </c>
      <c r="G12" s="46"/>
      <c r="H12" s="48"/>
      <c r="I12" s="43"/>
      <c r="J12" s="50"/>
      <c r="K12" s="50"/>
      <c r="L12" s="51"/>
      <c r="M12" s="46" t="str">
        <f>IFERROR(__xludf.DUMMYFUNCTION("IFERROR(
$L12/
VLOOKUP(
IF(
 REGEXMATCH($I12,""(?i)agachamento""),""Agachamento"",
 IF(
  REGEXMATCH($I12,""(?i)supino""),""Supino"",
  IF(
   REGEXMATCH($I12,""(?i)terra""),""Terra"",
   IF(
    REGEXMATCH($I12,""(?i)desenvolvimento""),""Desenvolvimento"&amp;""",
    IF(
     REGEXMATCH($I12,""(?i)remada""),""Remada"",
     IF(REGEXMATCH($I12,""(?i)arranco""),""Arranco"",IF(REGEXMATCH($I12,""(?i)arremesso""),""Arremesso"",""""))
    )
   )
  )
 )
),
prs!$A$18:$D$24,
4,
FALSE
)
,"""")"),"")</f>
        <v/>
      </c>
      <c r="N12" s="46"/>
      <c r="O12" s="49"/>
      <c r="P12" s="43"/>
      <c r="Q12" s="50"/>
      <c r="R12" s="50"/>
      <c r="S12" s="51"/>
      <c r="T12" s="46" t="str">
        <f>IFERROR(__xludf.DUMMYFUNCTION("IFERROR(
$S12/
VLOOKUP(
IF(
 REGEXMATCH($P12,""(?i)agachamento""),""Agachamento"",
 IF(
  REGEXMATCH($P12,""(?i)supino""),""Supino"",
  IF(
   REGEXMATCH($P12,""(?i)terra""),""Terra"",
   IF(
    REGEXMATCH($P12,""(?i)desenvolvimento""),""Desenvolvimento"&amp;""",
    IF(
     REGEXMATCH($P12,""(?i)remada""),""Remada"",
     IF(REGEXMATCH($P12,""(?i)arranco""),""Arranco"",IF(REGEXMATCH($P12,""(?i)arremesso""),""Arremesso"",""""))
    )
   )
  )
 )
),
prs!$A$18:$D$24,
4,
FALSE
)
,"""")"),"")</f>
        <v/>
      </c>
      <c r="U12" s="46"/>
      <c r="V12" s="49"/>
      <c r="W12" s="43"/>
      <c r="X12" s="50"/>
      <c r="Y12" s="50"/>
      <c r="Z12" s="51"/>
      <c r="AA12" s="46" t="str">
        <f>IFERROR(__xludf.DUMMYFUNCTION("IFERROR(
$Z12/
VLOOKUP(
IF(
 REGEXMATCH($W12,""(?i)agachamento""),""Agachamento"",
 IF(
  REGEXMATCH($W12,""(?i)supino""),""Supino"",
  IF(
   REGEXMATCH($W12,""(?i)terra""),""Terra"",
   IF(
    REGEXMATCH($W12,""(?i)desenvolvimento""),""Desenvolvimento"&amp;""",
    IF(
     REGEXMATCH($W12,""(?i)remada""),""Remada"",
     IF(REGEXMATCH($W12,""(?i)arranco""),""Arranco"",IF(REGEXMATCH($W12,""(?i)arremesso""),""Arremesso"",""""))
    )
   )
  )
 )
),
prs!$A$18:$D$24,
4,
FALSE
)
,"""")"),"")</f>
        <v/>
      </c>
      <c r="AB12" s="46"/>
      <c r="AC12" s="42"/>
    </row>
    <row r="13" ht="15.75" customHeight="1">
      <c r="A13" s="42"/>
      <c r="B13" s="43"/>
      <c r="C13" s="50"/>
      <c r="D13" s="50"/>
      <c r="E13" s="51"/>
      <c r="F13" s="46" t="str">
        <f>IFERROR(__xludf.DUMMYFUNCTION("IFERROR(
$E13/
VLOOKUP(
IF(
 REGEXMATCH($B13,""(?i)agachamento""),""Agachamento"",
 IF(
  REGEXMATCH($B13,""(?i)supino""),""Supino"",
  IF(
   REGEXMATCH($B13,""(?i)terra""),""Terra"",
   IF(
    REGEXMATCH($B13,""(?i)desenvolvimento""),""Desenvolvimento"&amp;""",
    IF(
     REGEXMATCH($B13,""(?i)remada""),""Remada"",
     IF(REGEXMATCH($B13,""(?i)arranco""),""Arranco"",IF(REGEXMATCH($B13,""(?i)arremesso""),""Arremesso"",""""))
    )
   )
  )
 )
),
prs!$A$18:$D$24,
4,
FALSE
)
,"""")"),"")</f>
        <v/>
      </c>
      <c r="G13" s="46"/>
      <c r="H13" s="48"/>
      <c r="I13" s="43"/>
      <c r="J13" s="50"/>
      <c r="K13" s="50"/>
      <c r="L13" s="51"/>
      <c r="M13" s="46" t="str">
        <f>IFERROR(__xludf.DUMMYFUNCTION("IFERROR(
$L13/
VLOOKUP(
IF(
 REGEXMATCH($I13,""(?i)agachamento""),""Agachamento"",
 IF(
  REGEXMATCH($I13,""(?i)supino""),""Supino"",
  IF(
   REGEXMATCH($I13,""(?i)terra""),""Terra"",
   IF(
    REGEXMATCH($I13,""(?i)desenvolvimento""),""Desenvolvimento"&amp;""",
    IF(
     REGEXMATCH($I13,""(?i)remada""),""Remada"",
     IF(REGEXMATCH($I13,""(?i)arranco""),""Arranco"",IF(REGEXMATCH($I13,""(?i)arremesso""),""Arremesso"",""""))
    )
   )
  )
 )
),
prs!$A$18:$D$24,
4,
FALSE
)
,"""")"),"")</f>
        <v/>
      </c>
      <c r="N13" s="46"/>
      <c r="O13" s="49"/>
      <c r="P13" s="43"/>
      <c r="Q13" s="50"/>
      <c r="R13" s="50"/>
      <c r="S13" s="51"/>
      <c r="T13" s="46" t="str">
        <f>IFERROR(__xludf.DUMMYFUNCTION("IFERROR(
$S13/
VLOOKUP(
IF(
 REGEXMATCH($P13,""(?i)agachamento""),""Agachamento"",
 IF(
  REGEXMATCH($P13,""(?i)supino""),""Supino"",
  IF(
   REGEXMATCH($P13,""(?i)terra""),""Terra"",
   IF(
    REGEXMATCH($P13,""(?i)desenvolvimento""),""Desenvolvimento"&amp;""",
    IF(
     REGEXMATCH($P13,""(?i)remada""),""Remada"",
     IF(REGEXMATCH($P13,""(?i)arranco""),""Arranco"",IF(REGEXMATCH($P13,""(?i)arremesso""),""Arremesso"",""""))
    )
   )
  )
 )
),
prs!$A$18:$D$24,
4,
FALSE
)
,"""")"),"")</f>
        <v/>
      </c>
      <c r="U13" s="46"/>
      <c r="V13" s="49"/>
      <c r="W13" s="43"/>
      <c r="X13" s="50"/>
      <c r="Y13" s="50"/>
      <c r="Z13" s="51"/>
      <c r="AA13" s="46" t="str">
        <f>IFERROR(__xludf.DUMMYFUNCTION("IFERROR(
$Z13/
VLOOKUP(
IF(
 REGEXMATCH($W13,""(?i)agachamento""),""Agachamento"",
 IF(
  REGEXMATCH($W13,""(?i)supino""),""Supino"",
  IF(
   REGEXMATCH($W13,""(?i)terra""),""Terra"",
   IF(
    REGEXMATCH($W13,""(?i)desenvolvimento""),""Desenvolvimento"&amp;""",
    IF(
     REGEXMATCH($W13,""(?i)remada""),""Remada"",
     IF(REGEXMATCH($W13,""(?i)arranco""),""Arranco"",IF(REGEXMATCH($W13,""(?i)arremesso""),""Arremesso"",""""))
    )
   )
  )
 )
),
prs!$A$18:$D$24,
4,
FALSE
)
,"""")"),"")</f>
        <v/>
      </c>
      <c r="AB13" s="46"/>
      <c r="AC13" s="42"/>
    </row>
    <row r="14" ht="15.75" customHeight="1">
      <c r="A14" s="42"/>
      <c r="B14" s="43"/>
      <c r="C14" s="50"/>
      <c r="D14" s="50"/>
      <c r="E14" s="51"/>
      <c r="F14" s="46" t="str">
        <f>IFERROR(__xludf.DUMMYFUNCTION("IFERROR(
$E14/
VLOOKUP(
IF(
 REGEXMATCH($B14,""(?i)agachamento""),""Agachamento"",
 IF(
  REGEXMATCH($B14,""(?i)supino""),""Supino"",
  IF(
   REGEXMATCH($B14,""(?i)terra""),""Terra"",
   IF(
    REGEXMATCH($B14,""(?i)desenvolvimento""),""Desenvolvimento"&amp;""",
    IF(
     REGEXMATCH($B14,""(?i)remada""),""Remada"",
     IF(REGEXMATCH($B14,""(?i)arranco""),""Arranco"",IF(REGEXMATCH($B14,""(?i)arremesso""),""Arremesso"",""""))
    )
   )
  )
 )
),
prs!$A$18:$D$24,
4,
FALSE
)
,"""")"),"")</f>
        <v/>
      </c>
      <c r="G14" s="46"/>
      <c r="H14" s="48"/>
      <c r="I14" s="43"/>
      <c r="J14" s="50"/>
      <c r="K14" s="50"/>
      <c r="L14" s="51"/>
      <c r="M14" s="46" t="str">
        <f>IFERROR(__xludf.DUMMYFUNCTION("IFERROR(
$L14/
VLOOKUP(
IF(
 REGEXMATCH($I14,""(?i)agachamento""),""Agachamento"",
 IF(
  REGEXMATCH($I14,""(?i)supino""),""Supino"",
  IF(
   REGEXMATCH($I14,""(?i)terra""),""Terra"",
   IF(
    REGEXMATCH($I14,""(?i)desenvolvimento""),""Desenvolvimento"&amp;""",
    IF(
     REGEXMATCH($I14,""(?i)remada""),""Remada"",
     IF(REGEXMATCH($I14,""(?i)arranco""),""Arranco"",IF(REGEXMATCH($I14,""(?i)arremesso""),""Arremesso"",""""))
    )
   )
  )
 )
),
prs!$A$18:$D$24,
4,
FALSE
)
,"""")"),"")</f>
        <v/>
      </c>
      <c r="N14" s="46"/>
      <c r="O14" s="49"/>
      <c r="P14" s="43"/>
      <c r="Q14" s="50"/>
      <c r="R14" s="50"/>
      <c r="S14" s="51"/>
      <c r="T14" s="46" t="str">
        <f>IFERROR(__xludf.DUMMYFUNCTION("IFERROR(
$S14/
VLOOKUP(
IF(
 REGEXMATCH($P14,""(?i)agachamento""),""Agachamento"",
 IF(
  REGEXMATCH($P14,""(?i)supino""),""Supino"",
  IF(
   REGEXMATCH($P14,""(?i)terra""),""Terra"",
   IF(
    REGEXMATCH($P14,""(?i)desenvolvimento""),""Desenvolvimento"&amp;""",
    IF(
     REGEXMATCH($P14,""(?i)remada""),""Remada"",
     IF(REGEXMATCH($P14,""(?i)arranco""),""Arranco"",IF(REGEXMATCH($P14,""(?i)arremesso""),""Arremesso"",""""))
    )
   )
  )
 )
),
prs!$A$18:$D$24,
4,
FALSE
)
,"""")"),"")</f>
        <v/>
      </c>
      <c r="U14" s="46"/>
      <c r="V14" s="49"/>
      <c r="W14" s="43"/>
      <c r="X14" s="50"/>
      <c r="Y14" s="50"/>
      <c r="Z14" s="51"/>
      <c r="AA14" s="46" t="str">
        <f>IFERROR(__xludf.DUMMYFUNCTION("IFERROR(
$Z14/
VLOOKUP(
IF(
 REGEXMATCH($W14,""(?i)agachamento""),""Agachamento"",
 IF(
  REGEXMATCH($W14,""(?i)supino""),""Supino"",
  IF(
   REGEXMATCH($W14,""(?i)terra""),""Terra"",
   IF(
    REGEXMATCH($W14,""(?i)desenvolvimento""),""Desenvolvimento"&amp;""",
    IF(
     REGEXMATCH($W14,""(?i)remada""),""Remada"",
     IF(REGEXMATCH($W14,""(?i)arranco""),""Arranco"",IF(REGEXMATCH($W14,""(?i)arremesso""),""Arremesso"",""""))
    )
   )
  )
 )
),
prs!$A$18:$D$24,
4,
FALSE
)
,"""")"),"")</f>
        <v/>
      </c>
      <c r="AB14" s="46"/>
      <c r="AC14" s="42"/>
    </row>
    <row r="15" ht="15.75" customHeight="1">
      <c r="A15" s="42"/>
      <c r="B15" s="43"/>
      <c r="C15" s="50"/>
      <c r="D15" s="50"/>
      <c r="E15" s="51"/>
      <c r="F15" s="46" t="str">
        <f>IFERROR(__xludf.DUMMYFUNCTION("IFERROR(
$E15/
VLOOKUP(
IF(
 REGEXMATCH($B15,""(?i)agachamento""),""Agachamento"",
 IF(
  REGEXMATCH($B15,""(?i)supino""),""Supino"",
  IF(
   REGEXMATCH($B15,""(?i)terra""),""Terra"",
   IF(
    REGEXMATCH($B15,""(?i)desenvolvimento""),""Desenvolvimento"&amp;""",
    IF(
     REGEXMATCH($B15,""(?i)remada""),""Remada"",
     IF(REGEXMATCH($B15,""(?i)arranco""),""Arranco"",IF(REGEXMATCH($B15,""(?i)arremesso""),""Arremesso"",""""))
    )
   )
  )
 )
),
prs!$A$18:$D$24,
4,
FALSE
)
,"""")"),"")</f>
        <v/>
      </c>
      <c r="G15" s="46"/>
      <c r="H15" s="48"/>
      <c r="I15" s="43"/>
      <c r="J15" s="50"/>
      <c r="K15" s="50"/>
      <c r="L15" s="51"/>
      <c r="M15" s="46" t="str">
        <f>IFERROR(__xludf.DUMMYFUNCTION("IFERROR(
$L15/
VLOOKUP(
IF(
 REGEXMATCH($I15,""(?i)agachamento""),""Agachamento"",
 IF(
  REGEXMATCH($I15,""(?i)supino""),""Supino"",
  IF(
   REGEXMATCH($I15,""(?i)terra""),""Terra"",
   IF(
    REGEXMATCH($I15,""(?i)desenvolvimento""),""Desenvolvimento"&amp;""",
    IF(
     REGEXMATCH($I15,""(?i)remada""),""Remada"",
     IF(REGEXMATCH($I15,""(?i)arranco""),""Arranco"",IF(REGEXMATCH($I15,""(?i)arremesso""),""Arremesso"",""""))
    )
   )
  )
 )
),
prs!$A$18:$D$24,
4,
FALSE
)
,"""")"),"")</f>
        <v/>
      </c>
      <c r="N15" s="46"/>
      <c r="O15" s="49"/>
      <c r="P15" s="43"/>
      <c r="Q15" s="50"/>
      <c r="R15" s="50"/>
      <c r="S15" s="51"/>
      <c r="T15" s="46" t="str">
        <f>IFERROR(__xludf.DUMMYFUNCTION("IFERROR(
$S15/
VLOOKUP(
IF(
 REGEXMATCH($P15,""(?i)agachamento""),""Agachamento"",
 IF(
  REGEXMATCH($P15,""(?i)supino""),""Supino"",
  IF(
   REGEXMATCH($P15,""(?i)terra""),""Terra"",
   IF(
    REGEXMATCH($P15,""(?i)desenvolvimento""),""Desenvolvimento"&amp;""",
    IF(
     REGEXMATCH($P15,""(?i)remada""),""Remada"",
     IF(REGEXMATCH($P15,""(?i)arranco""),""Arranco"",IF(REGEXMATCH($P15,""(?i)arremesso""),""Arremesso"",""""))
    )
   )
  )
 )
),
prs!$A$18:$D$24,
4,
FALSE
)
,"""")"),"")</f>
        <v/>
      </c>
      <c r="U15" s="46"/>
      <c r="V15" s="49"/>
      <c r="W15" s="43"/>
      <c r="X15" s="50"/>
      <c r="Y15" s="50"/>
      <c r="Z15" s="51"/>
      <c r="AA15" s="46" t="str">
        <f>IFERROR(__xludf.DUMMYFUNCTION("IFERROR(
$Z15/
VLOOKUP(
IF(
 REGEXMATCH($W15,""(?i)agachamento""),""Agachamento"",
 IF(
  REGEXMATCH($W15,""(?i)supino""),""Supino"",
  IF(
   REGEXMATCH($W15,""(?i)terra""),""Terra"",
   IF(
    REGEXMATCH($W15,""(?i)desenvolvimento""),""Desenvolvimento"&amp;""",
    IF(
     REGEXMATCH($W15,""(?i)remada""),""Remada"",
     IF(REGEXMATCH($W15,""(?i)arranco""),""Arranco"",IF(REGEXMATCH($W15,""(?i)arremesso""),""Arremesso"",""""))
    )
   )
  )
 )
),
prs!$A$18:$D$24,
4,
FALSE
)
,"""")"),"")</f>
        <v/>
      </c>
      <c r="AB15" s="46"/>
      <c r="AC15" s="42"/>
    </row>
    <row r="16" ht="15.75" customHeight="1">
      <c r="A16" s="29"/>
      <c r="B16" s="52"/>
      <c r="C16" s="31" t="s">
        <v>17</v>
      </c>
      <c r="H16" s="30"/>
      <c r="I16" s="52"/>
      <c r="J16" s="31" t="s">
        <v>23</v>
      </c>
      <c r="O16" s="30"/>
      <c r="P16" s="52"/>
      <c r="Q16" s="31" t="s">
        <v>24</v>
      </c>
      <c r="V16" s="30"/>
      <c r="W16" s="52"/>
      <c r="X16" s="31" t="s">
        <v>25</v>
      </c>
      <c r="AC16" s="30"/>
    </row>
    <row r="17" ht="15.75" customHeight="1">
      <c r="A17" s="48"/>
      <c r="B17" s="48"/>
      <c r="C17" s="48"/>
      <c r="D17" s="48"/>
      <c r="H17" s="48"/>
      <c r="I17" s="48"/>
      <c r="J17" s="48"/>
      <c r="K17" s="48"/>
      <c r="O17" s="48"/>
      <c r="P17" s="48"/>
      <c r="Q17" s="48"/>
      <c r="R17" s="48"/>
      <c r="V17" s="48"/>
      <c r="W17" s="48"/>
      <c r="X17" s="48"/>
      <c r="Y17" s="48"/>
      <c r="AC17" s="48"/>
    </row>
    <row r="18" ht="15.75" customHeight="1">
      <c r="A18" s="29" t="s">
        <v>22</v>
      </c>
      <c r="B18" s="23"/>
      <c r="C18" s="28"/>
      <c r="H18" s="30"/>
      <c r="I18" s="23"/>
      <c r="J18" s="4"/>
      <c r="O18" s="30"/>
      <c r="P18" s="23"/>
      <c r="Q18" s="28"/>
      <c r="V18" s="30"/>
      <c r="W18" s="23"/>
      <c r="X18" s="28"/>
      <c r="AC18" s="48"/>
    </row>
    <row r="19" ht="15.75" customHeight="1">
      <c r="A19" s="29"/>
      <c r="B19" s="52"/>
      <c r="C19" s="5" t="s">
        <v>13</v>
      </c>
      <c r="D19" s="5" t="s">
        <v>16</v>
      </c>
      <c r="E19" s="5" t="s">
        <v>15</v>
      </c>
      <c r="F19" s="5" t="s">
        <v>18</v>
      </c>
      <c r="G19" s="5" t="s">
        <v>11</v>
      </c>
      <c r="H19" s="30"/>
      <c r="I19" s="52"/>
      <c r="J19" s="5" t="s">
        <v>13</v>
      </c>
      <c r="K19" s="5" t="s">
        <v>16</v>
      </c>
      <c r="L19" s="5" t="s">
        <v>15</v>
      </c>
      <c r="M19" s="5" t="s">
        <v>18</v>
      </c>
      <c r="N19" s="5" t="s">
        <v>11</v>
      </c>
      <c r="O19" s="30"/>
      <c r="P19" s="52"/>
      <c r="Q19" s="5" t="s">
        <v>13</v>
      </c>
      <c r="R19" s="5" t="s">
        <v>16</v>
      </c>
      <c r="S19" s="5" t="s">
        <v>15</v>
      </c>
      <c r="T19" s="5" t="s">
        <v>18</v>
      </c>
      <c r="U19" s="5" t="s">
        <v>11</v>
      </c>
      <c r="V19" s="30"/>
      <c r="W19" s="52"/>
      <c r="X19" s="5" t="s">
        <v>13</v>
      </c>
      <c r="Y19" s="5" t="s">
        <v>16</v>
      </c>
      <c r="Z19" s="5" t="s">
        <v>15</v>
      </c>
      <c r="AA19" s="5" t="s">
        <v>18</v>
      </c>
      <c r="AB19" s="5" t="s">
        <v>11</v>
      </c>
      <c r="AC19" s="48"/>
    </row>
    <row r="20" ht="15.75" customHeight="1">
      <c r="A20" s="2"/>
      <c r="B20" s="2" t="s">
        <v>20</v>
      </c>
      <c r="C20" s="41"/>
      <c r="D20" s="5"/>
      <c r="E20" s="5"/>
      <c r="F20" s="5" t="s">
        <v>21</v>
      </c>
      <c r="G20" s="5"/>
      <c r="H20" s="30"/>
      <c r="I20" s="2" t="s">
        <v>20</v>
      </c>
      <c r="J20" s="41"/>
      <c r="K20" s="5"/>
      <c r="L20" s="5"/>
      <c r="M20" s="5" t="s">
        <v>21</v>
      </c>
      <c r="N20" s="5"/>
      <c r="O20" s="30"/>
      <c r="P20" s="2" t="s">
        <v>20</v>
      </c>
      <c r="Q20" s="41"/>
      <c r="R20" s="5"/>
      <c r="S20" s="5"/>
      <c r="T20" s="5" t="s">
        <v>21</v>
      </c>
      <c r="U20" s="5"/>
      <c r="V20" s="30"/>
      <c r="W20" s="2" t="s">
        <v>20</v>
      </c>
      <c r="X20" s="41"/>
      <c r="Y20" s="5"/>
      <c r="Z20" s="5"/>
      <c r="AA20" s="5" t="s">
        <v>21</v>
      </c>
      <c r="AB20" s="5"/>
      <c r="AC20" s="48"/>
    </row>
    <row r="21" ht="15.75" customHeight="1">
      <c r="A21" s="49"/>
      <c r="B21" s="53"/>
      <c r="C21" s="44"/>
      <c r="D21" s="44"/>
      <c r="E21" s="45"/>
      <c r="F21" s="46" t="str">
        <f>IFERROR(__xludf.DUMMYFUNCTION("IFERROR(
$E21/
VLOOKUP(
IF(
 REGEXMATCH($B21,""(?i)agachamento""),""Agachamento"",
 IF(
  REGEXMATCH($B21,""(?i)supino""),""Supino"",
  IF(
   REGEXMATCH($B21,""(?i)terra""),""Terra"",
   IF(
    REGEXMATCH($B21,""(?i)desenvolvimento""),""Desenvolvimento"&amp;""",
    IF(
     REGEXMATCH($B21,""(?i)remada""),""Remada"",
     IF(REGEXMATCH($B21,""(?i)arranco""),""Arranco"",IF(REGEXMATCH($B21,""(?i)arremesso""),""Arremesso"",""""))
    )
   )
  )
 )
),
prs!$A$18:$D$24,
4,
FALSE
)
,"""")"),"")</f>
        <v/>
      </c>
      <c r="G21" s="46"/>
      <c r="H21" s="48"/>
      <c r="I21" s="53"/>
      <c r="J21" s="44"/>
      <c r="K21" s="44"/>
      <c r="L21" s="45"/>
      <c r="M21" s="46" t="str">
        <f>IFERROR(__xludf.DUMMYFUNCTION("IFERROR(
$L21/
VLOOKUP(
IF(
 REGEXMATCH($I21,""(?i)agachamento""),""Agachamento"",
 IF(
  REGEXMATCH($I21,""(?i)supino""),""Supino"",
  IF(
   REGEXMATCH($I21,""(?i)terra""),""Terra"",
   IF(
    REGEXMATCH($I21,""(?i)desenvolvimento""),""Desenvolvimento"&amp;""",
    IF(
     REGEXMATCH($I21,""(?i)remada""),""Remada"",
     IF(REGEXMATCH($I21,""(?i)arranco""),""Arranco"",IF(REGEXMATCH($I21,""(?i)arremesso""),""Arremesso"",""""))
    )
   )
  )
 )
),
prs!$A$18:$D$24,
4,
FALSE
)
,"""")"),"")</f>
        <v/>
      </c>
      <c r="N21" s="46"/>
      <c r="O21" s="49"/>
      <c r="P21" s="53"/>
      <c r="Q21" s="44"/>
      <c r="R21" s="44"/>
      <c r="S21" s="45"/>
      <c r="T21" s="46" t="str">
        <f>IFERROR(__xludf.DUMMYFUNCTION("IFERROR(
$S21/
VLOOKUP(
IF(
 REGEXMATCH($P21,""(?i)agachamento""),""Agachamento"",
 IF(
  REGEXMATCH($P21,""(?i)supino""),""Supino"",
  IF(
   REGEXMATCH($P21,""(?i)terra""),""Terra"",
   IF(
    REGEXMATCH($P21,""(?i)desenvolvimento""),""Desenvolvimento"&amp;""",
    IF(
     REGEXMATCH($P21,""(?i)remada""),""Remada"",
     IF(REGEXMATCH($P21,""(?i)arranco""),""Arranco"",IF(REGEXMATCH($P21,""(?i)arremesso""),""Arremesso"",""""))
    )
   )
  )
 )
),
prs!$A$18:$D$24,
4,
FALSE
)
,"""")"),"")</f>
        <v/>
      </c>
      <c r="U21" s="46"/>
      <c r="V21" s="49"/>
      <c r="W21" s="53"/>
      <c r="X21" s="44"/>
      <c r="Y21" s="44"/>
      <c r="Z21" s="45"/>
      <c r="AA21" s="46" t="str">
        <f>IFERROR(__xludf.DUMMYFUNCTION("IFERROR(
$Z21/
VLOOKUP(
IF(
 REGEXMATCH($W21,""(?i)agachamento""),""Agachamento"",
 IF(
  REGEXMATCH($W21,""(?i)supino""),""Supino"",
  IF(
   REGEXMATCH($W21,""(?i)terra""),""Terra"",
   IF(
    REGEXMATCH($W21,""(?i)desenvolvimento""),""Desenvolvimento"&amp;""",
    IF(
     REGEXMATCH($W21,""(?i)remada""),""Remada"",
     IF(REGEXMATCH($W21,""(?i)arranco""),""Arranco"",IF(REGEXMATCH($W21,""(?i)arremesso""),""Arremesso"",""""))
    )
   )
  )
 )
),
prs!$A$18:$D$24,
4,
FALSE
)
,"""")"),"")</f>
        <v/>
      </c>
      <c r="AB21" s="46"/>
      <c r="AC21" s="49"/>
    </row>
    <row r="22" ht="15.75" customHeight="1">
      <c r="A22" s="49"/>
      <c r="B22" s="53"/>
      <c r="C22" s="44"/>
      <c r="D22" s="44"/>
      <c r="E22" s="45"/>
      <c r="F22" s="46" t="str">
        <f>IFERROR(__xludf.DUMMYFUNCTION("IFERROR(
$E22/
VLOOKUP(
IF(
 REGEXMATCH($B22,""(?i)agachamento""),""Agachamento"",
 IF(
  REGEXMATCH($B22,""(?i)supino""),""Supino"",
  IF(
   REGEXMATCH($B22,""(?i)terra""),""Terra"",
   IF(
    REGEXMATCH($B22,""(?i)desenvolvimento""),""Desenvolvimento"&amp;""",
    IF(
     REGEXMATCH($B22,""(?i)remada""),""Remada"",
     IF(REGEXMATCH($B22,""(?i)arranco""),""Arranco"",IF(REGEXMATCH($B22,""(?i)arremesso""),""Arremesso"",""""))
    )
   )
  )
 )
),
prs!$A$18:$D$24,
4,
FALSE
)
,"""")"),"")</f>
        <v/>
      </c>
      <c r="G22" s="46"/>
      <c r="H22" s="48"/>
      <c r="I22" s="53"/>
      <c r="J22" s="44"/>
      <c r="K22" s="44"/>
      <c r="L22" s="45"/>
      <c r="M22" s="46" t="str">
        <f>IFERROR(__xludf.DUMMYFUNCTION("IFERROR(
$L22/
VLOOKUP(
IF(
 REGEXMATCH($I22,""(?i)agachamento""),""Agachamento"",
 IF(
  REGEXMATCH($I22,""(?i)supino""),""Supino"",
  IF(
   REGEXMATCH($I22,""(?i)terra""),""Terra"",
   IF(
    REGEXMATCH($I22,""(?i)desenvolvimento""),""Desenvolvimento"&amp;""",
    IF(
     REGEXMATCH($I22,""(?i)remada""),""Remada"",
     IF(REGEXMATCH($I22,""(?i)arranco""),""Arranco"",IF(REGEXMATCH($I22,""(?i)arremesso""),""Arremesso"",""""))
    )
   )
  )
 )
),
prs!$A$18:$D$24,
4,
FALSE
)
,"""")"),"")</f>
        <v/>
      </c>
      <c r="N22" s="46"/>
      <c r="O22" s="49"/>
      <c r="P22" s="53"/>
      <c r="Q22" s="44"/>
      <c r="R22" s="44"/>
      <c r="S22" s="45"/>
      <c r="T22" s="46" t="str">
        <f>IFERROR(__xludf.DUMMYFUNCTION("IFERROR(
$S22/
VLOOKUP(
IF(
 REGEXMATCH($P22,""(?i)agachamento""),""Agachamento"",
 IF(
  REGEXMATCH($P22,""(?i)supino""),""Supino"",
  IF(
   REGEXMATCH($P22,""(?i)terra""),""Terra"",
   IF(
    REGEXMATCH($P22,""(?i)desenvolvimento""),""Desenvolvimento"&amp;""",
    IF(
     REGEXMATCH($P22,""(?i)remada""),""Remada"",
     IF(REGEXMATCH($P22,""(?i)arranco""),""Arranco"",IF(REGEXMATCH($P22,""(?i)arremesso""),""Arremesso"",""""))
    )
   )
  )
 )
),
prs!$A$18:$D$24,
4,
FALSE
)
,"""")"),"")</f>
        <v/>
      </c>
      <c r="U22" s="46"/>
      <c r="V22" s="49"/>
      <c r="W22" s="53"/>
      <c r="X22" s="44"/>
      <c r="Y22" s="44"/>
      <c r="Z22" s="45"/>
      <c r="AA22" s="46" t="str">
        <f>IFERROR(__xludf.DUMMYFUNCTION("IFERROR(
$Z22/
VLOOKUP(
IF(
 REGEXMATCH($W22,""(?i)agachamento""),""Agachamento"",
 IF(
  REGEXMATCH($W22,""(?i)supino""),""Supino"",
  IF(
   REGEXMATCH($W22,""(?i)terra""),""Terra"",
   IF(
    REGEXMATCH($W22,""(?i)desenvolvimento""),""Desenvolvimento"&amp;""",
    IF(
     REGEXMATCH($W22,""(?i)remada""),""Remada"",
     IF(REGEXMATCH($W22,""(?i)arranco""),""Arranco"",IF(REGEXMATCH($W22,""(?i)arremesso""),""Arremesso"",""""))
    )
   )
  )
 )
),
prs!$A$18:$D$24,
4,
FALSE
)
,"""")"),"")</f>
        <v/>
      </c>
      <c r="AB22" s="46"/>
      <c r="AC22" s="49"/>
    </row>
    <row r="23" ht="15.75" customHeight="1">
      <c r="A23" s="49"/>
      <c r="B23" s="53"/>
      <c r="C23" s="44"/>
      <c r="D23" s="44"/>
      <c r="E23" s="45"/>
      <c r="F23" s="46" t="str">
        <f>IFERROR(__xludf.DUMMYFUNCTION("IFERROR(
$E23/
VLOOKUP(
IF(
 REGEXMATCH($B23,""(?i)agachamento""),""Agachamento"",
 IF(
  REGEXMATCH($B23,""(?i)supino""),""Supino"",
  IF(
   REGEXMATCH($B23,""(?i)terra""),""Terra"",
   IF(
    REGEXMATCH($B23,""(?i)desenvolvimento""),""Desenvolvimento"&amp;""",
    IF(
     REGEXMATCH($B23,""(?i)remada""),""Remada"",
     IF(REGEXMATCH($B23,""(?i)arranco""),""Arranco"",IF(REGEXMATCH($B23,""(?i)arremesso""),""Arremesso"",""""))
    )
   )
  )
 )
),
prs!$A$18:$D$24,
4,
FALSE
)
,"""")"),"")</f>
        <v/>
      </c>
      <c r="G23" s="46"/>
      <c r="H23" s="48"/>
      <c r="I23" s="53"/>
      <c r="J23" s="44"/>
      <c r="K23" s="44"/>
      <c r="L23" s="45"/>
      <c r="M23" s="46" t="str">
        <f>IFERROR(__xludf.DUMMYFUNCTION("IFERROR(
$L23/
VLOOKUP(
IF(
 REGEXMATCH($I23,""(?i)agachamento""),""Agachamento"",
 IF(
  REGEXMATCH($I23,""(?i)supino""),""Supino"",
  IF(
   REGEXMATCH($I23,""(?i)terra""),""Terra"",
   IF(
    REGEXMATCH($I23,""(?i)desenvolvimento""),""Desenvolvimento"&amp;""",
    IF(
     REGEXMATCH($I23,""(?i)remada""),""Remada"",
     IF(REGEXMATCH($I23,""(?i)arranco""),""Arranco"",IF(REGEXMATCH($I23,""(?i)arremesso""),""Arremesso"",""""))
    )
   )
  )
 )
),
prs!$A$18:$D$24,
4,
FALSE
)
,"""")"),"")</f>
        <v/>
      </c>
      <c r="N23" s="46"/>
      <c r="O23" s="49"/>
      <c r="P23" s="53"/>
      <c r="Q23" s="44"/>
      <c r="R23" s="44"/>
      <c r="S23" s="45"/>
      <c r="T23" s="46" t="str">
        <f>IFERROR(__xludf.DUMMYFUNCTION("IFERROR(
$S23/
VLOOKUP(
IF(
 REGEXMATCH($P23,""(?i)agachamento""),""Agachamento"",
 IF(
  REGEXMATCH($P23,""(?i)supino""),""Supino"",
  IF(
   REGEXMATCH($P23,""(?i)terra""),""Terra"",
   IF(
    REGEXMATCH($P23,""(?i)desenvolvimento""),""Desenvolvimento"&amp;""",
    IF(
     REGEXMATCH($P23,""(?i)remada""),""Remada"",
     IF(REGEXMATCH($P23,""(?i)arranco""),""Arranco"",IF(REGEXMATCH($P23,""(?i)arremesso""),""Arremesso"",""""))
    )
   )
  )
 )
),
prs!$A$18:$D$24,
4,
FALSE
)
,"""")"),"")</f>
        <v/>
      </c>
      <c r="U23" s="46"/>
      <c r="V23" s="49"/>
      <c r="W23" s="53"/>
      <c r="X23" s="44"/>
      <c r="Y23" s="44"/>
      <c r="Z23" s="45"/>
      <c r="AA23" s="46" t="str">
        <f>IFERROR(__xludf.DUMMYFUNCTION("IFERROR(
$Z23/
VLOOKUP(
IF(
 REGEXMATCH($W23,""(?i)agachamento""),""Agachamento"",
 IF(
  REGEXMATCH($W23,""(?i)supino""),""Supino"",
  IF(
   REGEXMATCH($W23,""(?i)terra""),""Terra"",
   IF(
    REGEXMATCH($W23,""(?i)desenvolvimento""),""Desenvolvimento"&amp;""",
    IF(
     REGEXMATCH($W23,""(?i)remada""),""Remada"",
     IF(REGEXMATCH($W23,""(?i)arranco""),""Arranco"",IF(REGEXMATCH($W23,""(?i)arremesso""),""Arremesso"",""""))
    )
   )
  )
 )
),
prs!$A$18:$D$24,
4,
FALSE
)
,"""")"),"")</f>
        <v/>
      </c>
      <c r="AB23" s="46"/>
      <c r="AC23" s="49"/>
    </row>
    <row r="24" ht="15.75" customHeight="1">
      <c r="A24" s="49"/>
      <c r="B24" s="53"/>
      <c r="C24" s="50"/>
      <c r="D24" s="50"/>
      <c r="E24" s="51"/>
      <c r="F24" s="46" t="str">
        <f>IFERROR(__xludf.DUMMYFUNCTION("IFERROR(
$E24/
VLOOKUP(
IF(
 REGEXMATCH($B24,""(?i)agachamento""),""Agachamento"",
 IF(
  REGEXMATCH($B24,""(?i)supino""),""Supino"",
  IF(
   REGEXMATCH($B24,""(?i)terra""),""Terra"",
   IF(
    REGEXMATCH($B24,""(?i)desenvolvimento""),""Desenvolvimento"&amp;""",
    IF(
     REGEXMATCH($B24,""(?i)remada""),""Remada"",
     IF(REGEXMATCH($B24,""(?i)arranco""),""Arranco"",IF(REGEXMATCH($B24,""(?i)arremesso""),""Arremesso"",""""))
    )
   )
  )
 )
),
prs!$A$18:$D$24,
4,
FALSE
)
,"""")"),"")</f>
        <v/>
      </c>
      <c r="G24" s="46"/>
      <c r="H24" s="48"/>
      <c r="I24" s="53"/>
      <c r="J24" s="50"/>
      <c r="K24" s="50"/>
      <c r="L24" s="51"/>
      <c r="M24" s="46" t="str">
        <f>IFERROR(__xludf.DUMMYFUNCTION("IFERROR(
$L24/
VLOOKUP(
IF(
 REGEXMATCH($I24,""(?i)agachamento""),""Agachamento"",
 IF(
  REGEXMATCH($I24,""(?i)supino""),""Supino"",
  IF(
   REGEXMATCH($I24,""(?i)terra""),""Terra"",
   IF(
    REGEXMATCH($I24,""(?i)desenvolvimento""),""Desenvolvimento"&amp;""",
    IF(
     REGEXMATCH($I24,""(?i)remada""),""Remada"",
     IF(REGEXMATCH($I24,""(?i)arranco""),""Arranco"",IF(REGEXMATCH($I24,""(?i)arremesso""),""Arremesso"",""""))
    )
   )
  )
 )
),
prs!$A$18:$D$24,
4,
FALSE
)
,"""")"),"")</f>
        <v/>
      </c>
      <c r="N24" s="46"/>
      <c r="O24" s="49"/>
      <c r="P24" s="53"/>
      <c r="Q24" s="50"/>
      <c r="R24" s="50"/>
      <c r="S24" s="51"/>
      <c r="T24" s="46" t="str">
        <f>IFERROR(__xludf.DUMMYFUNCTION("IFERROR(
$S24/
VLOOKUP(
IF(
 REGEXMATCH($P24,""(?i)agachamento""),""Agachamento"",
 IF(
  REGEXMATCH($P24,""(?i)supino""),""Supino"",
  IF(
   REGEXMATCH($P24,""(?i)terra""),""Terra"",
   IF(
    REGEXMATCH($P24,""(?i)desenvolvimento""),""Desenvolvimento"&amp;""",
    IF(
     REGEXMATCH($P24,""(?i)remada""),""Remada"",
     IF(REGEXMATCH($P24,""(?i)arranco""),""Arranco"",IF(REGEXMATCH($P24,""(?i)arremesso""),""Arremesso"",""""))
    )
   )
  )
 )
),
prs!$A$18:$D$24,
4,
FALSE
)
,"""")"),"")</f>
        <v/>
      </c>
      <c r="U24" s="46"/>
      <c r="V24" s="49"/>
      <c r="W24" s="53"/>
      <c r="X24" s="50"/>
      <c r="Y24" s="50"/>
      <c r="Z24" s="51"/>
      <c r="AA24" s="46" t="str">
        <f>IFERROR(__xludf.DUMMYFUNCTION("IFERROR(
$Z24/
VLOOKUP(
IF(
 REGEXMATCH($W24,""(?i)agachamento""),""Agachamento"",
 IF(
  REGEXMATCH($W24,""(?i)supino""),""Supino"",
  IF(
   REGEXMATCH($W24,""(?i)terra""),""Terra"",
   IF(
    REGEXMATCH($W24,""(?i)desenvolvimento""),""Desenvolvimento"&amp;""",
    IF(
     REGEXMATCH($W24,""(?i)remada""),""Remada"",
     IF(REGEXMATCH($W24,""(?i)arranco""),""Arranco"",IF(REGEXMATCH($W24,""(?i)arremesso""),""Arremesso"",""""))
    )
   )
  )
 )
),
prs!$A$18:$D$24,
4,
FALSE
)
,"""")"),"")</f>
        <v/>
      </c>
      <c r="AB24" s="46"/>
      <c r="AC24" s="49"/>
    </row>
    <row r="25" ht="15.75" customHeight="1">
      <c r="A25" s="49"/>
      <c r="B25" s="53"/>
      <c r="C25" s="50"/>
      <c r="D25" s="50"/>
      <c r="E25" s="51"/>
      <c r="F25" s="46" t="str">
        <f>IFERROR(__xludf.DUMMYFUNCTION("IFERROR(
$E25/
VLOOKUP(
IF(
 REGEXMATCH($B25,""(?i)agachamento""),""Agachamento"",
 IF(
  REGEXMATCH($B25,""(?i)supino""),""Supino"",
  IF(
   REGEXMATCH($B25,""(?i)terra""),""Terra"",
   IF(
    REGEXMATCH($B25,""(?i)desenvolvimento""),""Desenvolvimento"&amp;""",
    IF(
     REGEXMATCH($B25,""(?i)remada""),""Remada"",
     IF(REGEXMATCH($B25,""(?i)arranco""),""Arranco"",IF(REGEXMATCH($B25,""(?i)arremesso""),""Arremesso"",""""))
    )
   )
  )
 )
),
prs!$A$18:$D$24,
4,
FALSE
)
,"""")"),"")</f>
        <v/>
      </c>
      <c r="G25" s="46"/>
      <c r="H25" s="48"/>
      <c r="I25" s="53"/>
      <c r="J25" s="50"/>
      <c r="K25" s="50"/>
      <c r="L25" s="51"/>
      <c r="M25" s="46" t="str">
        <f>IFERROR(__xludf.DUMMYFUNCTION("IFERROR(
$L25/
VLOOKUP(
IF(
 REGEXMATCH($I25,""(?i)agachamento""),""Agachamento"",
 IF(
  REGEXMATCH($I25,""(?i)supino""),""Supino"",
  IF(
   REGEXMATCH($I25,""(?i)terra""),""Terra"",
   IF(
    REGEXMATCH($I25,""(?i)desenvolvimento""),""Desenvolvimento"&amp;""",
    IF(
     REGEXMATCH($I25,""(?i)remada""),""Remada"",
     IF(REGEXMATCH($I25,""(?i)arranco""),""Arranco"",IF(REGEXMATCH($I25,""(?i)arremesso""),""Arremesso"",""""))
    )
   )
  )
 )
),
prs!$A$18:$D$24,
4,
FALSE
)
,"""")"),"")</f>
        <v/>
      </c>
      <c r="N25" s="46"/>
      <c r="O25" s="49"/>
      <c r="P25" s="53"/>
      <c r="Q25" s="50"/>
      <c r="R25" s="50"/>
      <c r="S25" s="51"/>
      <c r="T25" s="46" t="str">
        <f>IFERROR(__xludf.DUMMYFUNCTION("IFERROR(
$S25/
VLOOKUP(
IF(
 REGEXMATCH($P25,""(?i)agachamento""),""Agachamento"",
 IF(
  REGEXMATCH($P25,""(?i)supino""),""Supino"",
  IF(
   REGEXMATCH($P25,""(?i)terra""),""Terra"",
   IF(
    REGEXMATCH($P25,""(?i)desenvolvimento""),""Desenvolvimento"&amp;""",
    IF(
     REGEXMATCH($P25,""(?i)remada""),""Remada"",
     IF(REGEXMATCH($P25,""(?i)arranco""),""Arranco"",IF(REGEXMATCH($P25,""(?i)arremesso""),""Arremesso"",""""))
    )
   )
  )
 )
),
prs!$A$18:$D$24,
4,
FALSE
)
,"""")"),"")</f>
        <v/>
      </c>
      <c r="U25" s="46"/>
      <c r="V25" s="49"/>
      <c r="W25" s="53"/>
      <c r="X25" s="50"/>
      <c r="Y25" s="50"/>
      <c r="Z25" s="51"/>
      <c r="AA25" s="46" t="str">
        <f>IFERROR(__xludf.DUMMYFUNCTION("IFERROR(
$Z25/
VLOOKUP(
IF(
 REGEXMATCH($W25,""(?i)agachamento""),""Agachamento"",
 IF(
  REGEXMATCH($W25,""(?i)supino""),""Supino"",
  IF(
   REGEXMATCH($W25,""(?i)terra""),""Terra"",
   IF(
    REGEXMATCH($W25,""(?i)desenvolvimento""),""Desenvolvimento"&amp;""",
    IF(
     REGEXMATCH($W25,""(?i)remada""),""Remada"",
     IF(REGEXMATCH($W25,""(?i)arranco""),""Arranco"",IF(REGEXMATCH($W25,""(?i)arremesso""),""Arremesso"",""""))
    )
   )
  )
 )
),
prs!$A$18:$D$24,
4,
FALSE
)
,"""")"),"")</f>
        <v/>
      </c>
      <c r="AB25" s="46"/>
      <c r="AC25" s="49"/>
    </row>
    <row r="26" ht="15.75" customHeight="1">
      <c r="A26" s="49"/>
      <c r="B26" s="53"/>
      <c r="C26" s="50"/>
      <c r="D26" s="50"/>
      <c r="E26" s="51"/>
      <c r="F26" s="46" t="str">
        <f>IFERROR(__xludf.DUMMYFUNCTION("IFERROR(
$E26/
VLOOKUP(
IF(
 REGEXMATCH($B26,""(?i)agachamento""),""Agachamento"",
 IF(
  REGEXMATCH($B26,""(?i)supino""),""Supino"",
  IF(
   REGEXMATCH($B26,""(?i)terra""),""Terra"",
   IF(
    REGEXMATCH($B26,""(?i)desenvolvimento""),""Desenvolvimento"&amp;""",
    IF(
     REGEXMATCH($B26,""(?i)remada""),""Remada"",
     IF(REGEXMATCH($B26,""(?i)arranco""),""Arranco"",IF(REGEXMATCH($B26,""(?i)arremesso""),""Arremesso"",""""))
    )
   )
  )
 )
),
prs!$A$18:$D$24,
4,
FALSE
)
,"""")"),"")</f>
        <v/>
      </c>
      <c r="G26" s="46"/>
      <c r="H26" s="48"/>
      <c r="I26" s="53"/>
      <c r="J26" s="50"/>
      <c r="K26" s="50"/>
      <c r="L26" s="51"/>
      <c r="M26" s="46" t="str">
        <f>IFERROR(__xludf.DUMMYFUNCTION("IFERROR(
$L26/
VLOOKUP(
IF(
 REGEXMATCH($I26,""(?i)agachamento""),""Agachamento"",
 IF(
  REGEXMATCH($I26,""(?i)supino""),""Supino"",
  IF(
   REGEXMATCH($I26,""(?i)terra""),""Terra"",
   IF(
    REGEXMATCH($I26,""(?i)desenvolvimento""),""Desenvolvimento"&amp;""",
    IF(
     REGEXMATCH($I26,""(?i)remada""),""Remada"",
     IF(REGEXMATCH($I26,""(?i)arranco""),""Arranco"",IF(REGEXMATCH($I26,""(?i)arremesso""),""Arremesso"",""""))
    )
   )
  )
 )
),
prs!$A$18:$D$24,
4,
FALSE
)
,"""")"),"")</f>
        <v/>
      </c>
      <c r="N26" s="46"/>
      <c r="O26" s="49"/>
      <c r="P26" s="53"/>
      <c r="Q26" s="50"/>
      <c r="R26" s="50"/>
      <c r="S26" s="51"/>
      <c r="T26" s="46" t="str">
        <f>IFERROR(__xludf.DUMMYFUNCTION("IFERROR(
$S26/
VLOOKUP(
IF(
 REGEXMATCH($P26,""(?i)agachamento""),""Agachamento"",
 IF(
  REGEXMATCH($P26,""(?i)supino""),""Supino"",
  IF(
   REGEXMATCH($P26,""(?i)terra""),""Terra"",
   IF(
    REGEXMATCH($P26,""(?i)desenvolvimento""),""Desenvolvimento"&amp;""",
    IF(
     REGEXMATCH($P26,""(?i)remada""),""Remada"",
     IF(REGEXMATCH($P26,""(?i)arranco""),""Arranco"",IF(REGEXMATCH($P26,""(?i)arremesso""),""Arremesso"",""""))
    )
   )
  )
 )
),
prs!$A$18:$D$24,
4,
FALSE
)
,"""")"),"")</f>
        <v/>
      </c>
      <c r="U26" s="46"/>
      <c r="V26" s="49"/>
      <c r="W26" s="53"/>
      <c r="X26" s="50"/>
      <c r="Y26" s="50"/>
      <c r="Z26" s="51"/>
      <c r="AA26" s="46" t="str">
        <f>IFERROR(__xludf.DUMMYFUNCTION("IFERROR(
$Z26/
VLOOKUP(
IF(
 REGEXMATCH($W26,""(?i)agachamento""),""Agachamento"",
 IF(
  REGEXMATCH($W26,""(?i)supino""),""Supino"",
  IF(
   REGEXMATCH($W26,""(?i)terra""),""Terra"",
   IF(
    REGEXMATCH($W26,""(?i)desenvolvimento""),""Desenvolvimento"&amp;""",
    IF(
     REGEXMATCH($W26,""(?i)remada""),""Remada"",
     IF(REGEXMATCH($W26,""(?i)arranco""),""Arranco"",IF(REGEXMATCH($W26,""(?i)arremesso""),""Arremesso"",""""))
    )
   )
  )
 )
),
prs!$A$18:$D$24,
4,
FALSE
)
,"""")"),"")</f>
        <v/>
      </c>
      <c r="AB26" s="46"/>
      <c r="AC26" s="49"/>
    </row>
    <row r="27" ht="15.75" customHeight="1">
      <c r="A27" s="49"/>
      <c r="B27" s="53"/>
      <c r="C27" s="50"/>
      <c r="D27" s="50"/>
      <c r="E27" s="51"/>
      <c r="F27" s="46" t="str">
        <f>IFERROR(__xludf.DUMMYFUNCTION("IFERROR(
$E27/
VLOOKUP(
IF(
 REGEXMATCH($B27,""(?i)agachamento""),""Agachamento"",
 IF(
  REGEXMATCH($B27,""(?i)supino""),""Supino"",
  IF(
   REGEXMATCH($B27,""(?i)terra""),""Terra"",
   IF(
    REGEXMATCH($B27,""(?i)desenvolvimento""),""Desenvolvimento"&amp;""",
    IF(
     REGEXMATCH($B27,""(?i)remada""),""Remada"",
     IF(REGEXMATCH($B27,""(?i)arranco""),""Arranco"",IF(REGEXMATCH($B27,""(?i)arremesso""),""Arremesso"",""""))
    )
   )
  )
 )
),
prs!$A$18:$D$24,
4,
FALSE
)
,"""")"),"")</f>
        <v/>
      </c>
      <c r="G27" s="46"/>
      <c r="H27" s="48"/>
      <c r="I27" s="53"/>
      <c r="J27" s="50"/>
      <c r="K27" s="50"/>
      <c r="L27" s="51"/>
      <c r="M27" s="46" t="str">
        <f>IFERROR(__xludf.DUMMYFUNCTION("IFERROR(
$L27/
VLOOKUP(
IF(
 REGEXMATCH($I27,""(?i)agachamento""),""Agachamento"",
 IF(
  REGEXMATCH($I27,""(?i)supino""),""Supino"",
  IF(
   REGEXMATCH($I27,""(?i)terra""),""Terra"",
   IF(
    REGEXMATCH($I27,""(?i)desenvolvimento""),""Desenvolvimento"&amp;""",
    IF(
     REGEXMATCH($I27,""(?i)remada""),""Remada"",
     IF(REGEXMATCH($I27,""(?i)arranco""),""Arranco"",IF(REGEXMATCH($I27,""(?i)arremesso""),""Arremesso"",""""))
    )
   )
  )
 )
),
prs!$A$18:$D$24,
4,
FALSE
)
,"""")"),"")</f>
        <v/>
      </c>
      <c r="N27" s="46"/>
      <c r="O27" s="49"/>
      <c r="P27" s="53"/>
      <c r="Q27" s="50"/>
      <c r="R27" s="50"/>
      <c r="S27" s="51"/>
      <c r="T27" s="46" t="str">
        <f>IFERROR(__xludf.DUMMYFUNCTION("IFERROR(
$S27/
VLOOKUP(
IF(
 REGEXMATCH($P27,""(?i)agachamento""),""Agachamento"",
 IF(
  REGEXMATCH($P27,""(?i)supino""),""Supino"",
  IF(
   REGEXMATCH($P27,""(?i)terra""),""Terra"",
   IF(
    REGEXMATCH($P27,""(?i)desenvolvimento""),""Desenvolvimento"&amp;""",
    IF(
     REGEXMATCH($P27,""(?i)remada""),""Remada"",
     IF(REGEXMATCH($P27,""(?i)arranco""),""Arranco"",IF(REGEXMATCH($P27,""(?i)arremesso""),""Arremesso"",""""))
    )
   )
  )
 )
),
prs!$A$18:$D$24,
4,
FALSE
)
,"""")"),"")</f>
        <v/>
      </c>
      <c r="U27" s="46"/>
      <c r="V27" s="49"/>
      <c r="W27" s="53"/>
      <c r="X27" s="50"/>
      <c r="Y27" s="50"/>
      <c r="Z27" s="51"/>
      <c r="AA27" s="46" t="str">
        <f>IFERROR(__xludf.DUMMYFUNCTION("IFERROR(
$Z27/
VLOOKUP(
IF(
 REGEXMATCH($W27,""(?i)agachamento""),""Agachamento"",
 IF(
  REGEXMATCH($W27,""(?i)supino""),""Supino"",
  IF(
   REGEXMATCH($W27,""(?i)terra""),""Terra"",
   IF(
    REGEXMATCH($W27,""(?i)desenvolvimento""),""Desenvolvimento"&amp;""",
    IF(
     REGEXMATCH($W27,""(?i)remada""),""Remada"",
     IF(REGEXMATCH($W27,""(?i)arranco""),""Arranco"",IF(REGEXMATCH($W27,""(?i)arremesso""),""Arremesso"",""""))
    )
   )
  )
 )
),
prs!$A$18:$D$24,
4,
FALSE
)
,"""")"),"")</f>
        <v/>
      </c>
      <c r="AB27" s="46"/>
      <c r="AC27" s="49"/>
    </row>
    <row r="28" ht="15.75" customHeight="1">
      <c r="A28" s="49"/>
      <c r="B28" s="53"/>
      <c r="C28" s="50"/>
      <c r="D28" s="50"/>
      <c r="E28" s="51"/>
      <c r="F28" s="46" t="str">
        <f>IFERROR(__xludf.DUMMYFUNCTION("IFERROR(
$E28/
VLOOKUP(
IF(
 REGEXMATCH($B28,""(?i)agachamento""),""Agachamento"",
 IF(
  REGEXMATCH($B28,""(?i)supino""),""Supino"",
  IF(
   REGEXMATCH($B28,""(?i)terra""),""Terra"",
   IF(
    REGEXMATCH($B28,""(?i)desenvolvimento""),""Desenvolvimento"&amp;""",
    IF(
     REGEXMATCH($B28,""(?i)remada""),""Remada"",
     IF(REGEXMATCH($B28,""(?i)arranco""),""Arranco"",IF(REGEXMATCH($B28,""(?i)arremesso""),""Arremesso"",""""))
    )
   )
  )
 )
),
prs!$A$18:$D$24,
4,
FALSE
)
,"""")"),"")</f>
        <v/>
      </c>
      <c r="G28" s="46"/>
      <c r="H28" s="48"/>
      <c r="I28" s="53"/>
      <c r="J28" s="50"/>
      <c r="K28" s="50"/>
      <c r="L28" s="51"/>
      <c r="M28" s="46" t="str">
        <f>IFERROR(__xludf.DUMMYFUNCTION("IFERROR(
$L28/
VLOOKUP(
IF(
 REGEXMATCH($I28,""(?i)agachamento""),""Agachamento"",
 IF(
  REGEXMATCH($I28,""(?i)supino""),""Supino"",
  IF(
   REGEXMATCH($I28,""(?i)terra""),""Terra"",
   IF(
    REGEXMATCH($I28,""(?i)desenvolvimento""),""Desenvolvimento"&amp;""",
    IF(
     REGEXMATCH($I28,""(?i)remada""),""Remada"",
     IF(REGEXMATCH($I28,""(?i)arranco""),""Arranco"",IF(REGEXMATCH($I28,""(?i)arremesso""),""Arremesso"",""""))
    )
   )
  )
 )
),
prs!$A$18:$D$24,
4,
FALSE
)
,"""")"),"")</f>
        <v/>
      </c>
      <c r="N28" s="46"/>
      <c r="O28" s="49"/>
      <c r="P28" s="53"/>
      <c r="Q28" s="50"/>
      <c r="R28" s="50"/>
      <c r="S28" s="51"/>
      <c r="T28" s="46" t="str">
        <f>IFERROR(__xludf.DUMMYFUNCTION("IFERROR(
$S28/
VLOOKUP(
IF(
 REGEXMATCH($P28,""(?i)agachamento""),""Agachamento"",
 IF(
  REGEXMATCH($P28,""(?i)supino""),""Supino"",
  IF(
   REGEXMATCH($P28,""(?i)terra""),""Terra"",
   IF(
    REGEXMATCH($P28,""(?i)desenvolvimento""),""Desenvolvimento"&amp;""",
    IF(
     REGEXMATCH($P28,""(?i)remada""),""Remada"",
     IF(REGEXMATCH($P28,""(?i)arranco""),""Arranco"",IF(REGEXMATCH($P28,""(?i)arremesso""),""Arremesso"",""""))
    )
   )
  )
 )
),
prs!$A$18:$D$24,
4,
FALSE
)
,"""")"),"")</f>
        <v/>
      </c>
      <c r="U28" s="46"/>
      <c r="V28" s="49"/>
      <c r="W28" s="53"/>
      <c r="X28" s="50"/>
      <c r="Y28" s="50"/>
      <c r="Z28" s="51"/>
      <c r="AA28" s="46" t="str">
        <f>IFERROR(__xludf.DUMMYFUNCTION("IFERROR(
$Z28/
VLOOKUP(
IF(
 REGEXMATCH($W28,""(?i)agachamento""),""Agachamento"",
 IF(
  REGEXMATCH($W28,""(?i)supino""),""Supino"",
  IF(
   REGEXMATCH($W28,""(?i)terra""),""Terra"",
   IF(
    REGEXMATCH($W28,""(?i)desenvolvimento""),""Desenvolvimento"&amp;""",
    IF(
     REGEXMATCH($W28,""(?i)remada""),""Remada"",
     IF(REGEXMATCH($W28,""(?i)arranco""),""Arranco"",IF(REGEXMATCH($W28,""(?i)arremesso""),""Arremesso"",""""))
    )
   )
  )
 )
),
prs!$A$18:$D$24,
4,
FALSE
)
,"""")"),"")</f>
        <v/>
      </c>
      <c r="AB28" s="46"/>
      <c r="AC28" s="49"/>
    </row>
    <row r="29" ht="15.75" customHeight="1">
      <c r="A29" s="49"/>
      <c r="B29" s="53"/>
      <c r="C29" s="50"/>
      <c r="D29" s="50"/>
      <c r="E29" s="51"/>
      <c r="F29" s="46" t="str">
        <f>IFERROR(__xludf.DUMMYFUNCTION("IFERROR(
$E29/
VLOOKUP(
IF(
 REGEXMATCH($B29,""(?i)agachamento""),""Agachamento"",
 IF(
  REGEXMATCH($B29,""(?i)supino""),""Supino"",
  IF(
   REGEXMATCH($B29,""(?i)terra""),""Terra"",
   IF(
    REGEXMATCH($B29,""(?i)desenvolvimento""),""Desenvolvimento"&amp;""",
    IF(
     REGEXMATCH($B29,""(?i)remada""),""Remada"",
     IF(REGEXMATCH($B29,""(?i)arranco""),""Arranco"",IF(REGEXMATCH($B29,""(?i)arremesso""),""Arremesso"",""""))
    )
   )
  )
 )
),
prs!$A$18:$D$24,
4,
FALSE
)
,"""")"),"")</f>
        <v/>
      </c>
      <c r="G29" s="46"/>
      <c r="H29" s="48"/>
      <c r="I29" s="53"/>
      <c r="J29" s="50"/>
      <c r="K29" s="50"/>
      <c r="L29" s="51"/>
      <c r="M29" s="46" t="str">
        <f>IFERROR(__xludf.DUMMYFUNCTION("IFERROR(
$L29/
VLOOKUP(
IF(
 REGEXMATCH($I29,""(?i)agachamento""),""Agachamento"",
 IF(
  REGEXMATCH($I29,""(?i)supino""),""Supino"",
  IF(
   REGEXMATCH($I29,""(?i)terra""),""Terra"",
   IF(
    REGEXMATCH($I29,""(?i)desenvolvimento""),""Desenvolvimento"&amp;""",
    IF(
     REGEXMATCH($I29,""(?i)remada""),""Remada"",
     IF(REGEXMATCH($I29,""(?i)arranco""),""Arranco"",IF(REGEXMATCH($I29,""(?i)arremesso""),""Arremesso"",""""))
    )
   )
  )
 )
),
prs!$A$18:$D$24,
4,
FALSE
)
,"""")"),"")</f>
        <v/>
      </c>
      <c r="N29" s="46"/>
      <c r="O29" s="49"/>
      <c r="P29" s="53"/>
      <c r="Q29" s="50"/>
      <c r="R29" s="50"/>
      <c r="S29" s="51"/>
      <c r="T29" s="46" t="str">
        <f>IFERROR(__xludf.DUMMYFUNCTION("IFERROR(
$S29/
VLOOKUP(
IF(
 REGEXMATCH($P29,""(?i)agachamento""),""Agachamento"",
 IF(
  REGEXMATCH($P29,""(?i)supino""),""Supino"",
  IF(
   REGEXMATCH($P29,""(?i)terra""),""Terra"",
   IF(
    REGEXMATCH($P29,""(?i)desenvolvimento""),""Desenvolvimento"&amp;""",
    IF(
     REGEXMATCH($P29,""(?i)remada""),""Remada"",
     IF(REGEXMATCH($P29,""(?i)arranco""),""Arranco"",IF(REGEXMATCH($P29,""(?i)arremesso""),""Arremesso"",""""))
    )
   )
  )
 )
),
prs!$A$18:$D$24,
4,
FALSE
)
,"""")"),"")</f>
        <v/>
      </c>
      <c r="U29" s="46"/>
      <c r="V29" s="49"/>
      <c r="W29" s="53"/>
      <c r="X29" s="50"/>
      <c r="Y29" s="50"/>
      <c r="Z29" s="51"/>
      <c r="AA29" s="46" t="str">
        <f>IFERROR(__xludf.DUMMYFUNCTION("IFERROR(
$Z29/
VLOOKUP(
IF(
 REGEXMATCH($W29,""(?i)agachamento""),""Agachamento"",
 IF(
  REGEXMATCH($W29,""(?i)supino""),""Supino"",
  IF(
   REGEXMATCH($W29,""(?i)terra""),""Terra"",
   IF(
    REGEXMATCH($W29,""(?i)desenvolvimento""),""Desenvolvimento"&amp;""",
    IF(
     REGEXMATCH($W29,""(?i)remada""),""Remada"",
     IF(REGEXMATCH($W29,""(?i)arranco""),""Arranco"",IF(REGEXMATCH($W29,""(?i)arremesso""),""Arremesso"",""""))
    )
   )
  )
 )
),
prs!$A$18:$D$24,
4,
FALSE
)
,"""")"),"")</f>
        <v/>
      </c>
      <c r="AB29" s="46"/>
      <c r="AC29" s="49"/>
    </row>
    <row r="30" ht="15.75" customHeight="1">
      <c r="A30" s="49"/>
      <c r="B30" s="53"/>
      <c r="C30" s="50"/>
      <c r="D30" s="50"/>
      <c r="E30" s="51"/>
      <c r="F30" s="46" t="str">
        <f>IFERROR(__xludf.DUMMYFUNCTION("IFERROR(
$E30/
VLOOKUP(
IF(
 REGEXMATCH($B30,""(?i)agachamento""),""Agachamento"",
 IF(
  REGEXMATCH($B30,""(?i)supino""),""Supino"",
  IF(
   REGEXMATCH($B30,""(?i)terra""),""Terra"",
   IF(
    REGEXMATCH($B30,""(?i)desenvolvimento""),""Desenvolvimento"&amp;""",
    IF(
     REGEXMATCH($B30,""(?i)remada""),""Remada"",
     IF(REGEXMATCH($B30,""(?i)arranco""),""Arranco"",IF(REGEXMATCH($B30,""(?i)arremesso""),""Arremesso"",""""))
    )
   )
  )
 )
),
prs!$A$18:$D$24,
4,
FALSE
)
,"""")"),"")</f>
        <v/>
      </c>
      <c r="G30" s="46"/>
      <c r="H30" s="48"/>
      <c r="I30" s="53"/>
      <c r="J30" s="50"/>
      <c r="K30" s="50"/>
      <c r="L30" s="51"/>
      <c r="M30" s="46" t="str">
        <f>IFERROR(__xludf.DUMMYFUNCTION("IFERROR(
$L30/
VLOOKUP(
IF(
 REGEXMATCH($I30,""(?i)agachamento""),""Agachamento"",
 IF(
  REGEXMATCH($I30,""(?i)supino""),""Supino"",
  IF(
   REGEXMATCH($I30,""(?i)terra""),""Terra"",
   IF(
    REGEXMATCH($I30,""(?i)desenvolvimento""),""Desenvolvimento"&amp;""",
    IF(
     REGEXMATCH($I30,""(?i)remada""),""Remada"",
     IF(REGEXMATCH($I30,""(?i)arranco""),""Arranco"",IF(REGEXMATCH($I30,""(?i)arremesso""),""Arremesso"",""""))
    )
   )
  )
 )
),
prs!$A$18:$D$24,
4,
FALSE
)
,"""")"),"")</f>
        <v/>
      </c>
      <c r="N30" s="46"/>
      <c r="O30" s="49"/>
      <c r="P30" s="53"/>
      <c r="Q30" s="50"/>
      <c r="R30" s="50"/>
      <c r="S30" s="51"/>
      <c r="T30" s="46" t="str">
        <f>IFERROR(__xludf.DUMMYFUNCTION("IFERROR(
$S30/
VLOOKUP(
IF(
 REGEXMATCH($P30,""(?i)agachamento""),""Agachamento"",
 IF(
  REGEXMATCH($P30,""(?i)supino""),""Supino"",
  IF(
   REGEXMATCH($P30,""(?i)terra""),""Terra"",
   IF(
    REGEXMATCH($P30,""(?i)desenvolvimento""),""Desenvolvimento"&amp;""",
    IF(
     REGEXMATCH($P30,""(?i)remada""),""Remada"",
     IF(REGEXMATCH($P30,""(?i)arranco""),""Arranco"",IF(REGEXMATCH($P30,""(?i)arremesso""),""Arremesso"",""""))
    )
   )
  )
 )
),
prs!$A$18:$D$24,
4,
FALSE
)
,"""")"),"")</f>
        <v/>
      </c>
      <c r="U30" s="46"/>
      <c r="V30" s="49"/>
      <c r="W30" s="53"/>
      <c r="X30" s="50"/>
      <c r="Y30" s="50"/>
      <c r="Z30" s="51"/>
      <c r="AA30" s="46" t="str">
        <f>IFERROR(__xludf.DUMMYFUNCTION("IFERROR(
$Z30/
VLOOKUP(
IF(
 REGEXMATCH($W30,""(?i)agachamento""),""Agachamento"",
 IF(
  REGEXMATCH($W30,""(?i)supino""),""Supino"",
  IF(
   REGEXMATCH($W30,""(?i)terra""),""Terra"",
   IF(
    REGEXMATCH($W30,""(?i)desenvolvimento""),""Desenvolvimento"&amp;""",
    IF(
     REGEXMATCH($W30,""(?i)remada""),""Remada"",
     IF(REGEXMATCH($W30,""(?i)arranco""),""Arranco"",IF(REGEXMATCH($W30,""(?i)arremesso""),""Arremesso"",""""))
    )
   )
  )
 )
),
prs!$A$18:$D$24,
4,
FALSE
)
,"""")"),"")</f>
        <v/>
      </c>
      <c r="AB30" s="46"/>
      <c r="AC30" s="49"/>
    </row>
    <row r="31" ht="15.75" customHeight="1">
      <c r="A31" s="52"/>
      <c r="B31" s="52"/>
      <c r="C31" s="31" t="s">
        <v>17</v>
      </c>
      <c r="H31" s="30"/>
      <c r="I31" s="52"/>
      <c r="J31" s="31" t="s">
        <v>23</v>
      </c>
      <c r="O31" s="30"/>
      <c r="P31" s="52"/>
      <c r="Q31" s="31" t="s">
        <v>24</v>
      </c>
      <c r="V31" s="30"/>
      <c r="W31" s="52"/>
      <c r="X31" s="31" t="s">
        <v>25</v>
      </c>
      <c r="AC31" s="48"/>
    </row>
    <row r="32" ht="15.75" customHeight="1">
      <c r="A32" s="16"/>
      <c r="B32" s="54"/>
      <c r="C32" s="16"/>
      <c r="D32" s="16"/>
      <c r="H32" s="16"/>
      <c r="I32" s="54"/>
      <c r="J32" s="16"/>
      <c r="K32" s="16"/>
      <c r="O32" s="16"/>
      <c r="P32" s="54"/>
      <c r="Q32" s="16"/>
      <c r="R32" s="16"/>
      <c r="V32" s="16"/>
      <c r="W32" s="54"/>
      <c r="X32" s="16"/>
      <c r="Y32" s="16"/>
      <c r="AC32" s="16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D2:G2"/>
    <mergeCell ref="K2:N2"/>
    <mergeCell ref="R2:U2"/>
    <mergeCell ref="Y2:AB2"/>
    <mergeCell ref="J3:N3"/>
    <mergeCell ref="Q3:U3"/>
    <mergeCell ref="X3:AB3"/>
    <mergeCell ref="X16:AB16"/>
    <mergeCell ref="Y17:AB17"/>
    <mergeCell ref="X18:AB18"/>
    <mergeCell ref="X31:AB31"/>
    <mergeCell ref="Y32:AB32"/>
    <mergeCell ref="K17:N17"/>
    <mergeCell ref="J18:N18"/>
    <mergeCell ref="C31:G31"/>
    <mergeCell ref="J31:N31"/>
    <mergeCell ref="Q31:U31"/>
    <mergeCell ref="D32:G32"/>
    <mergeCell ref="K32:N32"/>
    <mergeCell ref="R32:U32"/>
    <mergeCell ref="C3:G3"/>
    <mergeCell ref="C16:G16"/>
    <mergeCell ref="J16:N16"/>
    <mergeCell ref="Q16:U16"/>
    <mergeCell ref="D17:G17"/>
    <mergeCell ref="R17:U17"/>
    <mergeCell ref="C18:G18"/>
    <mergeCell ref="Q18:U18"/>
  </mergeCells>
  <conditionalFormatting sqref="B6:B15">
    <cfRule type="colorScale" priority="1">
      <colorScale>
        <cfvo type="min"/>
        <cfvo type="max"/>
        <color rgb="FFFFFFFF"/>
        <color rgb="FF57BB8A"/>
      </colorScale>
    </cfRule>
  </conditionalFormatting>
  <conditionalFormatting sqref="I6:I15">
    <cfRule type="colorScale" priority="2">
      <colorScale>
        <cfvo type="min"/>
        <cfvo type="max"/>
        <color rgb="FFFFFFFF"/>
        <color rgb="FF57BB8A"/>
      </colorScale>
    </cfRule>
  </conditionalFormatting>
  <conditionalFormatting sqref="P6:P15">
    <cfRule type="colorScale" priority="3">
      <colorScale>
        <cfvo type="min"/>
        <cfvo type="max"/>
        <color rgb="FFFFFFFF"/>
        <color rgb="FF57BB8A"/>
      </colorScale>
    </cfRule>
  </conditionalFormatting>
  <conditionalFormatting sqref="W6:W15">
    <cfRule type="colorScale" priority="4">
      <colorScale>
        <cfvo type="min"/>
        <cfvo type="max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25.13"/>
    <col customWidth="1" min="2" max="7" width="12.63"/>
  </cols>
  <sheetData>
    <row r="1" ht="37.5" customHeight="1">
      <c r="A1" s="6"/>
      <c r="B1" s="9" t="s">
        <v>2</v>
      </c>
    </row>
    <row r="2" ht="15.75" customHeight="1">
      <c r="B2" s="10" t="s">
        <v>3</v>
      </c>
      <c r="C2" s="34" t="str">
        <f>'aluno 01'!C2</f>
        <v/>
      </c>
    </row>
    <row r="3" ht="15.75" customHeight="1">
      <c r="B3" s="10" t="s">
        <v>4</v>
      </c>
      <c r="C3" s="34" t="str">
        <f>'aluno 01'!C3</f>
        <v/>
      </c>
    </row>
    <row r="4" ht="15.75" customHeight="1">
      <c r="A4" s="13"/>
      <c r="B4" s="14"/>
      <c r="C4" s="15"/>
      <c r="D4" s="17"/>
      <c r="E4" s="18"/>
      <c r="F4" s="19"/>
      <c r="G4" s="19"/>
    </row>
    <row r="5" ht="15.75" customHeight="1">
      <c r="A5" s="20"/>
      <c r="B5" s="21" t="s">
        <v>5</v>
      </c>
      <c r="C5" s="21" t="s">
        <v>6</v>
      </c>
      <c r="D5" s="21" t="s">
        <v>7</v>
      </c>
      <c r="E5" s="21" t="s">
        <v>8</v>
      </c>
      <c r="F5" s="21" t="s">
        <v>9</v>
      </c>
      <c r="G5" s="5"/>
    </row>
    <row r="6" ht="15.75" customHeight="1">
      <c r="A6" s="22"/>
      <c r="B6" s="24" t="str">
        <f>'aluno 01'!B6</f>
        <v/>
      </c>
      <c r="C6" s="24" t="str">
        <f>'aluno 01'!C6</f>
        <v/>
      </c>
      <c r="D6" s="24" t="str">
        <f>'aluno 01'!D6</f>
        <v/>
      </c>
      <c r="E6" s="24" t="str">
        <f>'aluno 01'!E6</f>
        <v/>
      </c>
      <c r="F6" s="24" t="str">
        <f>'aluno 01'!F6</f>
        <v/>
      </c>
      <c r="G6" s="5"/>
    </row>
    <row r="7" ht="15.75" customHeight="1">
      <c r="A7" s="22"/>
      <c r="B7" s="25"/>
      <c r="C7" s="25"/>
      <c r="D7" s="25"/>
      <c r="E7" s="25"/>
      <c r="F7" s="25"/>
      <c r="G7" s="25"/>
    </row>
    <row r="8" ht="15.75" customHeight="1">
      <c r="A8" s="26" t="s">
        <v>11</v>
      </c>
    </row>
    <row r="9" ht="15.75" customHeight="1">
      <c r="A9" s="35" t="str">
        <f>'aluno 01'!A9</f>
        <v/>
      </c>
    </row>
    <row r="10" ht="15.75" customHeight="1"/>
    <row r="11" ht="15.75" customHeight="1">
      <c r="A11" s="26" t="s">
        <v>12</v>
      </c>
    </row>
    <row r="12" ht="15.75" customHeight="1">
      <c r="A12" s="2"/>
      <c r="B12" s="29" t="s">
        <v>13</v>
      </c>
      <c r="C12" s="29" t="s">
        <v>14</v>
      </c>
      <c r="D12" s="31" t="s">
        <v>15</v>
      </c>
      <c r="E12" s="31" t="s">
        <v>11</v>
      </c>
    </row>
    <row r="13" ht="15.75" customHeight="1">
      <c r="A13" s="32"/>
      <c r="B13" s="33"/>
      <c r="C13" s="33"/>
      <c r="D13" s="33"/>
      <c r="E13" s="35"/>
    </row>
    <row r="14" ht="15.75" customHeight="1">
      <c r="A14" s="36"/>
      <c r="B14" s="37"/>
      <c r="C14" s="37"/>
      <c r="D14" s="33"/>
      <c r="E14" s="35"/>
    </row>
    <row r="15" ht="15.75" customHeight="1">
      <c r="A15" s="32"/>
      <c r="B15" s="33"/>
      <c r="C15" s="33"/>
      <c r="D15" s="33"/>
      <c r="E15" s="35"/>
    </row>
    <row r="16" ht="15.75" customHeight="1">
      <c r="A16" s="38">
        <f>'bloco 03'!C3</f>
        <v>46302</v>
      </c>
    </row>
    <row r="17" ht="15.75" customHeight="1">
      <c r="A17" s="39" t="s">
        <v>17</v>
      </c>
    </row>
    <row r="18" ht="15.75" customHeight="1">
      <c r="A18" s="26" t="s">
        <v>10</v>
      </c>
    </row>
    <row r="19" ht="15.75" customHeight="1">
      <c r="A19" s="29"/>
      <c r="B19" s="29" t="s">
        <v>13</v>
      </c>
      <c r="C19" s="31" t="s">
        <v>16</v>
      </c>
      <c r="D19" s="31" t="s">
        <v>15</v>
      </c>
      <c r="E19" s="31" t="s">
        <v>19</v>
      </c>
      <c r="F19" s="31" t="s">
        <v>11</v>
      </c>
    </row>
    <row r="20" ht="15.75" customHeight="1">
      <c r="A20" s="12" t="str">
        <f>'bloco 03'!$B6</f>
        <v/>
      </c>
      <c r="B20" s="40" t="str">
        <f>'bloco 03'!C6</f>
        <v/>
      </c>
      <c r="C20" s="40" t="str">
        <f>'bloco 03'!D6</f>
        <v/>
      </c>
      <c r="D20" s="40" t="str">
        <f>'bloco 03'!E6</f>
        <v/>
      </c>
      <c r="E20" s="46" t="str">
        <f>IFERROR(('bloco 03'!F6),"")</f>
        <v/>
      </c>
      <c r="F20" s="47" t="str">
        <f>'bloco 03'!G6</f>
        <v/>
      </c>
    </row>
    <row r="21" ht="15.75" customHeight="1">
      <c r="A21" s="12" t="str">
        <f>'bloco 03'!$B7</f>
        <v/>
      </c>
      <c r="B21" s="40" t="str">
        <f>'bloco 03'!C7</f>
        <v/>
      </c>
      <c r="C21" s="40" t="str">
        <f>'bloco 03'!D7</f>
        <v/>
      </c>
      <c r="D21" s="40" t="str">
        <f>'bloco 03'!E7</f>
        <v/>
      </c>
      <c r="E21" s="46" t="str">
        <f>IFERROR(('bloco 03'!F7),"")</f>
        <v/>
      </c>
      <c r="F21" s="47" t="str">
        <f>'bloco 03'!G7</f>
        <v/>
      </c>
    </row>
    <row r="22" ht="15.75" customHeight="1">
      <c r="A22" s="12" t="str">
        <f>'bloco 03'!$B8</f>
        <v/>
      </c>
      <c r="B22" s="40" t="str">
        <f>'bloco 03'!C8</f>
        <v/>
      </c>
      <c r="C22" s="40" t="str">
        <f>'bloco 03'!D8</f>
        <v/>
      </c>
      <c r="D22" s="40" t="str">
        <f>'bloco 03'!E8</f>
        <v/>
      </c>
      <c r="E22" s="46" t="str">
        <f>IFERROR(('bloco 03'!F8),"")</f>
        <v/>
      </c>
      <c r="F22" s="47" t="str">
        <f>'bloco 03'!G8</f>
        <v/>
      </c>
    </row>
    <row r="23" ht="15.75" customHeight="1">
      <c r="A23" s="12" t="str">
        <f>'bloco 03'!$B9</f>
        <v/>
      </c>
      <c r="B23" s="40" t="str">
        <f>'bloco 03'!C9</f>
        <v/>
      </c>
      <c r="C23" s="40" t="str">
        <f>'bloco 03'!D9</f>
        <v/>
      </c>
      <c r="D23" s="40" t="str">
        <f>'bloco 03'!E9</f>
        <v/>
      </c>
      <c r="E23" s="46" t="str">
        <f>IFERROR(('bloco 03'!F9),"")</f>
        <v/>
      </c>
      <c r="F23" s="47" t="str">
        <f>'bloco 03'!G9</f>
        <v/>
      </c>
    </row>
    <row r="24" ht="15.75" customHeight="1">
      <c r="A24" s="12" t="str">
        <f>'bloco 03'!$B10</f>
        <v/>
      </c>
      <c r="B24" s="40" t="str">
        <f>'bloco 03'!C10</f>
        <v/>
      </c>
      <c r="C24" s="40" t="str">
        <f>'bloco 03'!D10</f>
        <v/>
      </c>
      <c r="D24" s="40" t="str">
        <f>'bloco 03'!E10</f>
        <v/>
      </c>
      <c r="E24" s="46" t="str">
        <f>IFERROR(('bloco 03'!F10),"")</f>
        <v/>
      </c>
      <c r="F24" s="47" t="str">
        <f>'bloco 03'!G10</f>
        <v/>
      </c>
    </row>
    <row r="25" ht="15.75" customHeight="1">
      <c r="A25" s="12" t="str">
        <f>'bloco 03'!$B11</f>
        <v/>
      </c>
      <c r="B25" s="40" t="str">
        <f>'bloco 03'!C11</f>
        <v/>
      </c>
      <c r="C25" s="40" t="str">
        <f>'bloco 03'!D11</f>
        <v/>
      </c>
      <c r="D25" s="40" t="str">
        <f>'bloco 03'!E11</f>
        <v/>
      </c>
      <c r="E25" s="46" t="str">
        <f>IFERROR(('bloco 03'!F11),"")</f>
        <v/>
      </c>
      <c r="F25" s="47" t="str">
        <f>'bloco 03'!G11</f>
        <v/>
      </c>
    </row>
    <row r="26" ht="15.75" customHeight="1">
      <c r="A26" s="12" t="str">
        <f>'bloco 03'!$B12</f>
        <v/>
      </c>
      <c r="B26" s="40" t="str">
        <f>'bloco 03'!C12</f>
        <v/>
      </c>
      <c r="C26" s="40" t="str">
        <f>'bloco 03'!D12</f>
        <v/>
      </c>
      <c r="D26" s="40" t="str">
        <f>'bloco 03'!E12</f>
        <v/>
      </c>
      <c r="E26" s="46" t="str">
        <f>IFERROR(('bloco 03'!F12),"")</f>
        <v/>
      </c>
      <c r="F26" s="47" t="str">
        <f>'bloco 03'!G12</f>
        <v/>
      </c>
    </row>
    <row r="27" ht="15.75" customHeight="1">
      <c r="A27" s="12" t="str">
        <f>'bloco 03'!$B13</f>
        <v/>
      </c>
      <c r="B27" s="40" t="str">
        <f>'bloco 03'!C13</f>
        <v/>
      </c>
      <c r="C27" s="40" t="str">
        <f>'bloco 03'!D13</f>
        <v/>
      </c>
      <c r="D27" s="40" t="str">
        <f>'bloco 03'!E13</f>
        <v/>
      </c>
      <c r="E27" s="46" t="str">
        <f>IFERROR(('bloco 03'!F13),"")</f>
        <v/>
      </c>
      <c r="F27" s="47" t="str">
        <f>'bloco 03'!G13</f>
        <v/>
      </c>
    </row>
    <row r="28" ht="15.75" customHeight="1">
      <c r="A28" s="12" t="str">
        <f>'bloco 03'!$B14</f>
        <v/>
      </c>
      <c r="B28" s="40" t="str">
        <f>'bloco 03'!C14</f>
        <v/>
      </c>
      <c r="C28" s="40" t="str">
        <f>'bloco 03'!D14</f>
        <v/>
      </c>
      <c r="D28" s="40" t="str">
        <f>'bloco 03'!E14</f>
        <v/>
      </c>
      <c r="E28" s="46" t="str">
        <f>IFERROR(('bloco 03'!F14),"")</f>
        <v/>
      </c>
      <c r="F28" s="47" t="str">
        <f>'bloco 03'!G14</f>
        <v/>
      </c>
    </row>
    <row r="29" ht="15.75" customHeight="1">
      <c r="A29" s="12" t="str">
        <f>'bloco 03'!$B15</f>
        <v/>
      </c>
      <c r="B29" s="40" t="str">
        <f>'bloco 03'!C15</f>
        <v/>
      </c>
      <c r="C29" s="40" t="str">
        <f>'bloco 03'!D15</f>
        <v/>
      </c>
      <c r="D29" s="40" t="str">
        <f>'bloco 03'!E15</f>
        <v/>
      </c>
      <c r="E29" s="46" t="str">
        <f>IFERROR(('bloco 03'!F15),"")</f>
        <v/>
      </c>
      <c r="F29" s="47" t="str">
        <f>'bloco 03'!G15</f>
        <v/>
      </c>
    </row>
    <row r="30" ht="15.75" customHeight="1">
      <c r="A30" s="26" t="s">
        <v>22</v>
      </c>
    </row>
    <row r="31" ht="15.75" customHeight="1">
      <c r="A31" s="29"/>
      <c r="B31" s="29" t="s">
        <v>13</v>
      </c>
      <c r="C31" s="31" t="s">
        <v>16</v>
      </c>
      <c r="D31" s="31" t="s">
        <v>15</v>
      </c>
      <c r="E31" s="31" t="s">
        <v>19</v>
      </c>
      <c r="F31" s="31" t="s">
        <v>11</v>
      </c>
    </row>
    <row r="32" ht="15.75" customHeight="1">
      <c r="A32" s="12" t="str">
        <f>'bloco 03'!$B21</f>
        <v/>
      </c>
      <c r="B32" s="40" t="str">
        <f>'bloco 03'!C21</f>
        <v/>
      </c>
      <c r="C32" s="40" t="str">
        <f>'bloco 03'!D21</f>
        <v/>
      </c>
      <c r="D32" s="40" t="str">
        <f>'bloco 03'!E21</f>
        <v/>
      </c>
      <c r="E32" s="46" t="str">
        <f>IFERROR(('bloco 03'!F21),"")</f>
        <v/>
      </c>
      <c r="F32" s="47" t="str">
        <f>'bloco 03'!G21</f>
        <v/>
      </c>
    </row>
    <row r="33" ht="15.75" customHeight="1">
      <c r="A33" s="12" t="str">
        <f>'bloco 03'!$B22</f>
        <v/>
      </c>
      <c r="B33" s="40" t="str">
        <f>'bloco 03'!C22</f>
        <v/>
      </c>
      <c r="C33" s="40" t="str">
        <f>'bloco 03'!D22</f>
        <v/>
      </c>
      <c r="D33" s="40" t="str">
        <f>'bloco 03'!E22</f>
        <v/>
      </c>
      <c r="E33" s="46" t="str">
        <f>IFERROR(('bloco 03'!F22),"")</f>
        <v/>
      </c>
      <c r="F33" s="47" t="str">
        <f>'bloco 03'!G22</f>
        <v/>
      </c>
    </row>
    <row r="34" ht="15.75" customHeight="1">
      <c r="A34" s="12" t="str">
        <f>'bloco 03'!$B23</f>
        <v/>
      </c>
      <c r="B34" s="40" t="str">
        <f>'bloco 03'!C23</f>
        <v/>
      </c>
      <c r="C34" s="40" t="str">
        <f>'bloco 03'!D23</f>
        <v/>
      </c>
      <c r="D34" s="40" t="str">
        <f>'bloco 03'!E23</f>
        <v/>
      </c>
      <c r="E34" s="46" t="str">
        <f>IFERROR(('bloco 03'!F23),"")</f>
        <v/>
      </c>
      <c r="F34" s="47" t="str">
        <f>'bloco 03'!G23</f>
        <v/>
      </c>
    </row>
    <row r="35" ht="15.75" customHeight="1">
      <c r="A35" s="12" t="str">
        <f>'bloco 03'!$B24</f>
        <v/>
      </c>
      <c r="B35" s="40" t="str">
        <f>'bloco 03'!C24</f>
        <v/>
      </c>
      <c r="C35" s="40" t="str">
        <f>'bloco 03'!D24</f>
        <v/>
      </c>
      <c r="D35" s="40" t="str">
        <f>'bloco 03'!E24</f>
        <v/>
      </c>
      <c r="E35" s="46" t="str">
        <f>IFERROR(('bloco 03'!F24),"")</f>
        <v/>
      </c>
      <c r="F35" s="47" t="str">
        <f>'bloco 03'!G24</f>
        <v/>
      </c>
    </row>
    <row r="36" ht="15.75" customHeight="1">
      <c r="A36" s="12" t="str">
        <f>'bloco 03'!$B25</f>
        <v/>
      </c>
      <c r="B36" s="40" t="str">
        <f>'bloco 03'!C25</f>
        <v/>
      </c>
      <c r="C36" s="40" t="str">
        <f>'bloco 03'!D25</f>
        <v/>
      </c>
      <c r="D36" s="40" t="str">
        <f>'bloco 03'!E25</f>
        <v/>
      </c>
      <c r="E36" s="46" t="str">
        <f>IFERROR(('bloco 03'!F25),"")</f>
        <v/>
      </c>
      <c r="F36" s="47" t="str">
        <f>'bloco 03'!G25</f>
        <v/>
      </c>
    </row>
    <row r="37" ht="15.75" customHeight="1">
      <c r="A37" s="12" t="str">
        <f>'bloco 03'!$B26</f>
        <v/>
      </c>
      <c r="B37" s="40" t="str">
        <f>'bloco 03'!C26</f>
        <v/>
      </c>
      <c r="C37" s="40" t="str">
        <f>'bloco 03'!D26</f>
        <v/>
      </c>
      <c r="D37" s="40" t="str">
        <f>'bloco 03'!E26</f>
        <v/>
      </c>
      <c r="E37" s="46" t="str">
        <f>IFERROR(('bloco 03'!F26),"")</f>
        <v/>
      </c>
      <c r="F37" s="47" t="str">
        <f>'bloco 03'!G26</f>
        <v/>
      </c>
    </row>
    <row r="38" ht="15.75" customHeight="1">
      <c r="A38" s="12" t="str">
        <f>'bloco 03'!$B27</f>
        <v/>
      </c>
      <c r="B38" s="40" t="str">
        <f>'bloco 03'!C27</f>
        <v/>
      </c>
      <c r="C38" s="40" t="str">
        <f>'bloco 03'!D27</f>
        <v/>
      </c>
      <c r="D38" s="40" t="str">
        <f>'bloco 03'!E27</f>
        <v/>
      </c>
      <c r="E38" s="46" t="str">
        <f>IFERROR(('bloco 03'!F27),"")</f>
        <v/>
      </c>
      <c r="F38" s="47" t="str">
        <f>'bloco 03'!G27</f>
        <v/>
      </c>
    </row>
    <row r="39" ht="15.75" customHeight="1">
      <c r="A39" s="12" t="str">
        <f>'bloco 03'!$B28</f>
        <v/>
      </c>
      <c r="B39" s="40" t="str">
        <f>'bloco 03'!C28</f>
        <v/>
      </c>
      <c r="C39" s="40" t="str">
        <f>'bloco 03'!D28</f>
        <v/>
      </c>
      <c r="D39" s="40" t="str">
        <f>'bloco 03'!E28</f>
        <v/>
      </c>
      <c r="E39" s="46" t="str">
        <f>IFERROR(('bloco 03'!F28),"")</f>
        <v/>
      </c>
      <c r="F39" s="47" t="str">
        <f>'bloco 03'!G28</f>
        <v/>
      </c>
    </row>
    <row r="40" ht="15.75" customHeight="1">
      <c r="A40" s="12" t="str">
        <f>'bloco 03'!$B29</f>
        <v/>
      </c>
      <c r="B40" s="40" t="str">
        <f>'bloco 03'!C29</f>
        <v/>
      </c>
      <c r="C40" s="40" t="str">
        <f>'bloco 03'!D29</f>
        <v/>
      </c>
      <c r="D40" s="40" t="str">
        <f>'bloco 03'!E29</f>
        <v/>
      </c>
      <c r="E40" s="46" t="str">
        <f>IFERROR(('bloco 03'!F29),"")</f>
        <v/>
      </c>
      <c r="F40" s="47" t="str">
        <f>'bloco 03'!G29</f>
        <v/>
      </c>
    </row>
    <row r="41" ht="15.75" customHeight="1">
      <c r="A41" s="12" t="str">
        <f>'bloco 03'!$B30</f>
        <v/>
      </c>
      <c r="B41" s="40" t="str">
        <f>'bloco 03'!C30</f>
        <v/>
      </c>
      <c r="C41" s="40" t="str">
        <f>'bloco 03'!D30</f>
        <v/>
      </c>
      <c r="D41" s="40" t="str">
        <f>'bloco 03'!E30</f>
        <v/>
      </c>
      <c r="E41" s="46" t="str">
        <f>IFERROR(('bloco 03'!F30),"")</f>
        <v/>
      </c>
      <c r="F41" s="47" t="str">
        <f>'bloco 03'!G30</f>
        <v/>
      </c>
    </row>
    <row r="42" ht="15.75" customHeight="1">
      <c r="A42" s="38">
        <f>'bloco 03'!J3</f>
        <v>46309</v>
      </c>
    </row>
    <row r="43" ht="15.75" customHeight="1">
      <c r="A43" s="39" t="s">
        <v>23</v>
      </c>
    </row>
    <row r="44" ht="15.75" customHeight="1">
      <c r="A44" s="26" t="s">
        <v>10</v>
      </c>
    </row>
    <row r="45" ht="15.75" customHeight="1">
      <c r="A45" s="29"/>
      <c r="B45" s="29" t="s">
        <v>13</v>
      </c>
      <c r="C45" s="31" t="s">
        <v>16</v>
      </c>
      <c r="D45" s="31" t="s">
        <v>15</v>
      </c>
      <c r="E45" s="89" t="s">
        <v>19</v>
      </c>
      <c r="F45" s="31" t="s">
        <v>11</v>
      </c>
    </row>
    <row r="46" ht="15.75" customHeight="1">
      <c r="A46" s="12" t="str">
        <f>'bloco 03'!$I6</f>
        <v/>
      </c>
      <c r="B46" s="40" t="str">
        <f>'bloco 03'!J6</f>
        <v/>
      </c>
      <c r="C46" s="40" t="str">
        <f>'bloco 03'!K6</f>
        <v/>
      </c>
      <c r="D46" s="40" t="str">
        <f>'bloco 03'!L6</f>
        <v/>
      </c>
      <c r="E46" s="46" t="str">
        <f>IFERROR(('bloco 03'!M6),"")</f>
        <v/>
      </c>
      <c r="F46" s="47" t="str">
        <f>'bloco 03'!N6</f>
        <v/>
      </c>
    </row>
    <row r="47" ht="15.75" customHeight="1">
      <c r="A47" s="12" t="str">
        <f>'bloco 03'!$I7</f>
        <v/>
      </c>
      <c r="B47" s="40" t="str">
        <f>'bloco 03'!J7</f>
        <v/>
      </c>
      <c r="C47" s="40" t="str">
        <f>'bloco 03'!K7</f>
        <v/>
      </c>
      <c r="D47" s="40" t="str">
        <f>'bloco 03'!L7</f>
        <v/>
      </c>
      <c r="E47" s="46" t="str">
        <f>IFERROR(('bloco 03'!M7),"")</f>
        <v/>
      </c>
      <c r="F47" s="47" t="str">
        <f>'bloco 03'!N7</f>
        <v/>
      </c>
    </row>
    <row r="48" ht="15.75" customHeight="1">
      <c r="A48" s="12" t="str">
        <f>'bloco 03'!$I8</f>
        <v/>
      </c>
      <c r="B48" s="40" t="str">
        <f>'bloco 03'!J8</f>
        <v/>
      </c>
      <c r="C48" s="40" t="str">
        <f>'bloco 03'!K8</f>
        <v/>
      </c>
      <c r="D48" s="40" t="str">
        <f>'bloco 03'!L8</f>
        <v/>
      </c>
      <c r="E48" s="46" t="str">
        <f>IFERROR(('bloco 03'!M8),"")</f>
        <v/>
      </c>
      <c r="F48" s="47" t="str">
        <f>'bloco 03'!N8</f>
        <v/>
      </c>
    </row>
    <row r="49" ht="15.75" customHeight="1">
      <c r="A49" s="12" t="str">
        <f>'bloco 03'!$I9</f>
        <v/>
      </c>
      <c r="B49" s="40" t="str">
        <f>'bloco 03'!J9</f>
        <v/>
      </c>
      <c r="C49" s="40" t="str">
        <f>'bloco 03'!K9</f>
        <v/>
      </c>
      <c r="D49" s="40" t="str">
        <f>'bloco 03'!L9</f>
        <v/>
      </c>
      <c r="E49" s="46" t="str">
        <f>IFERROR(('bloco 03'!M9),"")</f>
        <v/>
      </c>
      <c r="F49" s="47" t="str">
        <f>'bloco 03'!N9</f>
        <v/>
      </c>
    </row>
    <row r="50" ht="15.75" customHeight="1">
      <c r="A50" s="12" t="str">
        <f>'bloco 03'!$I10</f>
        <v/>
      </c>
      <c r="B50" s="40" t="str">
        <f>'bloco 03'!J10</f>
        <v/>
      </c>
      <c r="C50" s="40" t="str">
        <f>'bloco 03'!K10</f>
        <v/>
      </c>
      <c r="D50" s="40" t="str">
        <f>'bloco 03'!L10</f>
        <v/>
      </c>
      <c r="E50" s="46" t="str">
        <f>IFERROR(('bloco 03'!M10),"")</f>
        <v/>
      </c>
      <c r="F50" s="47" t="str">
        <f>'bloco 03'!N10</f>
        <v/>
      </c>
    </row>
    <row r="51" ht="15.75" customHeight="1">
      <c r="A51" s="12" t="str">
        <f>'bloco 03'!$I11</f>
        <v/>
      </c>
      <c r="B51" s="40" t="str">
        <f>'bloco 03'!J11</f>
        <v/>
      </c>
      <c r="C51" s="40" t="str">
        <f>'bloco 03'!K11</f>
        <v/>
      </c>
      <c r="D51" s="40" t="str">
        <f>'bloco 03'!L11</f>
        <v/>
      </c>
      <c r="E51" s="46" t="str">
        <f>IFERROR(('bloco 03'!M11),"")</f>
        <v/>
      </c>
      <c r="F51" s="47" t="str">
        <f>'bloco 03'!N11</f>
        <v/>
      </c>
    </row>
    <row r="52" ht="15.75" customHeight="1">
      <c r="A52" s="12" t="str">
        <f>'bloco 03'!$I12</f>
        <v/>
      </c>
      <c r="B52" s="40" t="str">
        <f>'bloco 03'!J12</f>
        <v/>
      </c>
      <c r="C52" s="40" t="str">
        <f>'bloco 03'!K12</f>
        <v/>
      </c>
      <c r="D52" s="40" t="str">
        <f>'bloco 03'!L12</f>
        <v/>
      </c>
      <c r="E52" s="46" t="str">
        <f>IFERROR(('bloco 03'!M12),"")</f>
        <v/>
      </c>
      <c r="F52" s="47" t="str">
        <f>'bloco 03'!N12</f>
        <v/>
      </c>
    </row>
    <row r="53" ht="15.75" customHeight="1">
      <c r="A53" s="12" t="str">
        <f>'bloco 03'!$I13</f>
        <v/>
      </c>
      <c r="B53" s="40" t="str">
        <f>'bloco 03'!J13</f>
        <v/>
      </c>
      <c r="C53" s="40" t="str">
        <f>'bloco 03'!K13</f>
        <v/>
      </c>
      <c r="D53" s="40" t="str">
        <f>'bloco 03'!L13</f>
        <v/>
      </c>
      <c r="E53" s="46" t="str">
        <f>IFERROR(('bloco 03'!M13),"")</f>
        <v/>
      </c>
      <c r="F53" s="47" t="str">
        <f>'bloco 03'!N13</f>
        <v/>
      </c>
    </row>
    <row r="54" ht="15.75" customHeight="1">
      <c r="A54" s="12" t="str">
        <f>'bloco 03'!$I14</f>
        <v/>
      </c>
      <c r="B54" s="40" t="str">
        <f>'bloco 03'!J14</f>
        <v/>
      </c>
      <c r="C54" s="40" t="str">
        <f>'bloco 03'!K14</f>
        <v/>
      </c>
      <c r="D54" s="40" t="str">
        <f>'bloco 03'!L14</f>
        <v/>
      </c>
      <c r="E54" s="46" t="str">
        <f>IFERROR(('bloco 03'!M14),"")</f>
        <v/>
      </c>
      <c r="F54" s="47" t="str">
        <f>'bloco 03'!N14</f>
        <v/>
      </c>
    </row>
    <row r="55" ht="15.75" customHeight="1">
      <c r="A55" s="12" t="str">
        <f>'bloco 03'!$I15</f>
        <v/>
      </c>
      <c r="B55" s="40" t="str">
        <f>'bloco 03'!J15</f>
        <v/>
      </c>
      <c r="C55" s="40" t="str">
        <f>'bloco 03'!K15</f>
        <v/>
      </c>
      <c r="D55" s="40" t="str">
        <f>'bloco 03'!L15</f>
        <v/>
      </c>
      <c r="E55" s="46" t="str">
        <f>IFERROR(('bloco 03'!M15),"")</f>
        <v/>
      </c>
      <c r="F55" s="47" t="str">
        <f>'bloco 03'!N15</f>
        <v/>
      </c>
    </row>
    <row r="56" ht="15.75" customHeight="1">
      <c r="A56" s="26" t="s">
        <v>22</v>
      </c>
    </row>
    <row r="57" ht="15.75" customHeight="1">
      <c r="A57" s="29"/>
      <c r="B57" s="29" t="s">
        <v>13</v>
      </c>
      <c r="C57" s="31" t="s">
        <v>16</v>
      </c>
      <c r="D57" s="31" t="s">
        <v>15</v>
      </c>
      <c r="E57" s="31" t="s">
        <v>19</v>
      </c>
      <c r="F57" s="31" t="s">
        <v>11</v>
      </c>
    </row>
    <row r="58" ht="15.75" customHeight="1">
      <c r="A58" s="12" t="str">
        <f>'bloco 03'!$I21</f>
        <v/>
      </c>
      <c r="B58" s="40" t="str">
        <f>'bloco 03'!J21</f>
        <v/>
      </c>
      <c r="C58" s="40" t="str">
        <f>'bloco 03'!K21</f>
        <v/>
      </c>
      <c r="D58" s="40" t="str">
        <f>'bloco 03'!L21</f>
        <v/>
      </c>
      <c r="E58" s="46" t="str">
        <f>IFERROR(('bloco 03'!M21),"")</f>
        <v/>
      </c>
      <c r="F58" s="47" t="str">
        <f>'bloco 03'!N21</f>
        <v/>
      </c>
    </row>
    <row r="59" ht="15.75" customHeight="1">
      <c r="A59" s="12" t="str">
        <f>'bloco 03'!$I22</f>
        <v/>
      </c>
      <c r="B59" s="40" t="str">
        <f>'bloco 03'!J22</f>
        <v/>
      </c>
      <c r="C59" s="40" t="str">
        <f>'bloco 03'!K22</f>
        <v/>
      </c>
      <c r="D59" s="40" t="str">
        <f>'bloco 03'!L22</f>
        <v/>
      </c>
      <c r="E59" s="46" t="str">
        <f>IFERROR(('bloco 03'!M22),"")</f>
        <v/>
      </c>
      <c r="F59" s="47" t="str">
        <f>'bloco 03'!N22</f>
        <v/>
      </c>
    </row>
    <row r="60" ht="15.75" customHeight="1">
      <c r="A60" s="12" t="str">
        <f>'bloco 03'!$I23</f>
        <v/>
      </c>
      <c r="B60" s="40" t="str">
        <f>'bloco 03'!J23</f>
        <v/>
      </c>
      <c r="C60" s="40" t="str">
        <f>'bloco 03'!K23</f>
        <v/>
      </c>
      <c r="D60" s="40" t="str">
        <f>'bloco 03'!L23</f>
        <v/>
      </c>
      <c r="E60" s="46" t="str">
        <f>IFERROR(('bloco 03'!M23),"")</f>
        <v/>
      </c>
      <c r="F60" s="47" t="str">
        <f>'bloco 03'!N23</f>
        <v/>
      </c>
    </row>
    <row r="61" ht="15.75" customHeight="1">
      <c r="A61" s="12" t="str">
        <f>'bloco 03'!$I24</f>
        <v/>
      </c>
      <c r="B61" s="40" t="str">
        <f>'bloco 03'!J24</f>
        <v/>
      </c>
      <c r="C61" s="40" t="str">
        <f>'bloco 03'!K24</f>
        <v/>
      </c>
      <c r="D61" s="40" t="str">
        <f>'bloco 03'!L24</f>
        <v/>
      </c>
      <c r="E61" s="46" t="str">
        <f>IFERROR(('bloco 03'!M24),"")</f>
        <v/>
      </c>
      <c r="F61" s="47" t="str">
        <f>'bloco 03'!N24</f>
        <v/>
      </c>
    </row>
    <row r="62" ht="15.75" customHeight="1">
      <c r="A62" s="12" t="str">
        <f>'bloco 03'!$I25</f>
        <v/>
      </c>
      <c r="B62" s="40" t="str">
        <f>'bloco 03'!J25</f>
        <v/>
      </c>
      <c r="C62" s="40" t="str">
        <f>'bloco 03'!K25</f>
        <v/>
      </c>
      <c r="D62" s="40" t="str">
        <f>'bloco 03'!L25</f>
        <v/>
      </c>
      <c r="E62" s="46" t="str">
        <f>IFERROR(('bloco 03'!M25),"")</f>
        <v/>
      </c>
      <c r="F62" s="47" t="str">
        <f>'bloco 03'!N25</f>
        <v/>
      </c>
    </row>
    <row r="63" ht="15.75" customHeight="1">
      <c r="A63" s="12" t="str">
        <f>'bloco 03'!$I26</f>
        <v/>
      </c>
      <c r="B63" s="40" t="str">
        <f>'bloco 03'!J26</f>
        <v/>
      </c>
      <c r="C63" s="40" t="str">
        <f>'bloco 03'!K26</f>
        <v/>
      </c>
      <c r="D63" s="40" t="str">
        <f>'bloco 03'!L26</f>
        <v/>
      </c>
      <c r="E63" s="46" t="str">
        <f>IFERROR(('bloco 03'!M26),"")</f>
        <v/>
      </c>
      <c r="F63" s="47" t="str">
        <f>'bloco 03'!N26</f>
        <v/>
      </c>
    </row>
    <row r="64" ht="15.75" customHeight="1">
      <c r="A64" s="12" t="str">
        <f>'bloco 03'!$I27</f>
        <v/>
      </c>
      <c r="B64" s="40" t="str">
        <f>'bloco 03'!J27</f>
        <v/>
      </c>
      <c r="C64" s="40" t="str">
        <f>'bloco 03'!K27</f>
        <v/>
      </c>
      <c r="D64" s="40" t="str">
        <f>'bloco 03'!L27</f>
        <v/>
      </c>
      <c r="E64" s="46" t="str">
        <f>IFERROR(('bloco 03'!M27),"")</f>
        <v/>
      </c>
      <c r="F64" s="47" t="str">
        <f>'bloco 03'!N27</f>
        <v/>
      </c>
    </row>
    <row r="65" ht="15.75" customHeight="1">
      <c r="A65" s="12" t="str">
        <f>'bloco 03'!$I28</f>
        <v/>
      </c>
      <c r="B65" s="40" t="str">
        <f>'bloco 03'!J28</f>
        <v/>
      </c>
      <c r="C65" s="40" t="str">
        <f>'bloco 03'!K28</f>
        <v/>
      </c>
      <c r="D65" s="40" t="str">
        <f>'bloco 03'!L28</f>
        <v/>
      </c>
      <c r="E65" s="46" t="str">
        <f>IFERROR(('bloco 03'!M28),"")</f>
        <v/>
      </c>
      <c r="F65" s="47" t="str">
        <f>'bloco 03'!N28</f>
        <v/>
      </c>
    </row>
    <row r="66" ht="15.75" customHeight="1">
      <c r="A66" s="12" t="str">
        <f>'bloco 03'!$I29</f>
        <v/>
      </c>
      <c r="B66" s="40" t="str">
        <f>'bloco 03'!J29</f>
        <v/>
      </c>
      <c r="C66" s="40" t="str">
        <f>'bloco 03'!K29</f>
        <v/>
      </c>
      <c r="D66" s="40" t="str">
        <f>'bloco 03'!L29</f>
        <v/>
      </c>
      <c r="E66" s="46" t="str">
        <f>IFERROR(('bloco 03'!M29),"")</f>
        <v/>
      </c>
      <c r="F66" s="47" t="str">
        <f>'bloco 03'!N29</f>
        <v/>
      </c>
    </row>
    <row r="67" ht="15.75" customHeight="1">
      <c r="A67" s="12" t="str">
        <f>'bloco 03'!$I30</f>
        <v/>
      </c>
      <c r="B67" s="40" t="str">
        <f>'bloco 03'!J30</f>
        <v/>
      </c>
      <c r="C67" s="40" t="str">
        <f>'bloco 03'!K30</f>
        <v/>
      </c>
      <c r="D67" s="40" t="str">
        <f>'bloco 03'!L30</f>
        <v/>
      </c>
      <c r="E67" s="46" t="str">
        <f>IFERROR(('bloco 03'!M30),"")</f>
        <v/>
      </c>
      <c r="F67" s="47" t="str">
        <f>'bloco 03'!N30</f>
        <v/>
      </c>
    </row>
    <row r="68" ht="15.75" customHeight="1">
      <c r="A68" s="40"/>
    </row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>
      <c r="A85" s="38">
        <f>'bloco 03'!Q3</f>
        <v>46316</v>
      </c>
    </row>
    <row r="86" ht="15.75" customHeight="1">
      <c r="A86" s="39" t="s">
        <v>24</v>
      </c>
    </row>
    <row r="87" ht="15.75" customHeight="1">
      <c r="A87" s="26" t="s">
        <v>10</v>
      </c>
    </row>
    <row r="88" ht="15.75" customHeight="1">
      <c r="A88" s="29"/>
      <c r="B88" s="29" t="s">
        <v>13</v>
      </c>
      <c r="C88" s="31" t="s">
        <v>16</v>
      </c>
      <c r="D88" s="31" t="s">
        <v>15</v>
      </c>
      <c r="E88" s="31" t="s">
        <v>19</v>
      </c>
      <c r="F88" s="31" t="s">
        <v>11</v>
      </c>
    </row>
    <row r="89" ht="15.75" customHeight="1">
      <c r="A89" s="12" t="str">
        <f>'bloco 03'!$P6</f>
        <v/>
      </c>
      <c r="B89" s="40" t="str">
        <f>'bloco 03'!Q6</f>
        <v/>
      </c>
      <c r="C89" s="40" t="str">
        <f>'bloco 03'!R6</f>
        <v/>
      </c>
      <c r="D89" s="40" t="str">
        <f>'bloco 03'!S6</f>
        <v/>
      </c>
      <c r="E89" s="46" t="str">
        <f>IFERROR(('bloco 03'!T6),"")</f>
        <v/>
      </c>
      <c r="F89" s="47" t="str">
        <f>'bloco 03'!U6</f>
        <v/>
      </c>
    </row>
    <row r="90" ht="15.75" customHeight="1">
      <c r="A90" s="12" t="str">
        <f>'bloco 03'!$P7</f>
        <v/>
      </c>
      <c r="B90" s="40" t="str">
        <f>'bloco 03'!Q7</f>
        <v/>
      </c>
      <c r="C90" s="40" t="str">
        <f>'bloco 03'!R7</f>
        <v/>
      </c>
      <c r="D90" s="40" t="str">
        <f>'bloco 03'!S7</f>
        <v/>
      </c>
      <c r="E90" s="46" t="str">
        <f>IFERROR(('bloco 03'!T7),"")</f>
        <v/>
      </c>
      <c r="F90" s="47" t="str">
        <f>'bloco 03'!U7</f>
        <v/>
      </c>
    </row>
    <row r="91" ht="15.75" customHeight="1">
      <c r="A91" s="12" t="str">
        <f>'bloco 03'!$P8</f>
        <v/>
      </c>
      <c r="B91" s="40" t="str">
        <f>'bloco 03'!Q8</f>
        <v/>
      </c>
      <c r="C91" s="40" t="str">
        <f>'bloco 03'!R8</f>
        <v/>
      </c>
      <c r="D91" s="40" t="str">
        <f>'bloco 03'!S8</f>
        <v/>
      </c>
      <c r="E91" s="46" t="str">
        <f>IFERROR(('bloco 03'!T8),"")</f>
        <v/>
      </c>
      <c r="F91" s="47" t="str">
        <f>'bloco 03'!U8</f>
        <v/>
      </c>
    </row>
    <row r="92" ht="15.75" customHeight="1">
      <c r="A92" s="12" t="str">
        <f>'bloco 03'!$P9</f>
        <v/>
      </c>
      <c r="B92" s="40" t="str">
        <f>'bloco 03'!Q9</f>
        <v/>
      </c>
      <c r="C92" s="40" t="str">
        <f>'bloco 03'!R9</f>
        <v/>
      </c>
      <c r="D92" s="40" t="str">
        <f>'bloco 03'!S9</f>
        <v/>
      </c>
      <c r="E92" s="46" t="str">
        <f>IFERROR(('bloco 03'!T9),"")</f>
        <v/>
      </c>
      <c r="F92" s="47" t="str">
        <f>'bloco 03'!U9</f>
        <v/>
      </c>
    </row>
    <row r="93" ht="15.75" customHeight="1">
      <c r="A93" s="12" t="str">
        <f>'bloco 03'!$P10</f>
        <v/>
      </c>
      <c r="B93" s="40" t="str">
        <f>'bloco 03'!Q10</f>
        <v/>
      </c>
      <c r="C93" s="40" t="str">
        <f>'bloco 03'!R10</f>
        <v/>
      </c>
      <c r="D93" s="40" t="str">
        <f>'bloco 03'!S10</f>
        <v/>
      </c>
      <c r="E93" s="46" t="str">
        <f>IFERROR(('bloco 03'!T10),"")</f>
        <v/>
      </c>
      <c r="F93" s="47" t="str">
        <f>'bloco 03'!U10</f>
        <v/>
      </c>
    </row>
    <row r="94" ht="15.75" customHeight="1">
      <c r="A94" s="12" t="str">
        <f>'bloco 03'!$P11</f>
        <v/>
      </c>
      <c r="B94" s="40" t="str">
        <f>'bloco 03'!Q11</f>
        <v/>
      </c>
      <c r="C94" s="40" t="str">
        <f>'bloco 03'!R11</f>
        <v/>
      </c>
      <c r="D94" s="40" t="str">
        <f>'bloco 03'!S11</f>
        <v/>
      </c>
      <c r="E94" s="46" t="str">
        <f>IFERROR(('bloco 03'!T11),"")</f>
        <v/>
      </c>
      <c r="F94" s="47" t="str">
        <f>'bloco 03'!U11</f>
        <v/>
      </c>
    </row>
    <row r="95" ht="15.75" customHeight="1">
      <c r="A95" s="12" t="str">
        <f>'bloco 03'!$P12</f>
        <v/>
      </c>
      <c r="B95" s="40" t="str">
        <f>'bloco 03'!Q12</f>
        <v/>
      </c>
      <c r="C95" s="40" t="str">
        <f>'bloco 03'!R12</f>
        <v/>
      </c>
      <c r="D95" s="40" t="str">
        <f>'bloco 03'!S12</f>
        <v/>
      </c>
      <c r="E95" s="46" t="str">
        <f>IFERROR(('bloco 03'!T12),"")</f>
        <v/>
      </c>
      <c r="F95" s="47" t="str">
        <f>'bloco 03'!U12</f>
        <v/>
      </c>
    </row>
    <row r="96" ht="15.75" customHeight="1">
      <c r="A96" s="12" t="str">
        <f>'bloco 03'!$P13</f>
        <v/>
      </c>
      <c r="B96" s="40" t="str">
        <f>'bloco 03'!Q13</f>
        <v/>
      </c>
      <c r="C96" s="40" t="str">
        <f>'bloco 03'!R13</f>
        <v/>
      </c>
      <c r="D96" s="40" t="str">
        <f>'bloco 03'!S13</f>
        <v/>
      </c>
      <c r="E96" s="46" t="str">
        <f>IFERROR(('bloco 03'!T13),"")</f>
        <v/>
      </c>
      <c r="F96" s="47" t="str">
        <f>'bloco 03'!U13</f>
        <v/>
      </c>
    </row>
    <row r="97" ht="15.75" customHeight="1">
      <c r="A97" s="12" t="str">
        <f>'bloco 03'!$P14</f>
        <v/>
      </c>
      <c r="B97" s="40" t="str">
        <f>'bloco 03'!Q14</f>
        <v/>
      </c>
      <c r="C97" s="40" t="str">
        <f>'bloco 03'!R14</f>
        <v/>
      </c>
      <c r="D97" s="40" t="str">
        <f>'bloco 03'!S14</f>
        <v/>
      </c>
      <c r="E97" s="46" t="str">
        <f>IFERROR(('bloco 03'!T14),"")</f>
        <v/>
      </c>
      <c r="F97" s="47" t="str">
        <f>'bloco 03'!U14</f>
        <v/>
      </c>
    </row>
    <row r="98" ht="15.75" customHeight="1">
      <c r="A98" s="12" t="str">
        <f>'bloco 03'!$P15</f>
        <v/>
      </c>
      <c r="B98" s="40" t="str">
        <f>'bloco 03'!Q15</f>
        <v/>
      </c>
      <c r="C98" s="40" t="str">
        <f>'bloco 03'!R15</f>
        <v/>
      </c>
      <c r="D98" s="40" t="str">
        <f>'bloco 03'!S15</f>
        <v/>
      </c>
      <c r="E98" s="46" t="str">
        <f>IFERROR(('bloco 03'!T15),"")</f>
        <v/>
      </c>
      <c r="F98" s="47" t="str">
        <f>'bloco 03'!U15</f>
        <v/>
      </c>
    </row>
    <row r="99" ht="15.75" customHeight="1">
      <c r="A99" s="26" t="s">
        <v>22</v>
      </c>
    </row>
    <row r="100" ht="15.75" customHeight="1">
      <c r="A100" s="29"/>
      <c r="B100" s="29" t="s">
        <v>13</v>
      </c>
      <c r="C100" s="31" t="s">
        <v>16</v>
      </c>
      <c r="D100" s="31" t="s">
        <v>15</v>
      </c>
      <c r="E100" s="31" t="s">
        <v>19</v>
      </c>
      <c r="F100" s="31" t="s">
        <v>11</v>
      </c>
    </row>
    <row r="101" ht="15.75" customHeight="1">
      <c r="A101" s="12" t="str">
        <f>'bloco 03'!$P21</f>
        <v/>
      </c>
      <c r="B101" s="40" t="str">
        <f>'bloco 03'!Q21</f>
        <v/>
      </c>
      <c r="C101" s="40" t="str">
        <f>'bloco 03'!R21</f>
        <v/>
      </c>
      <c r="D101" s="40" t="str">
        <f>'bloco 03'!S21</f>
        <v/>
      </c>
      <c r="E101" s="46" t="str">
        <f>IFERROR(('bloco 03'!T21),"")</f>
        <v/>
      </c>
      <c r="F101" s="47" t="str">
        <f>'bloco 03'!U21</f>
        <v/>
      </c>
    </row>
    <row r="102" ht="15.75" customHeight="1">
      <c r="A102" s="12" t="str">
        <f>'bloco 03'!$P22</f>
        <v/>
      </c>
      <c r="B102" s="40" t="str">
        <f>'bloco 03'!Q22</f>
        <v/>
      </c>
      <c r="C102" s="40" t="str">
        <f>'bloco 03'!R22</f>
        <v/>
      </c>
      <c r="D102" s="40" t="str">
        <f>'bloco 03'!S22</f>
        <v/>
      </c>
      <c r="E102" s="46" t="str">
        <f>IFERROR(('bloco 03'!T22),"")</f>
        <v/>
      </c>
      <c r="F102" s="47" t="str">
        <f>'bloco 03'!U22</f>
        <v/>
      </c>
    </row>
    <row r="103" ht="15.75" customHeight="1">
      <c r="A103" s="12" t="str">
        <f>'bloco 03'!$P23</f>
        <v/>
      </c>
      <c r="B103" s="40" t="str">
        <f>'bloco 03'!Q23</f>
        <v/>
      </c>
      <c r="C103" s="40" t="str">
        <f>'bloco 03'!R23</f>
        <v/>
      </c>
      <c r="D103" s="40" t="str">
        <f>'bloco 03'!S23</f>
        <v/>
      </c>
      <c r="E103" s="46" t="str">
        <f>IFERROR(('bloco 03'!T23),"")</f>
        <v/>
      </c>
      <c r="F103" s="47" t="str">
        <f>'bloco 03'!U23</f>
        <v/>
      </c>
    </row>
    <row r="104" ht="15.75" customHeight="1">
      <c r="A104" s="12" t="str">
        <f>'bloco 03'!$P24</f>
        <v/>
      </c>
      <c r="B104" s="40" t="str">
        <f>'bloco 03'!Q24</f>
        <v/>
      </c>
      <c r="C104" s="40" t="str">
        <f>'bloco 03'!R24</f>
        <v/>
      </c>
      <c r="D104" s="40" t="str">
        <f>'bloco 03'!S24</f>
        <v/>
      </c>
      <c r="E104" s="46" t="str">
        <f>IFERROR(('bloco 03'!T24),"")</f>
        <v/>
      </c>
      <c r="F104" s="47" t="str">
        <f>'bloco 03'!U24</f>
        <v/>
      </c>
    </row>
    <row r="105" ht="15.75" customHeight="1">
      <c r="A105" s="12" t="str">
        <f>'bloco 03'!$P25</f>
        <v/>
      </c>
      <c r="B105" s="40" t="str">
        <f>'bloco 03'!Q25</f>
        <v/>
      </c>
      <c r="C105" s="40" t="str">
        <f>'bloco 03'!R25</f>
        <v/>
      </c>
      <c r="D105" s="40" t="str">
        <f>'bloco 03'!S25</f>
        <v/>
      </c>
      <c r="E105" s="46" t="str">
        <f>IFERROR(('bloco 03'!T25),"")</f>
        <v/>
      </c>
      <c r="F105" s="47" t="str">
        <f>'bloco 03'!U25</f>
        <v/>
      </c>
    </row>
    <row r="106" ht="15.75" customHeight="1">
      <c r="A106" s="12" t="str">
        <f>'bloco 03'!$P26</f>
        <v/>
      </c>
      <c r="B106" s="40" t="str">
        <f>'bloco 03'!Q26</f>
        <v/>
      </c>
      <c r="C106" s="40" t="str">
        <f>'bloco 03'!R26</f>
        <v/>
      </c>
      <c r="D106" s="40" t="str">
        <f>'bloco 03'!S26</f>
        <v/>
      </c>
      <c r="E106" s="46" t="str">
        <f>IFERROR(('bloco 03'!T26),"")</f>
        <v/>
      </c>
      <c r="F106" s="47" t="str">
        <f>'bloco 03'!U26</f>
        <v/>
      </c>
    </row>
    <row r="107" ht="15.75" customHeight="1">
      <c r="A107" s="12" t="str">
        <f>'bloco 03'!$P27</f>
        <v/>
      </c>
      <c r="B107" s="40" t="str">
        <f>'bloco 03'!Q27</f>
        <v/>
      </c>
      <c r="C107" s="40" t="str">
        <f>'bloco 03'!R27</f>
        <v/>
      </c>
      <c r="D107" s="40" t="str">
        <f>'bloco 03'!S27</f>
        <v/>
      </c>
      <c r="E107" s="46" t="str">
        <f>IFERROR(('bloco 03'!T27),"")</f>
        <v/>
      </c>
      <c r="F107" s="47" t="str">
        <f>'bloco 03'!U27</f>
        <v/>
      </c>
    </row>
    <row r="108" ht="15.75" customHeight="1">
      <c r="A108" s="12" t="str">
        <f>'bloco 03'!$P28</f>
        <v/>
      </c>
      <c r="B108" s="40" t="str">
        <f>'bloco 03'!Q28</f>
        <v/>
      </c>
      <c r="C108" s="40" t="str">
        <f>'bloco 03'!R28</f>
        <v/>
      </c>
      <c r="D108" s="40" t="str">
        <f>'bloco 03'!S28</f>
        <v/>
      </c>
      <c r="E108" s="46" t="str">
        <f>IFERROR(('bloco 03'!T28),"")</f>
        <v/>
      </c>
      <c r="F108" s="47" t="str">
        <f>'bloco 03'!U28</f>
        <v/>
      </c>
    </row>
    <row r="109" ht="15.75" customHeight="1">
      <c r="A109" s="12" t="str">
        <f>'bloco 03'!$P29</f>
        <v/>
      </c>
      <c r="B109" s="40" t="str">
        <f>'bloco 03'!Q29</f>
        <v/>
      </c>
      <c r="C109" s="40" t="str">
        <f>'bloco 03'!R29</f>
        <v/>
      </c>
      <c r="D109" s="40" t="str">
        <f>'bloco 03'!S29</f>
        <v/>
      </c>
      <c r="E109" s="46" t="str">
        <f>IFERROR(('bloco 03'!T29),"")</f>
        <v/>
      </c>
      <c r="F109" s="47" t="str">
        <f>'bloco 03'!U29</f>
        <v/>
      </c>
    </row>
    <row r="110" ht="15.75" customHeight="1">
      <c r="A110" s="12" t="str">
        <f>'bloco 03'!$P30</f>
        <v/>
      </c>
      <c r="B110" s="40" t="str">
        <f>'bloco 03'!Q30</f>
        <v/>
      </c>
      <c r="C110" s="40" t="str">
        <f>'bloco 03'!R30</f>
        <v/>
      </c>
      <c r="D110" s="40" t="str">
        <f>'bloco 03'!S30</f>
        <v/>
      </c>
      <c r="E110" s="46" t="str">
        <f>IFERROR(('bloco 03'!T30),"")</f>
        <v/>
      </c>
      <c r="F110" s="47" t="str">
        <f>'bloco 03'!U30</f>
        <v/>
      </c>
    </row>
    <row r="111" ht="15.75" customHeight="1">
      <c r="A111" s="40"/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>
      <c r="A128" s="38">
        <f>'bloco 03'!X3</f>
        <v>46323</v>
      </c>
    </row>
    <row r="129" ht="15.75" customHeight="1">
      <c r="A129" s="39" t="s">
        <v>25</v>
      </c>
    </row>
    <row r="130" ht="15.75" customHeight="1">
      <c r="A130" s="26" t="s">
        <v>10</v>
      </c>
    </row>
    <row r="131" ht="15.75" customHeight="1">
      <c r="A131" s="29"/>
      <c r="B131" s="29" t="s">
        <v>13</v>
      </c>
      <c r="C131" s="31" t="s">
        <v>16</v>
      </c>
      <c r="D131" s="31" t="s">
        <v>15</v>
      </c>
      <c r="E131" s="31" t="s">
        <v>19</v>
      </c>
      <c r="F131" s="31" t="s">
        <v>11</v>
      </c>
    </row>
    <row r="132" ht="15.75" customHeight="1">
      <c r="A132" s="12" t="str">
        <f>'bloco 03'!$W6</f>
        <v/>
      </c>
      <c r="B132" s="40" t="str">
        <f>'bloco 03'!X6</f>
        <v/>
      </c>
      <c r="C132" s="40" t="str">
        <f>'bloco 03'!Y6</f>
        <v/>
      </c>
      <c r="D132" s="40" t="str">
        <f>'bloco 03'!Z6</f>
        <v/>
      </c>
      <c r="E132" s="46" t="str">
        <f>IFERROR(('bloco 03'!AA6),"")</f>
        <v/>
      </c>
      <c r="F132" s="47" t="str">
        <f>'bloco 03'!AB6</f>
        <v/>
      </c>
    </row>
    <row r="133" ht="15.75" customHeight="1">
      <c r="A133" s="12" t="str">
        <f>'bloco 03'!$W7</f>
        <v/>
      </c>
      <c r="B133" s="40" t="str">
        <f>'bloco 03'!X7</f>
        <v/>
      </c>
      <c r="C133" s="40" t="str">
        <f>'bloco 03'!Y7</f>
        <v/>
      </c>
      <c r="D133" s="40" t="str">
        <f>'bloco 03'!Z7</f>
        <v/>
      </c>
      <c r="E133" s="46" t="str">
        <f>IFERROR(('bloco 03'!AA7),"")</f>
        <v/>
      </c>
      <c r="F133" s="47" t="str">
        <f>'bloco 03'!AB7</f>
        <v/>
      </c>
    </row>
    <row r="134" ht="15.75" customHeight="1">
      <c r="A134" s="12" t="str">
        <f>'bloco 03'!$W8</f>
        <v/>
      </c>
      <c r="B134" s="40" t="str">
        <f>'bloco 03'!X8</f>
        <v/>
      </c>
      <c r="C134" s="40" t="str">
        <f>'bloco 03'!Y8</f>
        <v/>
      </c>
      <c r="D134" s="40" t="str">
        <f>'bloco 03'!Z8</f>
        <v/>
      </c>
      <c r="E134" s="46" t="str">
        <f>IFERROR(('bloco 03'!AA8),"")</f>
        <v/>
      </c>
      <c r="F134" s="47" t="str">
        <f>'bloco 03'!AB8</f>
        <v/>
      </c>
    </row>
    <row r="135" ht="15.75" customHeight="1">
      <c r="A135" s="12" t="str">
        <f>'bloco 03'!$W9</f>
        <v/>
      </c>
      <c r="B135" s="40" t="str">
        <f>'bloco 03'!X9</f>
        <v/>
      </c>
      <c r="C135" s="40" t="str">
        <f>'bloco 03'!Y9</f>
        <v/>
      </c>
      <c r="D135" s="40" t="str">
        <f>'bloco 03'!Z9</f>
        <v/>
      </c>
      <c r="E135" s="46" t="str">
        <f>IFERROR(('bloco 03'!AA9),"")</f>
        <v/>
      </c>
      <c r="F135" s="47" t="str">
        <f>'bloco 03'!AB9</f>
        <v/>
      </c>
    </row>
    <row r="136" ht="15.75" customHeight="1">
      <c r="A136" s="12" t="str">
        <f>'bloco 03'!$W10</f>
        <v/>
      </c>
      <c r="B136" s="40" t="str">
        <f>'bloco 03'!X10</f>
        <v/>
      </c>
      <c r="C136" s="40" t="str">
        <f>'bloco 03'!Y10</f>
        <v/>
      </c>
      <c r="D136" s="40" t="str">
        <f>'bloco 03'!Z10</f>
        <v/>
      </c>
      <c r="E136" s="46" t="str">
        <f>IFERROR(('bloco 03'!AA10),"")</f>
        <v/>
      </c>
      <c r="F136" s="47" t="str">
        <f>'bloco 03'!AB10</f>
        <v/>
      </c>
    </row>
    <row r="137" ht="15.75" customHeight="1">
      <c r="A137" s="12" t="str">
        <f>'bloco 03'!$W11</f>
        <v/>
      </c>
      <c r="B137" s="40" t="str">
        <f>'bloco 03'!X11</f>
        <v/>
      </c>
      <c r="C137" s="40" t="str">
        <f>'bloco 03'!Y11</f>
        <v/>
      </c>
      <c r="D137" s="40" t="str">
        <f>'bloco 03'!Z11</f>
        <v/>
      </c>
      <c r="E137" s="46" t="str">
        <f>IFERROR(('bloco 03'!AA11),"")</f>
        <v/>
      </c>
      <c r="F137" s="47" t="str">
        <f>'bloco 03'!AB11</f>
        <v/>
      </c>
    </row>
    <row r="138" ht="15.75" customHeight="1">
      <c r="A138" s="12" t="str">
        <f>'bloco 03'!$W12</f>
        <v/>
      </c>
      <c r="B138" s="40" t="str">
        <f>'bloco 03'!X12</f>
        <v/>
      </c>
      <c r="C138" s="40" t="str">
        <f>'bloco 03'!Y12</f>
        <v/>
      </c>
      <c r="D138" s="40" t="str">
        <f>'bloco 03'!Z12</f>
        <v/>
      </c>
      <c r="E138" s="46" t="str">
        <f>IFERROR(('bloco 03'!AA12),"")</f>
        <v/>
      </c>
      <c r="F138" s="47" t="str">
        <f>'bloco 03'!AB12</f>
        <v/>
      </c>
    </row>
    <row r="139" ht="15.75" customHeight="1">
      <c r="A139" s="12" t="str">
        <f>'bloco 03'!$W13</f>
        <v/>
      </c>
      <c r="B139" s="40" t="str">
        <f>'bloco 03'!X13</f>
        <v/>
      </c>
      <c r="C139" s="40" t="str">
        <f>'bloco 03'!Y13</f>
        <v/>
      </c>
      <c r="D139" s="40" t="str">
        <f>'bloco 03'!Z13</f>
        <v/>
      </c>
      <c r="E139" s="46" t="str">
        <f>IFERROR(('bloco 03'!AA13),"")</f>
        <v/>
      </c>
      <c r="F139" s="47" t="str">
        <f>'bloco 03'!AB13</f>
        <v/>
      </c>
    </row>
    <row r="140" ht="15.75" customHeight="1">
      <c r="A140" s="12" t="str">
        <f>'bloco 03'!$W14</f>
        <v/>
      </c>
      <c r="B140" s="40" t="str">
        <f>'bloco 03'!X14</f>
        <v/>
      </c>
      <c r="C140" s="40" t="str">
        <f>'bloco 03'!Y14</f>
        <v/>
      </c>
      <c r="D140" s="40" t="str">
        <f>'bloco 03'!Z14</f>
        <v/>
      </c>
      <c r="E140" s="46" t="str">
        <f>IFERROR(('bloco 03'!AA14),"")</f>
        <v/>
      </c>
      <c r="F140" s="47" t="str">
        <f>'bloco 03'!AB14</f>
        <v/>
      </c>
    </row>
    <row r="141" ht="15.75" customHeight="1">
      <c r="A141" s="12" t="str">
        <f>'bloco 03'!$W15</f>
        <v/>
      </c>
      <c r="B141" s="40" t="str">
        <f>'bloco 03'!X15</f>
        <v/>
      </c>
      <c r="C141" s="40" t="str">
        <f>'bloco 03'!Y15</f>
        <v/>
      </c>
      <c r="D141" s="40" t="str">
        <f>'bloco 03'!Z15</f>
        <v/>
      </c>
      <c r="E141" s="46" t="str">
        <f>IFERROR(('bloco 03'!AA15),"")</f>
        <v/>
      </c>
      <c r="F141" s="47" t="str">
        <f>'bloco 03'!AB15</f>
        <v/>
      </c>
    </row>
    <row r="142" ht="15.75" customHeight="1">
      <c r="A142" s="26" t="s">
        <v>22</v>
      </c>
    </row>
    <row r="143" ht="15.75" customHeight="1">
      <c r="A143" s="29"/>
      <c r="B143" s="29" t="s">
        <v>13</v>
      </c>
      <c r="C143" s="31" t="s">
        <v>16</v>
      </c>
      <c r="D143" s="31" t="s">
        <v>15</v>
      </c>
      <c r="E143" s="31" t="s">
        <v>19</v>
      </c>
      <c r="F143" s="31" t="s">
        <v>11</v>
      </c>
    </row>
    <row r="144" ht="15.75" customHeight="1">
      <c r="A144" s="12" t="str">
        <f>'bloco 03'!$W21</f>
        <v/>
      </c>
      <c r="B144" s="40" t="str">
        <f>'bloco 03'!X21</f>
        <v/>
      </c>
      <c r="C144" s="40" t="str">
        <f>'bloco 03'!Y21</f>
        <v/>
      </c>
      <c r="D144" s="40" t="str">
        <f>'bloco 03'!Z21</f>
        <v/>
      </c>
      <c r="E144" s="46" t="str">
        <f>IFERROR(('bloco 03'!AA21),"")</f>
        <v/>
      </c>
      <c r="F144" s="47" t="str">
        <f>'bloco 03'!AB21</f>
        <v/>
      </c>
    </row>
    <row r="145" ht="15.75" customHeight="1">
      <c r="A145" s="12" t="str">
        <f>'bloco 03'!$W22</f>
        <v/>
      </c>
      <c r="B145" s="40" t="str">
        <f>'bloco 03'!X22</f>
        <v/>
      </c>
      <c r="C145" s="40" t="str">
        <f>'bloco 03'!Y22</f>
        <v/>
      </c>
      <c r="D145" s="40" t="str">
        <f>'bloco 03'!Z22</f>
        <v/>
      </c>
      <c r="E145" s="46" t="str">
        <f>IFERROR(('bloco 03'!AA22),"")</f>
        <v/>
      </c>
      <c r="F145" s="47" t="str">
        <f>'bloco 03'!AB22</f>
        <v/>
      </c>
    </row>
    <row r="146" ht="15.75" customHeight="1">
      <c r="A146" s="12" t="str">
        <f>'bloco 03'!$W23</f>
        <v/>
      </c>
      <c r="B146" s="40" t="str">
        <f>'bloco 03'!X23</f>
        <v/>
      </c>
      <c r="C146" s="40" t="str">
        <f>'bloco 03'!Y23</f>
        <v/>
      </c>
      <c r="D146" s="40" t="str">
        <f>'bloco 03'!Z23</f>
        <v/>
      </c>
      <c r="E146" s="46" t="str">
        <f>IFERROR(('bloco 03'!AA23),"")</f>
        <v/>
      </c>
      <c r="F146" s="47" t="str">
        <f>'bloco 03'!AB23</f>
        <v/>
      </c>
    </row>
    <row r="147" ht="15.75" customHeight="1">
      <c r="A147" s="12" t="str">
        <f>'bloco 03'!$W24</f>
        <v/>
      </c>
      <c r="B147" s="40" t="str">
        <f>'bloco 03'!X24</f>
        <v/>
      </c>
      <c r="C147" s="40" t="str">
        <f>'bloco 03'!Y24</f>
        <v/>
      </c>
      <c r="D147" s="40" t="str">
        <f>'bloco 03'!Z24</f>
        <v/>
      </c>
      <c r="E147" s="46" t="str">
        <f>IFERROR(('bloco 03'!AA24),"")</f>
        <v/>
      </c>
      <c r="F147" s="47" t="str">
        <f>'bloco 03'!AB24</f>
        <v/>
      </c>
    </row>
    <row r="148" ht="15.75" customHeight="1">
      <c r="A148" s="12" t="str">
        <f>'bloco 03'!$W25</f>
        <v/>
      </c>
      <c r="B148" s="40" t="str">
        <f>'bloco 03'!X25</f>
        <v/>
      </c>
      <c r="C148" s="40" t="str">
        <f>'bloco 03'!Y25</f>
        <v/>
      </c>
      <c r="D148" s="40" t="str">
        <f>'bloco 03'!Z25</f>
        <v/>
      </c>
      <c r="E148" s="46" t="str">
        <f>IFERROR(('bloco 03'!AA25),"")</f>
        <v/>
      </c>
      <c r="F148" s="47" t="str">
        <f>'bloco 03'!AB25</f>
        <v/>
      </c>
    </row>
    <row r="149" ht="15.75" customHeight="1">
      <c r="A149" s="12" t="str">
        <f>'bloco 03'!$W26</f>
        <v/>
      </c>
      <c r="B149" s="40" t="str">
        <f>'bloco 03'!X26</f>
        <v/>
      </c>
      <c r="C149" s="40" t="str">
        <f>'bloco 03'!Y26</f>
        <v/>
      </c>
      <c r="D149" s="40" t="str">
        <f>'bloco 03'!Z26</f>
        <v/>
      </c>
      <c r="E149" s="46" t="str">
        <f>IFERROR(('bloco 03'!AA26),"")</f>
        <v/>
      </c>
      <c r="F149" s="47" t="str">
        <f>'bloco 03'!AB26</f>
        <v/>
      </c>
    </row>
    <row r="150" ht="15.75" customHeight="1">
      <c r="A150" s="12" t="str">
        <f>'bloco 03'!$W27</f>
        <v/>
      </c>
      <c r="B150" s="40" t="str">
        <f>'bloco 03'!X27</f>
        <v/>
      </c>
      <c r="C150" s="40" t="str">
        <f>'bloco 03'!Y27</f>
        <v/>
      </c>
      <c r="D150" s="40" t="str">
        <f>'bloco 03'!Z27</f>
        <v/>
      </c>
      <c r="E150" s="46" t="str">
        <f>IFERROR(('bloco 03'!AA27),"")</f>
        <v/>
      </c>
      <c r="F150" s="47" t="str">
        <f>'bloco 03'!AB27</f>
        <v/>
      </c>
    </row>
    <row r="151" ht="15.75" customHeight="1">
      <c r="A151" s="12" t="str">
        <f>'bloco 03'!$W28</f>
        <v/>
      </c>
      <c r="B151" s="40" t="str">
        <f>'bloco 03'!X28</f>
        <v/>
      </c>
      <c r="C151" s="40" t="str">
        <f>'bloco 03'!Y28</f>
        <v/>
      </c>
      <c r="D151" s="40" t="str">
        <f>'bloco 03'!Z28</f>
        <v/>
      </c>
      <c r="E151" s="46" t="str">
        <f>IFERROR(('bloco 03'!AA28),"")</f>
        <v/>
      </c>
      <c r="F151" s="47" t="str">
        <f>'bloco 03'!AB28</f>
        <v/>
      </c>
    </row>
    <row r="152" ht="15.75" customHeight="1">
      <c r="A152" s="12" t="str">
        <f>'bloco 03'!$W29</f>
        <v/>
      </c>
      <c r="B152" s="40" t="str">
        <f>'bloco 03'!X29</f>
        <v/>
      </c>
      <c r="C152" s="40" t="str">
        <f>'bloco 03'!Y29</f>
        <v/>
      </c>
      <c r="D152" s="40" t="str">
        <f>'bloco 03'!Z29</f>
        <v/>
      </c>
      <c r="E152" s="46" t="str">
        <f>IFERROR(('bloco 03'!AA29),"")</f>
        <v/>
      </c>
      <c r="F152" s="47" t="str">
        <f>'bloco 03'!AB29</f>
        <v/>
      </c>
    </row>
    <row r="153" ht="15.75" customHeight="1">
      <c r="A153" s="12" t="str">
        <f>'bloco 03'!$W30</f>
        <v/>
      </c>
      <c r="B153" s="40" t="str">
        <f>'bloco 03'!X30</f>
        <v/>
      </c>
      <c r="C153" s="40" t="str">
        <f>'bloco 03'!Y30</f>
        <v/>
      </c>
      <c r="D153" s="40" t="str">
        <f>'bloco 03'!Z30</f>
        <v/>
      </c>
      <c r="E153" s="46" t="str">
        <f>IFERROR(('bloco 03'!AA30),"")</f>
        <v/>
      </c>
      <c r="F153" s="47" t="str">
        <f>'bloco 03'!AB30</f>
        <v/>
      </c>
    </row>
    <row r="154" ht="15.75" customHeight="1">
      <c r="A154" s="40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>
      <c r="A171" s="11"/>
      <c r="B171" s="11"/>
      <c r="C171" s="11"/>
      <c r="D171" s="11"/>
      <c r="E171" s="11"/>
      <c r="F171" s="11"/>
      <c r="G171" s="11"/>
    </row>
    <row r="172" ht="15.75" customHeight="1">
      <c r="A172" s="11"/>
      <c r="B172" s="11"/>
      <c r="C172" s="11"/>
      <c r="D172" s="11"/>
      <c r="E172" s="11"/>
      <c r="F172" s="11"/>
      <c r="G172" s="11"/>
    </row>
    <row r="173" ht="15.75" customHeight="1">
      <c r="A173" s="11"/>
      <c r="B173" s="11"/>
      <c r="C173" s="11"/>
      <c r="D173" s="11"/>
      <c r="E173" s="11"/>
      <c r="F173" s="11"/>
      <c r="G173" s="11"/>
    </row>
    <row r="174" ht="15.75" customHeight="1">
      <c r="A174" s="11"/>
      <c r="B174" s="11"/>
      <c r="C174" s="11"/>
      <c r="D174" s="11"/>
      <c r="E174" s="11"/>
      <c r="F174" s="11"/>
      <c r="G174" s="11"/>
    </row>
    <row r="175" ht="15.75" customHeight="1">
      <c r="A175" s="11"/>
      <c r="B175" s="11"/>
      <c r="C175" s="11"/>
      <c r="D175" s="11"/>
      <c r="E175" s="11"/>
      <c r="F175" s="11"/>
      <c r="G175" s="11"/>
    </row>
    <row r="176" ht="15.75" customHeight="1">
      <c r="A176" s="11"/>
      <c r="B176" s="11"/>
      <c r="C176" s="11"/>
      <c r="D176" s="11"/>
      <c r="E176" s="11"/>
      <c r="F176" s="11"/>
      <c r="G176" s="11"/>
    </row>
    <row r="177" ht="15.75" customHeight="1">
      <c r="A177" s="11"/>
      <c r="B177" s="11"/>
      <c r="C177" s="11"/>
      <c r="D177" s="11"/>
      <c r="E177" s="11"/>
      <c r="F177" s="11"/>
      <c r="G177" s="11"/>
    </row>
    <row r="178" ht="15.75" customHeight="1">
      <c r="A178" s="11"/>
      <c r="B178" s="11"/>
      <c r="C178" s="11"/>
      <c r="D178" s="11"/>
      <c r="E178" s="11"/>
      <c r="F178" s="11"/>
      <c r="G178" s="11"/>
    </row>
    <row r="179" ht="15.75" customHeight="1">
      <c r="A179" s="11"/>
      <c r="B179" s="11"/>
      <c r="C179" s="11"/>
      <c r="D179" s="11"/>
      <c r="E179" s="11"/>
      <c r="F179" s="11"/>
      <c r="G179" s="11"/>
    </row>
    <row r="180" ht="15.75" customHeight="1">
      <c r="A180" s="11"/>
      <c r="B180" s="11"/>
      <c r="C180" s="11"/>
      <c r="D180" s="11"/>
      <c r="E180" s="11"/>
      <c r="F180" s="11"/>
      <c r="G180" s="11"/>
    </row>
    <row r="181" ht="15.75" customHeight="1">
      <c r="A181" s="11"/>
      <c r="B181" s="11"/>
      <c r="C181" s="11"/>
      <c r="D181" s="11"/>
      <c r="E181" s="11"/>
      <c r="F181" s="11"/>
      <c r="G181" s="11"/>
    </row>
    <row r="182" ht="15.75" customHeight="1">
      <c r="A182" s="11"/>
      <c r="B182" s="11"/>
      <c r="C182" s="11"/>
      <c r="D182" s="11"/>
      <c r="E182" s="11"/>
      <c r="F182" s="11"/>
      <c r="G182" s="11"/>
    </row>
    <row r="183" ht="15.75" customHeight="1">
      <c r="A183" s="11"/>
      <c r="B183" s="11"/>
      <c r="C183" s="11"/>
      <c r="D183" s="11"/>
      <c r="E183" s="11"/>
      <c r="F183" s="11"/>
      <c r="G183" s="11"/>
    </row>
    <row r="184" ht="15.75" customHeight="1">
      <c r="A184" s="11"/>
      <c r="B184" s="11"/>
      <c r="C184" s="11"/>
      <c r="D184" s="11"/>
      <c r="E184" s="11"/>
      <c r="F184" s="11"/>
      <c r="G184" s="11"/>
    </row>
    <row r="185" ht="15.75" customHeight="1">
      <c r="A185" s="11"/>
      <c r="B185" s="11"/>
      <c r="C185" s="11"/>
      <c r="D185" s="11"/>
      <c r="E185" s="11"/>
      <c r="F185" s="11"/>
      <c r="G185" s="11"/>
    </row>
    <row r="186" ht="15.75" customHeight="1">
      <c r="A186" s="11"/>
      <c r="B186" s="11"/>
      <c r="C186" s="11"/>
      <c r="D186" s="11"/>
      <c r="E186" s="11"/>
      <c r="F186" s="11"/>
      <c r="G186" s="11"/>
    </row>
    <row r="187" ht="15.75" customHeight="1">
      <c r="A187" s="11"/>
      <c r="B187" s="11"/>
      <c r="C187" s="11"/>
      <c r="D187" s="11"/>
      <c r="E187" s="11"/>
      <c r="F187" s="11"/>
      <c r="G187" s="11"/>
    </row>
    <row r="188" ht="15.75" customHeight="1">
      <c r="A188" s="11"/>
      <c r="B188" s="11"/>
      <c r="C188" s="11"/>
      <c r="D188" s="11"/>
      <c r="E188" s="11"/>
      <c r="F188" s="11"/>
      <c r="G188" s="11"/>
    </row>
    <row r="189" ht="15.75" customHeight="1">
      <c r="A189" s="11"/>
      <c r="B189" s="11"/>
      <c r="C189" s="11"/>
      <c r="D189" s="11"/>
      <c r="E189" s="11"/>
      <c r="F189" s="11"/>
      <c r="G189" s="11"/>
    </row>
    <row r="190" ht="15.75" customHeight="1">
      <c r="A190" s="11"/>
      <c r="B190" s="11"/>
      <c r="C190" s="11"/>
      <c r="D190" s="11"/>
      <c r="E190" s="11"/>
      <c r="F190" s="11"/>
      <c r="G190" s="11"/>
    </row>
    <row r="191" ht="15.75" customHeight="1">
      <c r="A191" s="11"/>
      <c r="B191" s="11"/>
      <c r="C191" s="11"/>
      <c r="D191" s="11"/>
      <c r="E191" s="11"/>
      <c r="F191" s="11"/>
      <c r="G191" s="11"/>
    </row>
    <row r="192" ht="15.75" customHeight="1">
      <c r="A192" s="11"/>
      <c r="B192" s="11"/>
      <c r="C192" s="11"/>
      <c r="D192" s="11"/>
      <c r="E192" s="11"/>
      <c r="F192" s="11"/>
      <c r="G192" s="11"/>
    </row>
    <row r="193" ht="15.75" customHeight="1">
      <c r="A193" s="11"/>
      <c r="B193" s="11"/>
      <c r="C193" s="11"/>
      <c r="D193" s="11"/>
      <c r="E193" s="11"/>
      <c r="F193" s="11"/>
      <c r="G193" s="11"/>
    </row>
    <row r="194" ht="15.75" customHeight="1">
      <c r="A194" s="11"/>
      <c r="B194" s="11"/>
      <c r="C194" s="11"/>
      <c r="D194" s="11"/>
      <c r="E194" s="11"/>
      <c r="F194" s="11"/>
      <c r="G194" s="11"/>
    </row>
    <row r="195" ht="15.75" customHeight="1">
      <c r="A195" s="11"/>
      <c r="B195" s="11"/>
      <c r="C195" s="11"/>
      <c r="D195" s="11"/>
      <c r="E195" s="11"/>
      <c r="F195" s="11"/>
      <c r="G195" s="11"/>
    </row>
    <row r="196" ht="15.75" customHeight="1">
      <c r="A196" s="11"/>
      <c r="B196" s="11"/>
      <c r="C196" s="11"/>
      <c r="D196" s="11"/>
      <c r="E196" s="11"/>
      <c r="F196" s="11"/>
      <c r="G196" s="11"/>
    </row>
    <row r="197" ht="15.75" customHeight="1">
      <c r="A197" s="11"/>
      <c r="B197" s="11"/>
      <c r="C197" s="11"/>
      <c r="D197" s="11"/>
      <c r="E197" s="11"/>
      <c r="F197" s="11"/>
      <c r="G197" s="11"/>
    </row>
    <row r="198" ht="15.75" customHeight="1">
      <c r="A198" s="11"/>
      <c r="B198" s="11"/>
      <c r="C198" s="11"/>
      <c r="D198" s="11"/>
      <c r="E198" s="11"/>
      <c r="F198" s="11"/>
      <c r="G198" s="11"/>
    </row>
    <row r="199" ht="15.75" customHeight="1">
      <c r="A199" s="11"/>
      <c r="B199" s="11"/>
      <c r="C199" s="11"/>
      <c r="D199" s="11"/>
      <c r="E199" s="11"/>
      <c r="F199" s="11"/>
      <c r="G199" s="11"/>
    </row>
    <row r="200" ht="15.75" customHeight="1">
      <c r="A200" s="11"/>
      <c r="B200" s="11"/>
      <c r="C200" s="11"/>
      <c r="D200" s="11"/>
      <c r="E200" s="11"/>
      <c r="F200" s="11"/>
      <c r="G200" s="11"/>
    </row>
    <row r="201" ht="15.75" customHeight="1">
      <c r="A201" s="11"/>
      <c r="B201" s="11"/>
      <c r="C201" s="11"/>
      <c r="D201" s="11"/>
      <c r="E201" s="11"/>
      <c r="F201" s="11"/>
      <c r="G201" s="11"/>
    </row>
    <row r="202" ht="15.75" customHeight="1">
      <c r="A202" s="11"/>
      <c r="B202" s="11"/>
      <c r="C202" s="11"/>
      <c r="D202" s="11"/>
      <c r="E202" s="11"/>
      <c r="F202" s="11"/>
      <c r="G202" s="11"/>
    </row>
    <row r="203" ht="15.75" customHeight="1">
      <c r="A203" s="11"/>
      <c r="B203" s="11"/>
      <c r="C203" s="11"/>
      <c r="D203" s="11"/>
      <c r="E203" s="11"/>
      <c r="F203" s="11"/>
      <c r="G203" s="11"/>
    </row>
    <row r="204" ht="15.75" customHeight="1">
      <c r="A204" s="11"/>
      <c r="B204" s="11"/>
      <c r="C204" s="11"/>
      <c r="D204" s="11"/>
      <c r="E204" s="11"/>
      <c r="F204" s="11"/>
      <c r="G204" s="11"/>
    </row>
    <row r="205" ht="15.75" customHeight="1">
      <c r="A205" s="11"/>
      <c r="B205" s="11"/>
      <c r="C205" s="11"/>
      <c r="D205" s="11"/>
      <c r="E205" s="11"/>
      <c r="F205" s="11"/>
      <c r="G205" s="11"/>
    </row>
    <row r="206" ht="15.75" customHeight="1">
      <c r="A206" s="11"/>
      <c r="B206" s="11"/>
      <c r="C206" s="11"/>
      <c r="D206" s="11"/>
      <c r="E206" s="11"/>
      <c r="F206" s="11"/>
      <c r="G206" s="11"/>
    </row>
    <row r="207" ht="15.75" customHeight="1">
      <c r="A207" s="11"/>
      <c r="B207" s="11"/>
      <c r="C207" s="11"/>
      <c r="D207" s="11"/>
      <c r="E207" s="11"/>
      <c r="F207" s="11"/>
      <c r="G207" s="11"/>
    </row>
    <row r="208" ht="15.75" customHeight="1">
      <c r="A208" s="11"/>
      <c r="B208" s="11"/>
      <c r="C208" s="11"/>
      <c r="D208" s="11"/>
      <c r="E208" s="11"/>
      <c r="F208" s="11"/>
      <c r="G208" s="11"/>
    </row>
    <row r="209" ht="15.75" customHeight="1">
      <c r="A209" s="11"/>
      <c r="B209" s="11"/>
      <c r="C209" s="11"/>
      <c r="D209" s="11"/>
      <c r="E209" s="11"/>
      <c r="F209" s="11"/>
      <c r="G209" s="11"/>
    </row>
    <row r="210" ht="15.75" customHeight="1">
      <c r="A210" s="11"/>
      <c r="B210" s="11"/>
      <c r="C210" s="11"/>
      <c r="D210" s="11"/>
      <c r="E210" s="11"/>
      <c r="F210" s="11"/>
      <c r="G210" s="11"/>
    </row>
    <row r="211" ht="15.75" customHeight="1">
      <c r="A211" s="11"/>
      <c r="B211" s="11"/>
      <c r="C211" s="11"/>
      <c r="D211" s="11"/>
      <c r="E211" s="11"/>
      <c r="F211" s="11"/>
      <c r="G211" s="11"/>
    </row>
    <row r="212" ht="15.75" customHeight="1">
      <c r="A212" s="11"/>
      <c r="B212" s="11"/>
      <c r="C212" s="11"/>
      <c r="D212" s="11"/>
      <c r="E212" s="11"/>
      <c r="F212" s="11"/>
      <c r="G212" s="11"/>
    </row>
    <row r="213" ht="15.75" customHeight="1">
      <c r="A213" s="11"/>
      <c r="B213" s="11"/>
      <c r="C213" s="11"/>
      <c r="D213" s="11"/>
      <c r="E213" s="11"/>
      <c r="F213" s="11"/>
      <c r="G213" s="11"/>
    </row>
    <row r="214" ht="15.75" customHeight="1">
      <c r="A214" s="11"/>
      <c r="B214" s="11"/>
      <c r="C214" s="11"/>
      <c r="D214" s="11"/>
      <c r="E214" s="11"/>
      <c r="F214" s="11"/>
      <c r="G214" s="11"/>
    </row>
    <row r="215" ht="15.75" customHeight="1">
      <c r="A215" s="11"/>
      <c r="B215" s="11"/>
      <c r="C215" s="11"/>
      <c r="D215" s="11"/>
      <c r="E215" s="11"/>
      <c r="F215" s="11"/>
      <c r="G215" s="11"/>
    </row>
    <row r="216" ht="15.75" customHeight="1">
      <c r="A216" s="11"/>
      <c r="B216" s="11"/>
      <c r="C216" s="11"/>
      <c r="D216" s="11"/>
      <c r="E216" s="11"/>
      <c r="F216" s="11"/>
      <c r="G216" s="11"/>
    </row>
    <row r="217" ht="15.75" customHeight="1">
      <c r="A217" s="11"/>
      <c r="B217" s="11"/>
      <c r="C217" s="11"/>
      <c r="D217" s="11"/>
      <c r="E217" s="11"/>
      <c r="F217" s="11"/>
      <c r="G217" s="11"/>
    </row>
    <row r="218" ht="15.75" customHeight="1">
      <c r="A218" s="11"/>
      <c r="B218" s="11"/>
      <c r="C218" s="11"/>
      <c r="D218" s="11"/>
      <c r="E218" s="11"/>
      <c r="F218" s="11"/>
      <c r="G218" s="11"/>
    </row>
    <row r="219" ht="15.75" customHeight="1">
      <c r="A219" s="11"/>
      <c r="B219" s="11"/>
      <c r="C219" s="11"/>
      <c r="D219" s="11"/>
      <c r="E219" s="11"/>
      <c r="F219" s="11"/>
      <c r="G219" s="11"/>
    </row>
    <row r="220" ht="15.75" customHeight="1">
      <c r="A220" s="11"/>
      <c r="B220" s="11"/>
      <c r="C220" s="11"/>
      <c r="D220" s="11"/>
      <c r="E220" s="11"/>
      <c r="F220" s="11"/>
      <c r="G220" s="11"/>
    </row>
    <row r="221" ht="15.75" customHeight="1">
      <c r="A221" s="11"/>
      <c r="B221" s="11"/>
      <c r="C221" s="11"/>
      <c r="D221" s="11"/>
      <c r="E221" s="11"/>
      <c r="F221" s="11"/>
      <c r="G221" s="11"/>
    </row>
    <row r="222" ht="15.75" customHeight="1">
      <c r="A222" s="11"/>
      <c r="B222" s="11"/>
      <c r="C222" s="11"/>
      <c r="D222" s="11"/>
      <c r="E222" s="11"/>
      <c r="F222" s="11"/>
      <c r="G222" s="11"/>
    </row>
    <row r="223" ht="15.75" customHeight="1">
      <c r="A223" s="11"/>
      <c r="B223" s="11"/>
      <c r="C223" s="11"/>
      <c r="D223" s="11"/>
      <c r="E223" s="11"/>
      <c r="F223" s="11"/>
      <c r="G223" s="11"/>
    </row>
    <row r="224" ht="15.75" customHeight="1">
      <c r="A224" s="11"/>
      <c r="B224" s="11"/>
      <c r="C224" s="11"/>
      <c r="D224" s="11"/>
      <c r="E224" s="11"/>
      <c r="F224" s="11"/>
      <c r="G224" s="11"/>
    </row>
    <row r="225" ht="15.75" customHeight="1">
      <c r="A225" s="11"/>
      <c r="B225" s="11"/>
      <c r="C225" s="11"/>
      <c r="D225" s="11"/>
      <c r="E225" s="11"/>
      <c r="F225" s="11"/>
      <c r="G225" s="11"/>
    </row>
    <row r="226" ht="15.75" customHeight="1">
      <c r="A226" s="11"/>
      <c r="B226" s="11"/>
      <c r="C226" s="11"/>
      <c r="D226" s="11"/>
      <c r="E226" s="11"/>
      <c r="F226" s="11"/>
      <c r="G226" s="11"/>
    </row>
    <row r="227" ht="15.75" customHeight="1">
      <c r="A227" s="11"/>
      <c r="B227" s="11"/>
      <c r="C227" s="11"/>
      <c r="D227" s="11"/>
      <c r="E227" s="11"/>
      <c r="F227" s="11"/>
      <c r="G227" s="11"/>
    </row>
    <row r="228" ht="15.75" customHeight="1">
      <c r="A228" s="11"/>
      <c r="B228" s="11"/>
      <c r="C228" s="11"/>
      <c r="D228" s="11"/>
      <c r="E228" s="11"/>
      <c r="F228" s="11"/>
      <c r="G228" s="11"/>
    </row>
    <row r="229" ht="15.75" customHeight="1">
      <c r="A229" s="11"/>
      <c r="B229" s="11"/>
      <c r="C229" s="11"/>
      <c r="D229" s="11"/>
      <c r="E229" s="11"/>
      <c r="F229" s="11"/>
      <c r="G229" s="11"/>
    </row>
    <row r="230" ht="15.75" customHeight="1">
      <c r="A230" s="11"/>
      <c r="B230" s="11"/>
      <c r="C230" s="11"/>
      <c r="D230" s="11"/>
      <c r="E230" s="11"/>
      <c r="F230" s="11"/>
      <c r="G230" s="11"/>
    </row>
    <row r="231" ht="15.75" customHeight="1">
      <c r="A231" s="11"/>
      <c r="B231" s="11"/>
      <c r="C231" s="11"/>
      <c r="D231" s="11"/>
      <c r="E231" s="11"/>
      <c r="F231" s="11"/>
      <c r="G231" s="11"/>
    </row>
    <row r="232" ht="15.75" customHeight="1">
      <c r="A232" s="11"/>
      <c r="B232" s="11"/>
      <c r="C232" s="11"/>
      <c r="D232" s="11"/>
      <c r="E232" s="11"/>
      <c r="F232" s="11"/>
      <c r="G232" s="11"/>
    </row>
    <row r="233" ht="15.75" customHeight="1">
      <c r="A233" s="11"/>
      <c r="B233" s="11"/>
      <c r="C233" s="11"/>
      <c r="D233" s="11"/>
      <c r="E233" s="11"/>
      <c r="F233" s="11"/>
      <c r="G233" s="11"/>
    </row>
    <row r="234" ht="15.75" customHeight="1">
      <c r="A234" s="11"/>
      <c r="B234" s="11"/>
      <c r="C234" s="11"/>
      <c r="D234" s="11"/>
      <c r="E234" s="11"/>
      <c r="F234" s="11"/>
      <c r="G234" s="11"/>
    </row>
    <row r="235" ht="15.75" customHeight="1">
      <c r="A235" s="11"/>
      <c r="B235" s="11"/>
      <c r="C235" s="11"/>
      <c r="D235" s="11"/>
      <c r="E235" s="11"/>
      <c r="F235" s="11"/>
      <c r="G235" s="11"/>
    </row>
    <row r="236" ht="15.75" customHeight="1">
      <c r="A236" s="11"/>
      <c r="B236" s="11"/>
      <c r="C236" s="11"/>
      <c r="D236" s="11"/>
      <c r="E236" s="11"/>
      <c r="F236" s="11"/>
      <c r="G236" s="11"/>
    </row>
    <row r="237" ht="15.75" customHeight="1">
      <c r="A237" s="11"/>
      <c r="B237" s="11"/>
      <c r="C237" s="11"/>
      <c r="D237" s="11"/>
      <c r="E237" s="11"/>
      <c r="F237" s="11"/>
      <c r="G237" s="11"/>
    </row>
    <row r="238" ht="15.75" customHeight="1">
      <c r="A238" s="11"/>
      <c r="B238" s="11"/>
      <c r="C238" s="11"/>
      <c r="D238" s="11"/>
      <c r="E238" s="11"/>
      <c r="F238" s="11"/>
      <c r="G238" s="11"/>
    </row>
    <row r="239" ht="15.75" customHeight="1">
      <c r="A239" s="11"/>
      <c r="B239" s="11"/>
      <c r="C239" s="11"/>
      <c r="D239" s="11"/>
      <c r="E239" s="11"/>
      <c r="F239" s="11"/>
      <c r="G239" s="11"/>
    </row>
    <row r="240" ht="15.75" customHeight="1">
      <c r="A240" s="11"/>
      <c r="B240" s="11"/>
      <c r="C240" s="11"/>
      <c r="D240" s="11"/>
      <c r="E240" s="11"/>
      <c r="F240" s="11"/>
      <c r="G240" s="11"/>
    </row>
    <row r="241" ht="15.75" customHeight="1">
      <c r="A241" s="11"/>
      <c r="B241" s="11"/>
      <c r="C241" s="11"/>
      <c r="D241" s="11"/>
      <c r="E241" s="11"/>
      <c r="F241" s="11"/>
      <c r="G241" s="11"/>
    </row>
    <row r="242" ht="15.75" customHeight="1">
      <c r="A242" s="11"/>
      <c r="B242" s="11"/>
      <c r="C242" s="11"/>
      <c r="D242" s="11"/>
      <c r="E242" s="11"/>
      <c r="F242" s="11"/>
      <c r="G242" s="11"/>
    </row>
    <row r="243" ht="15.75" customHeight="1">
      <c r="A243" s="11"/>
      <c r="B243" s="11"/>
      <c r="C243" s="11"/>
      <c r="D243" s="11"/>
      <c r="E243" s="11"/>
      <c r="F243" s="11"/>
      <c r="G243" s="11"/>
    </row>
    <row r="244" ht="15.75" customHeight="1">
      <c r="A244" s="11"/>
      <c r="B244" s="11"/>
      <c r="C244" s="11"/>
      <c r="D244" s="11"/>
      <c r="E244" s="11"/>
      <c r="F244" s="11"/>
      <c r="G244" s="11"/>
    </row>
    <row r="245" ht="15.75" customHeight="1">
      <c r="A245" s="11"/>
      <c r="B245" s="11"/>
      <c r="C245" s="11"/>
      <c r="D245" s="11"/>
      <c r="E245" s="11"/>
      <c r="F245" s="11"/>
      <c r="G245" s="11"/>
    </row>
    <row r="246" ht="15.75" customHeight="1">
      <c r="A246" s="11"/>
      <c r="B246" s="11"/>
      <c r="C246" s="11"/>
      <c r="D246" s="11"/>
      <c r="E246" s="11"/>
      <c r="F246" s="11"/>
      <c r="G246" s="11"/>
    </row>
    <row r="247" ht="15.75" customHeight="1">
      <c r="A247" s="11"/>
      <c r="B247" s="11"/>
      <c r="C247" s="11"/>
      <c r="D247" s="11"/>
      <c r="E247" s="11"/>
      <c r="F247" s="11"/>
      <c r="G247" s="11"/>
    </row>
    <row r="248" ht="15.75" customHeight="1">
      <c r="A248" s="11"/>
      <c r="B248" s="11"/>
      <c r="C248" s="11"/>
      <c r="D248" s="11"/>
      <c r="E248" s="11"/>
      <c r="F248" s="11"/>
      <c r="G248" s="11"/>
    </row>
    <row r="249" ht="15.75" customHeight="1">
      <c r="A249" s="11"/>
      <c r="B249" s="11"/>
      <c r="C249" s="11"/>
      <c r="D249" s="11"/>
      <c r="E249" s="11"/>
      <c r="F249" s="11"/>
      <c r="G249" s="11"/>
    </row>
    <row r="250" ht="15.75" customHeight="1">
      <c r="A250" s="11"/>
      <c r="B250" s="11"/>
      <c r="C250" s="11"/>
      <c r="D250" s="11"/>
      <c r="E250" s="11"/>
      <c r="F250" s="11"/>
      <c r="G250" s="11"/>
    </row>
    <row r="251" ht="15.75" customHeight="1">
      <c r="A251" s="11"/>
      <c r="B251" s="11"/>
      <c r="C251" s="11"/>
      <c r="D251" s="11"/>
      <c r="E251" s="11"/>
      <c r="F251" s="11"/>
      <c r="G251" s="11"/>
    </row>
    <row r="252" ht="15.75" customHeight="1">
      <c r="A252" s="11"/>
      <c r="B252" s="11"/>
      <c r="C252" s="11"/>
      <c r="D252" s="11"/>
      <c r="E252" s="11"/>
      <c r="F252" s="11"/>
      <c r="G252" s="11"/>
    </row>
    <row r="253" ht="15.75" customHeight="1">
      <c r="A253" s="11"/>
      <c r="B253" s="11"/>
      <c r="C253" s="11"/>
      <c r="D253" s="11"/>
      <c r="E253" s="11"/>
      <c r="F253" s="11"/>
      <c r="G253" s="11"/>
    </row>
    <row r="254" ht="15.75" customHeight="1">
      <c r="A254" s="11"/>
      <c r="B254" s="11"/>
      <c r="C254" s="11"/>
      <c r="D254" s="11"/>
      <c r="E254" s="11"/>
      <c r="F254" s="11"/>
      <c r="G254" s="11"/>
    </row>
    <row r="255" ht="15.75" customHeight="1">
      <c r="A255" s="11"/>
      <c r="B255" s="11"/>
      <c r="C255" s="11"/>
      <c r="D255" s="11"/>
      <c r="E255" s="11"/>
      <c r="F255" s="11"/>
      <c r="G255" s="11"/>
    </row>
    <row r="256" ht="15.75" customHeight="1">
      <c r="A256" s="11"/>
      <c r="B256" s="11"/>
      <c r="C256" s="11"/>
      <c r="D256" s="11"/>
      <c r="E256" s="11"/>
      <c r="F256" s="11"/>
      <c r="G256" s="11"/>
    </row>
    <row r="257" ht="15.75" customHeight="1">
      <c r="A257" s="11"/>
      <c r="B257" s="11"/>
      <c r="C257" s="11"/>
      <c r="D257" s="11"/>
      <c r="E257" s="11"/>
      <c r="F257" s="11"/>
      <c r="G257" s="11"/>
    </row>
    <row r="258" ht="15.75" customHeight="1">
      <c r="A258" s="11"/>
      <c r="B258" s="11"/>
      <c r="C258" s="11"/>
      <c r="D258" s="11"/>
      <c r="E258" s="11"/>
      <c r="F258" s="11"/>
      <c r="G258" s="11"/>
    </row>
    <row r="259" ht="15.75" customHeight="1">
      <c r="A259" s="11"/>
      <c r="B259" s="11"/>
      <c r="C259" s="11"/>
      <c r="D259" s="11"/>
      <c r="E259" s="11"/>
      <c r="F259" s="11"/>
      <c r="G259" s="11"/>
    </row>
    <row r="260" ht="15.75" customHeight="1">
      <c r="A260" s="11"/>
      <c r="B260" s="11"/>
      <c r="C260" s="11"/>
      <c r="D260" s="11"/>
      <c r="E260" s="11"/>
      <c r="F260" s="11"/>
      <c r="G260" s="11"/>
    </row>
    <row r="261" ht="15.75" customHeight="1">
      <c r="A261" s="11"/>
      <c r="B261" s="11"/>
      <c r="C261" s="11"/>
      <c r="D261" s="11"/>
      <c r="E261" s="11"/>
      <c r="F261" s="11"/>
      <c r="G261" s="11"/>
    </row>
    <row r="262" ht="15.75" customHeight="1">
      <c r="A262" s="11"/>
      <c r="B262" s="11"/>
      <c r="C262" s="11"/>
      <c r="D262" s="11"/>
      <c r="E262" s="11"/>
      <c r="F262" s="11"/>
      <c r="G262" s="11"/>
    </row>
    <row r="263" ht="15.75" customHeight="1">
      <c r="A263" s="11"/>
      <c r="B263" s="11"/>
      <c r="C263" s="11"/>
      <c r="D263" s="11"/>
      <c r="E263" s="11"/>
      <c r="F263" s="11"/>
      <c r="G263" s="11"/>
    </row>
    <row r="264" ht="15.75" customHeight="1">
      <c r="A264" s="11"/>
      <c r="B264" s="11"/>
      <c r="C264" s="11"/>
      <c r="D264" s="11"/>
      <c r="E264" s="11"/>
      <c r="F264" s="11"/>
      <c r="G264" s="11"/>
    </row>
    <row r="265" ht="15.75" customHeight="1">
      <c r="A265" s="11"/>
      <c r="B265" s="11"/>
      <c r="C265" s="11"/>
      <c r="D265" s="11"/>
      <c r="E265" s="11"/>
      <c r="F265" s="11"/>
      <c r="G265" s="11"/>
    </row>
    <row r="266" ht="15.75" customHeight="1">
      <c r="A266" s="11"/>
      <c r="B266" s="11"/>
      <c r="C266" s="11"/>
      <c r="D266" s="11"/>
      <c r="E266" s="11"/>
      <c r="F266" s="11"/>
      <c r="G266" s="11"/>
    </row>
    <row r="267" ht="15.75" customHeight="1">
      <c r="A267" s="11"/>
      <c r="B267" s="11"/>
      <c r="C267" s="11"/>
      <c r="D267" s="11"/>
      <c r="E267" s="11"/>
      <c r="F267" s="11"/>
      <c r="G267" s="11"/>
    </row>
    <row r="268" ht="15.75" customHeight="1">
      <c r="A268" s="11"/>
      <c r="B268" s="11"/>
      <c r="C268" s="11"/>
      <c r="D268" s="11"/>
      <c r="E268" s="11"/>
      <c r="F268" s="11"/>
      <c r="G268" s="11"/>
    </row>
    <row r="269" ht="15.75" customHeight="1">
      <c r="A269" s="11"/>
      <c r="B269" s="11"/>
      <c r="C269" s="11"/>
      <c r="D269" s="11"/>
      <c r="E269" s="11"/>
      <c r="F269" s="11"/>
      <c r="G269" s="11"/>
    </row>
    <row r="270" ht="15.75" customHeight="1">
      <c r="A270" s="11"/>
      <c r="B270" s="11"/>
      <c r="C270" s="11"/>
      <c r="D270" s="11"/>
      <c r="E270" s="11"/>
      <c r="F270" s="11"/>
      <c r="G270" s="11"/>
    </row>
    <row r="271" ht="15.75" customHeight="1">
      <c r="A271" s="11"/>
      <c r="B271" s="11"/>
      <c r="C271" s="11"/>
      <c r="D271" s="11"/>
      <c r="E271" s="11"/>
      <c r="F271" s="11"/>
      <c r="G271" s="11"/>
    </row>
    <row r="272" ht="15.75" customHeight="1">
      <c r="A272" s="11"/>
      <c r="B272" s="11"/>
      <c r="C272" s="11"/>
      <c r="D272" s="11"/>
      <c r="E272" s="11"/>
      <c r="F272" s="11"/>
      <c r="G272" s="11"/>
    </row>
    <row r="273" ht="15.75" customHeight="1">
      <c r="A273" s="11"/>
      <c r="B273" s="11"/>
      <c r="C273" s="11"/>
      <c r="D273" s="11"/>
      <c r="E273" s="11"/>
      <c r="F273" s="11"/>
      <c r="G273" s="11"/>
    </row>
    <row r="274" ht="15.75" customHeight="1">
      <c r="A274" s="11"/>
      <c r="B274" s="11"/>
      <c r="C274" s="11"/>
      <c r="D274" s="11"/>
      <c r="E274" s="11"/>
      <c r="F274" s="11"/>
      <c r="G274" s="11"/>
    </row>
    <row r="275" ht="15.75" customHeight="1">
      <c r="A275" s="11"/>
      <c r="B275" s="11"/>
      <c r="C275" s="11"/>
      <c r="D275" s="11"/>
      <c r="E275" s="11"/>
      <c r="F275" s="11"/>
      <c r="G275" s="11"/>
    </row>
    <row r="276" ht="15.75" customHeight="1">
      <c r="A276" s="11"/>
      <c r="B276" s="11"/>
      <c r="C276" s="11"/>
      <c r="D276" s="11"/>
      <c r="E276" s="11"/>
      <c r="F276" s="11"/>
      <c r="G276" s="11"/>
    </row>
    <row r="277" ht="15.75" customHeight="1">
      <c r="A277" s="11"/>
      <c r="B277" s="11"/>
      <c r="C277" s="11"/>
      <c r="D277" s="11"/>
      <c r="E277" s="11"/>
      <c r="F277" s="11"/>
      <c r="G277" s="11"/>
    </row>
    <row r="278" ht="15.75" customHeight="1">
      <c r="A278" s="11"/>
      <c r="B278" s="11"/>
      <c r="C278" s="11"/>
      <c r="D278" s="11"/>
      <c r="E278" s="11"/>
      <c r="F278" s="11"/>
      <c r="G278" s="11"/>
    </row>
    <row r="279" ht="15.75" customHeight="1">
      <c r="A279" s="11"/>
      <c r="B279" s="11"/>
      <c r="C279" s="11"/>
      <c r="D279" s="11"/>
      <c r="E279" s="11"/>
      <c r="F279" s="11"/>
      <c r="G279" s="11"/>
    </row>
    <row r="280" ht="15.75" customHeight="1">
      <c r="A280" s="11"/>
      <c r="B280" s="11"/>
      <c r="C280" s="11"/>
      <c r="D280" s="11"/>
      <c r="E280" s="11"/>
      <c r="F280" s="11"/>
      <c r="G280" s="11"/>
    </row>
    <row r="281" ht="15.75" customHeight="1">
      <c r="A281" s="11"/>
      <c r="B281" s="11"/>
      <c r="C281" s="11"/>
      <c r="D281" s="11"/>
      <c r="E281" s="11"/>
      <c r="F281" s="11"/>
      <c r="G281" s="11"/>
    </row>
    <row r="282" ht="15.75" customHeight="1">
      <c r="A282" s="11"/>
      <c r="B282" s="11"/>
      <c r="C282" s="11"/>
      <c r="D282" s="11"/>
      <c r="E282" s="11"/>
      <c r="F282" s="11"/>
      <c r="G282" s="11"/>
    </row>
    <row r="283" ht="15.75" customHeight="1">
      <c r="A283" s="11"/>
      <c r="B283" s="11"/>
      <c r="C283" s="11"/>
      <c r="D283" s="11"/>
      <c r="E283" s="11"/>
      <c r="F283" s="11"/>
      <c r="G283" s="11"/>
    </row>
    <row r="284" ht="15.75" customHeight="1">
      <c r="A284" s="11"/>
      <c r="B284" s="11"/>
      <c r="C284" s="11"/>
      <c r="D284" s="11"/>
      <c r="E284" s="11"/>
      <c r="F284" s="11"/>
      <c r="G284" s="11"/>
    </row>
    <row r="285" ht="15.75" customHeight="1">
      <c r="A285" s="11"/>
      <c r="B285" s="11"/>
      <c r="C285" s="11"/>
      <c r="D285" s="11"/>
      <c r="E285" s="11"/>
      <c r="F285" s="11"/>
      <c r="G285" s="11"/>
    </row>
    <row r="286" ht="15.75" customHeight="1">
      <c r="A286" s="11"/>
      <c r="B286" s="11"/>
      <c r="C286" s="11"/>
      <c r="D286" s="11"/>
      <c r="E286" s="11"/>
      <c r="F286" s="11"/>
      <c r="G286" s="11"/>
    </row>
    <row r="287" ht="15.75" customHeight="1">
      <c r="A287" s="11"/>
      <c r="B287" s="11"/>
      <c r="C287" s="11"/>
      <c r="D287" s="11"/>
      <c r="E287" s="11"/>
      <c r="F287" s="11"/>
      <c r="G287" s="11"/>
    </row>
    <row r="288" ht="15.75" customHeight="1">
      <c r="A288" s="11"/>
      <c r="B288" s="11"/>
      <c r="C288" s="11"/>
      <c r="D288" s="11"/>
      <c r="E288" s="11"/>
      <c r="F288" s="11"/>
      <c r="G288" s="11"/>
    </row>
    <row r="289" ht="15.75" customHeight="1">
      <c r="A289" s="11"/>
      <c r="B289" s="11"/>
      <c r="C289" s="11"/>
      <c r="D289" s="11"/>
      <c r="E289" s="11"/>
      <c r="F289" s="11"/>
      <c r="G289" s="11"/>
    </row>
    <row r="290" ht="15.75" customHeight="1">
      <c r="A290" s="11"/>
      <c r="B290" s="11"/>
      <c r="C290" s="11"/>
      <c r="D290" s="11"/>
      <c r="E290" s="11"/>
      <c r="F290" s="11"/>
      <c r="G290" s="11"/>
    </row>
    <row r="291" ht="15.75" customHeight="1">
      <c r="A291" s="11"/>
      <c r="B291" s="11"/>
      <c r="C291" s="11"/>
      <c r="D291" s="11"/>
      <c r="E291" s="11"/>
      <c r="F291" s="11"/>
      <c r="G291" s="11"/>
    </row>
    <row r="292" ht="15.75" customHeight="1">
      <c r="A292" s="11"/>
      <c r="B292" s="11"/>
      <c r="C292" s="11"/>
      <c r="D292" s="11"/>
      <c r="E292" s="11"/>
      <c r="F292" s="11"/>
      <c r="G292" s="11"/>
    </row>
    <row r="293" ht="15.75" customHeight="1">
      <c r="A293" s="11"/>
      <c r="B293" s="11"/>
      <c r="C293" s="11"/>
      <c r="D293" s="11"/>
      <c r="E293" s="11"/>
      <c r="F293" s="11"/>
      <c r="G293" s="11"/>
    </row>
    <row r="294" ht="15.75" customHeight="1">
      <c r="A294" s="11"/>
      <c r="B294" s="11"/>
      <c r="C294" s="11"/>
      <c r="D294" s="11"/>
      <c r="E294" s="11"/>
      <c r="F294" s="11"/>
      <c r="G294" s="11"/>
    </row>
    <row r="295" ht="15.75" customHeight="1">
      <c r="A295" s="11"/>
      <c r="B295" s="11"/>
      <c r="C295" s="11"/>
      <c r="D295" s="11"/>
      <c r="E295" s="11"/>
      <c r="F295" s="11"/>
      <c r="G295" s="11"/>
    </row>
    <row r="296" ht="15.75" customHeight="1">
      <c r="A296" s="11"/>
      <c r="B296" s="11"/>
      <c r="C296" s="11"/>
      <c r="D296" s="11"/>
      <c r="E296" s="11"/>
      <c r="F296" s="11"/>
      <c r="G296" s="11"/>
    </row>
    <row r="297" ht="15.75" customHeight="1">
      <c r="A297" s="11"/>
      <c r="B297" s="11"/>
      <c r="C297" s="11"/>
      <c r="D297" s="11"/>
      <c r="E297" s="11"/>
      <c r="F297" s="11"/>
      <c r="G297" s="11"/>
    </row>
    <row r="298" ht="15.75" customHeight="1">
      <c r="A298" s="11"/>
      <c r="B298" s="11"/>
      <c r="C298" s="11"/>
      <c r="D298" s="11"/>
      <c r="E298" s="11"/>
      <c r="F298" s="11"/>
      <c r="G298" s="11"/>
    </row>
    <row r="299" ht="15.75" customHeight="1">
      <c r="A299" s="11"/>
      <c r="B299" s="11"/>
      <c r="C299" s="11"/>
      <c r="D299" s="11"/>
      <c r="E299" s="11"/>
      <c r="F299" s="11"/>
      <c r="G299" s="11"/>
    </row>
    <row r="300" ht="15.75" customHeight="1">
      <c r="A300" s="11"/>
      <c r="B300" s="11"/>
      <c r="C300" s="11"/>
      <c r="D300" s="11"/>
      <c r="E300" s="11"/>
      <c r="F300" s="11"/>
      <c r="G300" s="11"/>
    </row>
    <row r="301" ht="15.75" customHeight="1">
      <c r="A301" s="11"/>
      <c r="B301" s="11"/>
      <c r="C301" s="11"/>
      <c r="D301" s="11"/>
      <c r="E301" s="11"/>
      <c r="F301" s="11"/>
      <c r="G301" s="11"/>
    </row>
    <row r="302" ht="15.75" customHeight="1">
      <c r="A302" s="11"/>
      <c r="B302" s="11"/>
      <c r="C302" s="11"/>
      <c r="D302" s="11"/>
      <c r="E302" s="11"/>
      <c r="F302" s="11"/>
      <c r="G302" s="11"/>
    </row>
    <row r="303" ht="15.75" customHeight="1">
      <c r="A303" s="11"/>
      <c r="B303" s="11"/>
      <c r="C303" s="11"/>
      <c r="D303" s="11"/>
      <c r="E303" s="11"/>
      <c r="F303" s="11"/>
      <c r="G303" s="11"/>
    </row>
    <row r="304" ht="15.75" customHeight="1">
      <c r="A304" s="11"/>
      <c r="B304" s="11"/>
      <c r="C304" s="11"/>
      <c r="D304" s="11"/>
      <c r="E304" s="11"/>
      <c r="F304" s="11"/>
      <c r="G304" s="11"/>
    </row>
    <row r="305" ht="15.75" customHeight="1">
      <c r="A305" s="11"/>
      <c r="B305" s="11"/>
      <c r="C305" s="11"/>
      <c r="D305" s="11"/>
      <c r="E305" s="11"/>
      <c r="F305" s="11"/>
      <c r="G305" s="11"/>
    </row>
    <row r="306" ht="15.75" customHeight="1">
      <c r="A306" s="11"/>
      <c r="B306" s="11"/>
      <c r="C306" s="11"/>
      <c r="D306" s="11"/>
      <c r="E306" s="11"/>
      <c r="F306" s="11"/>
      <c r="G306" s="11"/>
    </row>
    <row r="307" ht="15.75" customHeight="1">
      <c r="A307" s="11"/>
      <c r="B307" s="11"/>
      <c r="C307" s="11"/>
      <c r="D307" s="11"/>
      <c r="E307" s="11"/>
      <c r="F307" s="11"/>
      <c r="G307" s="11"/>
    </row>
    <row r="308" ht="15.75" customHeight="1">
      <c r="A308" s="11"/>
      <c r="B308" s="11"/>
      <c r="C308" s="11"/>
      <c r="D308" s="11"/>
      <c r="E308" s="11"/>
      <c r="F308" s="11"/>
      <c r="G308" s="11"/>
    </row>
    <row r="309" ht="15.75" customHeight="1">
      <c r="A309" s="11"/>
      <c r="B309" s="11"/>
      <c r="C309" s="11"/>
      <c r="D309" s="11"/>
      <c r="E309" s="11"/>
      <c r="F309" s="11"/>
      <c r="G309" s="11"/>
    </row>
    <row r="310" ht="15.75" customHeight="1">
      <c r="A310" s="11"/>
      <c r="B310" s="11"/>
      <c r="C310" s="11"/>
      <c r="D310" s="11"/>
      <c r="E310" s="11"/>
      <c r="F310" s="11"/>
      <c r="G310" s="11"/>
    </row>
    <row r="311" ht="15.75" customHeight="1">
      <c r="A311" s="11"/>
      <c r="B311" s="11"/>
      <c r="C311" s="11"/>
      <c r="D311" s="11"/>
      <c r="E311" s="11"/>
      <c r="F311" s="11"/>
      <c r="G311" s="11"/>
    </row>
    <row r="312" ht="15.75" customHeight="1">
      <c r="A312" s="11"/>
      <c r="B312" s="11"/>
      <c r="C312" s="11"/>
      <c r="D312" s="11"/>
      <c r="E312" s="11"/>
      <c r="F312" s="11"/>
      <c r="G312" s="11"/>
    </row>
    <row r="313" ht="15.75" customHeight="1">
      <c r="A313" s="11"/>
      <c r="B313" s="11"/>
      <c r="C313" s="11"/>
      <c r="D313" s="11"/>
      <c r="E313" s="11"/>
      <c r="F313" s="11"/>
      <c r="G313" s="11"/>
    </row>
    <row r="314" ht="15.75" customHeight="1">
      <c r="A314" s="11"/>
      <c r="B314" s="11"/>
      <c r="C314" s="11"/>
      <c r="D314" s="11"/>
      <c r="E314" s="11"/>
      <c r="F314" s="11"/>
      <c r="G314" s="11"/>
    </row>
    <row r="315" ht="15.75" customHeight="1">
      <c r="A315" s="11"/>
      <c r="B315" s="11"/>
      <c r="C315" s="11"/>
      <c r="D315" s="11"/>
      <c r="E315" s="11"/>
      <c r="F315" s="11"/>
      <c r="G315" s="11"/>
    </row>
    <row r="316" ht="15.75" customHeight="1">
      <c r="A316" s="11"/>
      <c r="B316" s="11"/>
      <c r="C316" s="11"/>
      <c r="D316" s="11"/>
      <c r="E316" s="11"/>
      <c r="F316" s="11"/>
      <c r="G316" s="11"/>
    </row>
    <row r="317" ht="15.75" customHeight="1">
      <c r="A317" s="11"/>
      <c r="B317" s="11"/>
      <c r="C317" s="11"/>
      <c r="D317" s="11"/>
      <c r="E317" s="11"/>
      <c r="F317" s="11"/>
      <c r="G317" s="11"/>
    </row>
    <row r="318" ht="15.75" customHeight="1">
      <c r="A318" s="11"/>
      <c r="B318" s="11"/>
      <c r="C318" s="11"/>
      <c r="D318" s="11"/>
      <c r="E318" s="11"/>
      <c r="F318" s="11"/>
      <c r="G318" s="11"/>
    </row>
    <row r="319" ht="15.75" customHeight="1">
      <c r="A319" s="11"/>
      <c r="B319" s="11"/>
      <c r="C319" s="11"/>
      <c r="D319" s="11"/>
      <c r="E319" s="11"/>
      <c r="F319" s="11"/>
      <c r="G319" s="11"/>
    </row>
    <row r="320" ht="15.75" customHeight="1">
      <c r="A320" s="11"/>
      <c r="B320" s="11"/>
      <c r="C320" s="11"/>
      <c r="D320" s="11"/>
      <c r="E320" s="11"/>
      <c r="F320" s="11"/>
      <c r="G320" s="11"/>
    </row>
    <row r="321" ht="15.75" customHeight="1">
      <c r="A321" s="11"/>
      <c r="B321" s="11"/>
      <c r="C321" s="11"/>
      <c r="D321" s="11"/>
      <c r="E321" s="11"/>
      <c r="F321" s="11"/>
      <c r="G321" s="11"/>
    </row>
    <row r="322" ht="15.75" customHeight="1">
      <c r="A322" s="11"/>
      <c r="B322" s="11"/>
      <c r="C322" s="11"/>
      <c r="D322" s="11"/>
      <c r="E322" s="11"/>
      <c r="F322" s="11"/>
      <c r="G322" s="11"/>
    </row>
    <row r="323" ht="15.75" customHeight="1">
      <c r="A323" s="11"/>
      <c r="B323" s="11"/>
      <c r="C323" s="11"/>
      <c r="D323" s="11"/>
      <c r="E323" s="11"/>
      <c r="F323" s="11"/>
      <c r="G323" s="11"/>
    </row>
    <row r="324" ht="15.75" customHeight="1">
      <c r="A324" s="11"/>
      <c r="B324" s="11"/>
      <c r="C324" s="11"/>
      <c r="D324" s="11"/>
      <c r="E324" s="11"/>
      <c r="F324" s="11"/>
      <c r="G324" s="11"/>
    </row>
    <row r="325" ht="15.75" customHeight="1">
      <c r="A325" s="11"/>
      <c r="B325" s="11"/>
      <c r="C325" s="11"/>
      <c r="D325" s="11"/>
      <c r="E325" s="11"/>
      <c r="F325" s="11"/>
      <c r="G325" s="11"/>
    </row>
    <row r="326" ht="15.75" customHeight="1">
      <c r="A326" s="11"/>
      <c r="B326" s="11"/>
      <c r="C326" s="11"/>
      <c r="D326" s="11"/>
      <c r="E326" s="11"/>
      <c r="F326" s="11"/>
      <c r="G326" s="11"/>
    </row>
    <row r="327" ht="15.75" customHeight="1">
      <c r="A327" s="11"/>
      <c r="B327" s="11"/>
      <c r="C327" s="11"/>
      <c r="D327" s="11"/>
      <c r="E327" s="11"/>
      <c r="F327" s="11"/>
      <c r="G327" s="11"/>
    </row>
    <row r="328" ht="15.75" customHeight="1">
      <c r="A328" s="11"/>
      <c r="B328" s="11"/>
      <c r="C328" s="11"/>
      <c r="D328" s="11"/>
      <c r="E328" s="11"/>
      <c r="F328" s="11"/>
      <c r="G328" s="11"/>
    </row>
    <row r="329" ht="15.75" customHeight="1">
      <c r="A329" s="11"/>
      <c r="B329" s="11"/>
      <c r="C329" s="11"/>
      <c r="D329" s="11"/>
      <c r="E329" s="11"/>
      <c r="F329" s="11"/>
      <c r="G329" s="11"/>
    </row>
    <row r="330" ht="15.75" customHeight="1">
      <c r="A330" s="11"/>
      <c r="B330" s="11"/>
      <c r="C330" s="11"/>
      <c r="D330" s="11"/>
      <c r="E330" s="11"/>
      <c r="F330" s="11"/>
      <c r="G330" s="11"/>
    </row>
    <row r="331" ht="15.75" customHeight="1">
      <c r="A331" s="11"/>
      <c r="B331" s="11"/>
      <c r="C331" s="11"/>
      <c r="D331" s="11"/>
      <c r="E331" s="11"/>
      <c r="F331" s="11"/>
      <c r="G331" s="11"/>
    </row>
    <row r="332" ht="15.75" customHeight="1">
      <c r="A332" s="11"/>
      <c r="B332" s="11"/>
      <c r="C332" s="11"/>
      <c r="D332" s="11"/>
      <c r="E332" s="11"/>
      <c r="F332" s="11"/>
      <c r="G332" s="11"/>
    </row>
    <row r="333" ht="15.75" customHeight="1">
      <c r="A333" s="11"/>
      <c r="B333" s="11"/>
      <c r="C333" s="11"/>
      <c r="D333" s="11"/>
      <c r="E333" s="11"/>
      <c r="F333" s="11"/>
      <c r="G333" s="11"/>
    </row>
    <row r="334" ht="15.75" customHeight="1">
      <c r="A334" s="11"/>
      <c r="B334" s="11"/>
      <c r="C334" s="11"/>
      <c r="D334" s="11"/>
      <c r="E334" s="11"/>
      <c r="F334" s="11"/>
      <c r="G334" s="11"/>
    </row>
    <row r="335" ht="15.75" customHeight="1">
      <c r="A335" s="11"/>
      <c r="B335" s="11"/>
      <c r="C335" s="11"/>
      <c r="D335" s="11"/>
      <c r="E335" s="11"/>
      <c r="F335" s="11"/>
      <c r="G335" s="11"/>
    </row>
    <row r="336" ht="15.75" customHeight="1">
      <c r="A336" s="11"/>
      <c r="B336" s="11"/>
      <c r="C336" s="11"/>
      <c r="D336" s="11"/>
      <c r="E336" s="11"/>
      <c r="F336" s="11"/>
      <c r="G336" s="11"/>
    </row>
    <row r="337" ht="15.75" customHeight="1">
      <c r="A337" s="11"/>
      <c r="B337" s="11"/>
      <c r="C337" s="11"/>
      <c r="D337" s="11"/>
      <c r="E337" s="11"/>
      <c r="F337" s="11"/>
      <c r="G337" s="11"/>
    </row>
    <row r="338" ht="15.75" customHeight="1">
      <c r="A338" s="11"/>
      <c r="B338" s="11"/>
      <c r="C338" s="11"/>
      <c r="D338" s="11"/>
      <c r="E338" s="11"/>
      <c r="F338" s="11"/>
      <c r="G338" s="11"/>
    </row>
    <row r="339" ht="15.75" customHeight="1">
      <c r="A339" s="11"/>
      <c r="B339" s="11"/>
      <c r="C339" s="11"/>
      <c r="D339" s="11"/>
      <c r="E339" s="11"/>
      <c r="F339" s="11"/>
      <c r="G339" s="11"/>
    </row>
    <row r="340" ht="15.75" customHeight="1">
      <c r="A340" s="11"/>
      <c r="B340" s="11"/>
      <c r="C340" s="11"/>
      <c r="D340" s="11"/>
      <c r="E340" s="11"/>
      <c r="F340" s="11"/>
      <c r="G340" s="11"/>
    </row>
    <row r="341" ht="15.75" customHeight="1">
      <c r="A341" s="11"/>
      <c r="B341" s="11"/>
      <c r="C341" s="11"/>
      <c r="D341" s="11"/>
      <c r="E341" s="11"/>
      <c r="F341" s="11"/>
      <c r="G341" s="11"/>
    </row>
    <row r="342" ht="15.75" customHeight="1">
      <c r="A342" s="11"/>
      <c r="B342" s="11"/>
      <c r="C342" s="11"/>
      <c r="D342" s="11"/>
      <c r="E342" s="11"/>
      <c r="F342" s="11"/>
      <c r="G342" s="11"/>
    </row>
    <row r="343" ht="15.75" customHeight="1">
      <c r="A343" s="11"/>
      <c r="B343" s="11"/>
      <c r="C343" s="11"/>
      <c r="D343" s="11"/>
      <c r="E343" s="11"/>
      <c r="F343" s="11"/>
      <c r="G343" s="11"/>
    </row>
    <row r="344" ht="15.75" customHeight="1">
      <c r="A344" s="11"/>
      <c r="B344" s="11"/>
      <c r="C344" s="11"/>
      <c r="D344" s="11"/>
      <c r="E344" s="11"/>
      <c r="F344" s="11"/>
      <c r="G344" s="11"/>
    </row>
    <row r="345" ht="15.75" customHeight="1">
      <c r="A345" s="11"/>
      <c r="B345" s="11"/>
      <c r="C345" s="11"/>
      <c r="D345" s="11"/>
      <c r="E345" s="11"/>
      <c r="F345" s="11"/>
      <c r="G345" s="11"/>
    </row>
    <row r="346" ht="15.75" customHeight="1">
      <c r="A346" s="11"/>
      <c r="B346" s="11"/>
      <c r="C346" s="11"/>
      <c r="D346" s="11"/>
      <c r="E346" s="11"/>
      <c r="F346" s="11"/>
      <c r="G346" s="11"/>
    </row>
    <row r="347" ht="15.75" customHeight="1">
      <c r="A347" s="11"/>
      <c r="B347" s="11"/>
      <c r="C347" s="11"/>
      <c r="D347" s="11"/>
      <c r="E347" s="11"/>
      <c r="F347" s="11"/>
      <c r="G347" s="11"/>
    </row>
    <row r="348" ht="15.75" customHeight="1">
      <c r="A348" s="11"/>
      <c r="B348" s="11"/>
      <c r="C348" s="11"/>
      <c r="D348" s="11"/>
      <c r="E348" s="11"/>
      <c r="F348" s="11"/>
      <c r="G348" s="11"/>
    </row>
    <row r="349" ht="15.75" customHeight="1">
      <c r="A349" s="11"/>
      <c r="B349" s="11"/>
      <c r="C349" s="11"/>
      <c r="D349" s="11"/>
      <c r="E349" s="11"/>
      <c r="F349" s="11"/>
      <c r="G349" s="11"/>
    </row>
    <row r="350" ht="15.75" customHeight="1">
      <c r="A350" s="11"/>
      <c r="B350" s="11"/>
      <c r="C350" s="11"/>
      <c r="D350" s="11"/>
      <c r="E350" s="11"/>
      <c r="F350" s="11"/>
      <c r="G350" s="11"/>
    </row>
    <row r="351" ht="15.75" customHeight="1">
      <c r="A351" s="11"/>
      <c r="B351" s="11"/>
      <c r="C351" s="11"/>
      <c r="D351" s="11"/>
      <c r="E351" s="11"/>
      <c r="F351" s="11"/>
      <c r="G351" s="11"/>
    </row>
    <row r="352" ht="15.75" customHeight="1">
      <c r="A352" s="11"/>
      <c r="B352" s="11"/>
      <c r="C352" s="11"/>
      <c r="D352" s="11"/>
      <c r="E352" s="11"/>
      <c r="F352" s="11"/>
      <c r="G352" s="11"/>
    </row>
    <row r="353" ht="15.75" customHeight="1">
      <c r="A353" s="11"/>
      <c r="B353" s="11"/>
      <c r="C353" s="11"/>
      <c r="D353" s="11"/>
      <c r="E353" s="11"/>
      <c r="F353" s="11"/>
      <c r="G353" s="11"/>
    </row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8">
    <mergeCell ref="A1:A3"/>
    <mergeCell ref="B1:G1"/>
    <mergeCell ref="C2:G2"/>
    <mergeCell ref="C3:G3"/>
    <mergeCell ref="A8:G8"/>
    <mergeCell ref="A9:G10"/>
    <mergeCell ref="A11:G11"/>
    <mergeCell ref="E12:G12"/>
    <mergeCell ref="E13:G13"/>
    <mergeCell ref="E14:G14"/>
    <mergeCell ref="E15:G15"/>
    <mergeCell ref="A16:G16"/>
    <mergeCell ref="A17:G17"/>
    <mergeCell ref="A18:G18"/>
    <mergeCell ref="F19:G19"/>
    <mergeCell ref="F20:G20"/>
    <mergeCell ref="F21:G21"/>
    <mergeCell ref="F22:G22"/>
    <mergeCell ref="F23:G23"/>
    <mergeCell ref="F24:G24"/>
    <mergeCell ref="F25:G25"/>
    <mergeCell ref="F26:G26"/>
    <mergeCell ref="F27:G27"/>
    <mergeCell ref="F28:G28"/>
    <mergeCell ref="F29:G29"/>
    <mergeCell ref="A30:G30"/>
    <mergeCell ref="F31:G31"/>
    <mergeCell ref="F32:G32"/>
    <mergeCell ref="F33:G33"/>
    <mergeCell ref="F34:G34"/>
    <mergeCell ref="F35:G35"/>
    <mergeCell ref="F36:G36"/>
    <mergeCell ref="F37:G37"/>
    <mergeCell ref="F38:G38"/>
    <mergeCell ref="F39:G39"/>
    <mergeCell ref="F40:G40"/>
    <mergeCell ref="F41:G41"/>
    <mergeCell ref="A42:G42"/>
    <mergeCell ref="A43:G43"/>
    <mergeCell ref="A44:G44"/>
    <mergeCell ref="F45:G45"/>
    <mergeCell ref="F46:G46"/>
    <mergeCell ref="F47:G47"/>
    <mergeCell ref="F48:G48"/>
    <mergeCell ref="F49:G49"/>
    <mergeCell ref="F50:G50"/>
    <mergeCell ref="F51:G51"/>
    <mergeCell ref="F52:G52"/>
    <mergeCell ref="F53:G53"/>
    <mergeCell ref="F107:G107"/>
    <mergeCell ref="F108:G108"/>
    <mergeCell ref="F109:G109"/>
    <mergeCell ref="F110:G110"/>
    <mergeCell ref="A111:G127"/>
    <mergeCell ref="A128:G128"/>
    <mergeCell ref="A129:G129"/>
    <mergeCell ref="A130:G130"/>
    <mergeCell ref="F131:G131"/>
    <mergeCell ref="F132:G132"/>
    <mergeCell ref="F133:G133"/>
    <mergeCell ref="F134:G134"/>
    <mergeCell ref="F135:G135"/>
    <mergeCell ref="F136:G136"/>
    <mergeCell ref="F151:G151"/>
    <mergeCell ref="F152:G152"/>
    <mergeCell ref="F153:G153"/>
    <mergeCell ref="A154:G170"/>
    <mergeCell ref="F144:G144"/>
    <mergeCell ref="F145:G145"/>
    <mergeCell ref="F146:G146"/>
    <mergeCell ref="F147:G147"/>
    <mergeCell ref="F148:G148"/>
    <mergeCell ref="F149:G149"/>
    <mergeCell ref="F150:G150"/>
    <mergeCell ref="F54:G54"/>
    <mergeCell ref="F55:G55"/>
    <mergeCell ref="A56:G56"/>
    <mergeCell ref="F57:G57"/>
    <mergeCell ref="F58:G58"/>
    <mergeCell ref="F59:G59"/>
    <mergeCell ref="F60:G60"/>
    <mergeCell ref="F61:G61"/>
    <mergeCell ref="F62:G62"/>
    <mergeCell ref="F63:G63"/>
    <mergeCell ref="F64:G64"/>
    <mergeCell ref="F65:G65"/>
    <mergeCell ref="F66:G66"/>
    <mergeCell ref="F67:G67"/>
    <mergeCell ref="A68:G84"/>
    <mergeCell ref="A85:G85"/>
    <mergeCell ref="A86:G86"/>
    <mergeCell ref="A87:G87"/>
    <mergeCell ref="F88:G88"/>
    <mergeCell ref="F89:G89"/>
    <mergeCell ref="F90:G90"/>
    <mergeCell ref="F98:G98"/>
    <mergeCell ref="A99:G99"/>
    <mergeCell ref="F91:G91"/>
    <mergeCell ref="F92:G92"/>
    <mergeCell ref="F93:G93"/>
    <mergeCell ref="F94:G94"/>
    <mergeCell ref="F95:G95"/>
    <mergeCell ref="F96:G96"/>
    <mergeCell ref="F97:G97"/>
    <mergeCell ref="F100:G100"/>
    <mergeCell ref="F101:G101"/>
    <mergeCell ref="F102:G102"/>
    <mergeCell ref="F103:G103"/>
    <mergeCell ref="F104:G104"/>
    <mergeCell ref="F105:G105"/>
    <mergeCell ref="F106:G106"/>
    <mergeCell ref="F137:G137"/>
    <mergeCell ref="F138:G138"/>
    <mergeCell ref="F139:G139"/>
    <mergeCell ref="F140:G140"/>
    <mergeCell ref="F141:G141"/>
    <mergeCell ref="A142:G142"/>
    <mergeCell ref="F143:G143"/>
  </mergeCells>
  <printOptions horizontalCentered="1"/>
  <pageMargins bottom="0.75" footer="0.0" header="0.0" left="0.7" right="0.7" top="0.75"/>
  <pageSetup fitToHeight="0" paperSize="9" orientation="portrait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38"/>
    <col customWidth="1" min="2" max="2" width="31.38"/>
    <col customWidth="1" min="3" max="6" width="6.38"/>
    <col customWidth="1" min="7" max="7" width="9.5"/>
    <col customWidth="1" min="8" max="8" width="6.38"/>
    <col customWidth="1" min="9" max="9" width="31.38"/>
    <col customWidth="1" min="10" max="13" width="6.38"/>
    <col customWidth="1" min="14" max="14" width="9.5"/>
    <col customWidth="1" min="15" max="15" width="6.38"/>
    <col customWidth="1" min="16" max="16" width="31.38"/>
    <col customWidth="1" min="17" max="20" width="6.38"/>
    <col customWidth="1" min="21" max="21" width="9.5"/>
    <col customWidth="1" min="22" max="22" width="6.38"/>
    <col customWidth="1" min="23" max="23" width="31.38"/>
    <col customWidth="1" min="24" max="27" width="6.38"/>
    <col customWidth="1" min="28" max="28" width="9.5"/>
    <col customWidth="1" min="29" max="29" width="6.38"/>
  </cols>
  <sheetData>
    <row r="1" ht="15.75" customHeight="1">
      <c r="A1" s="1" t="s">
        <v>26</v>
      </c>
      <c r="B1" s="1"/>
      <c r="C1" s="3"/>
      <c r="D1" s="4"/>
      <c r="E1" s="5"/>
      <c r="F1" s="5"/>
      <c r="G1" s="7"/>
      <c r="H1" s="8"/>
      <c r="I1" s="1"/>
      <c r="J1" s="5"/>
      <c r="K1" s="5"/>
      <c r="L1" s="5"/>
      <c r="M1" s="1"/>
      <c r="N1" s="7"/>
      <c r="O1" s="1"/>
      <c r="P1" s="1"/>
      <c r="Q1" s="5"/>
      <c r="R1" s="5"/>
      <c r="S1" s="5"/>
      <c r="T1" s="5"/>
      <c r="U1" s="7"/>
      <c r="V1" s="1"/>
      <c r="W1" s="1"/>
      <c r="X1" s="5"/>
      <c r="Y1" s="5"/>
      <c r="Z1" s="5"/>
      <c r="AA1" s="5"/>
      <c r="AB1" s="5"/>
      <c r="AC1" s="5"/>
    </row>
    <row r="2" ht="15.75" customHeight="1">
      <c r="A2" s="16"/>
      <c r="B2" s="16"/>
      <c r="C2" s="16"/>
      <c r="D2" s="16"/>
      <c r="H2" s="16"/>
      <c r="I2" s="16"/>
      <c r="J2" s="16"/>
      <c r="K2" s="16"/>
      <c r="O2" s="16"/>
      <c r="P2" s="16"/>
      <c r="Q2" s="16"/>
      <c r="R2" s="16"/>
      <c r="V2" s="16"/>
      <c r="W2" s="16"/>
      <c r="X2" s="16"/>
      <c r="Y2" s="16"/>
      <c r="AC2" s="16"/>
    </row>
    <row r="3" ht="15.75" customHeight="1">
      <c r="A3" s="2" t="s">
        <v>10</v>
      </c>
      <c r="B3" s="23"/>
      <c r="C3" s="28">
        <f>macro!J6</f>
        <v>46302</v>
      </c>
      <c r="H3" s="30"/>
      <c r="I3" s="23"/>
      <c r="J3" s="4">
        <f>C3+7</f>
        <v>46309</v>
      </c>
      <c r="O3" s="30"/>
      <c r="P3" s="23"/>
      <c r="Q3" s="28">
        <f>J3+7</f>
        <v>46316</v>
      </c>
      <c r="V3" s="30"/>
      <c r="W3" s="23"/>
      <c r="X3" s="28">
        <f>Q3+7</f>
        <v>46323</v>
      </c>
      <c r="AC3" s="16"/>
    </row>
    <row r="4" ht="15.75" customHeight="1">
      <c r="A4" s="2"/>
      <c r="B4" s="2"/>
      <c r="C4" s="5" t="s">
        <v>13</v>
      </c>
      <c r="D4" s="5" t="s">
        <v>16</v>
      </c>
      <c r="E4" s="5" t="s">
        <v>15</v>
      </c>
      <c r="F4" s="5" t="s">
        <v>18</v>
      </c>
      <c r="G4" s="5" t="s">
        <v>11</v>
      </c>
      <c r="H4" s="30"/>
      <c r="I4" s="2"/>
      <c r="J4" s="5" t="s">
        <v>13</v>
      </c>
      <c r="K4" s="5" t="s">
        <v>16</v>
      </c>
      <c r="L4" s="5" t="s">
        <v>15</v>
      </c>
      <c r="M4" s="5" t="s">
        <v>18</v>
      </c>
      <c r="N4" s="5" t="s">
        <v>11</v>
      </c>
      <c r="O4" s="30"/>
      <c r="P4" s="2"/>
      <c r="Q4" s="5" t="s">
        <v>13</v>
      </c>
      <c r="R4" s="5" t="s">
        <v>16</v>
      </c>
      <c r="S4" s="5" t="s">
        <v>15</v>
      </c>
      <c r="T4" s="5" t="s">
        <v>18</v>
      </c>
      <c r="U4" s="5" t="s">
        <v>11</v>
      </c>
      <c r="V4" s="30"/>
      <c r="W4" s="2"/>
      <c r="X4" s="5" t="s">
        <v>13</v>
      </c>
      <c r="Y4" s="5" t="s">
        <v>16</v>
      </c>
      <c r="Z4" s="5" t="s">
        <v>15</v>
      </c>
      <c r="AA4" s="5" t="s">
        <v>18</v>
      </c>
      <c r="AB4" s="5" t="s">
        <v>11</v>
      </c>
      <c r="AC4" s="30"/>
    </row>
    <row r="5" ht="15.75" customHeight="1">
      <c r="A5" s="2"/>
      <c r="B5" s="2" t="s">
        <v>20</v>
      </c>
      <c r="C5" s="41"/>
      <c r="D5" s="5"/>
      <c r="E5" s="5"/>
      <c r="F5" s="5" t="s">
        <v>21</v>
      </c>
      <c r="G5" s="5"/>
      <c r="H5" s="30"/>
      <c r="I5" s="2" t="s">
        <v>20</v>
      </c>
      <c r="J5" s="41"/>
      <c r="K5" s="5"/>
      <c r="L5" s="5"/>
      <c r="M5" s="5" t="s">
        <v>21</v>
      </c>
      <c r="N5" s="5"/>
      <c r="O5" s="30"/>
      <c r="P5" s="2" t="s">
        <v>20</v>
      </c>
      <c r="Q5" s="41"/>
      <c r="R5" s="5"/>
      <c r="S5" s="5"/>
      <c r="T5" s="5" t="s">
        <v>21</v>
      </c>
      <c r="U5" s="5"/>
      <c r="V5" s="30"/>
      <c r="W5" s="2" t="s">
        <v>20</v>
      </c>
      <c r="X5" s="41"/>
      <c r="Y5" s="5"/>
      <c r="Z5" s="5"/>
      <c r="AA5" s="5" t="s">
        <v>21</v>
      </c>
      <c r="AB5" s="5"/>
      <c r="AC5" s="30"/>
    </row>
    <row r="6" ht="15.75" customHeight="1">
      <c r="A6" s="42"/>
      <c r="B6" s="43"/>
      <c r="C6" s="44"/>
      <c r="D6" s="44"/>
      <c r="E6" s="45"/>
      <c r="F6" s="46" t="str">
        <f>IFERROR(__xludf.DUMMYFUNCTION("IFERROR(
$E6/
VLOOKUP(
IF(
 REGEXMATCH($B6,""(?i)agachamento""),""Agachamento"",
 IF(
  REGEXMATCH($B6,""(?i)supino""),""Supino"",
  IF(
   REGEXMATCH($B6,""(?i)terra""),""Terra"",
   IF(
    REGEXMATCH($B6,""(?i)desenvolvimento""),""Desenvolvimento"",
  "&amp;"  IF(
     REGEXMATCH($B6,""(?i)remada""),""Remada"",
     IF(REGEXMATCH($B6,""(?i)arranco""),""Arranco"",IF(REGEXMATCH($B6,""(?i)arremesso""),""Arremesso"",""""))
    )
   )
  )
 )
),
prs!$A$30:$D$36,
4,
FALSE
)
,"""")"),"")</f>
        <v/>
      </c>
      <c r="G6" s="46"/>
      <c r="H6" s="48"/>
      <c r="I6" s="43"/>
      <c r="J6" s="44"/>
      <c r="K6" s="44"/>
      <c r="L6" s="45"/>
      <c r="M6" s="46" t="str">
        <f>IFERROR(__xludf.DUMMYFUNCTION("IFERROR(
$L6/
VLOOKUP(
IF(
 REGEXMATCH($I6,""(?i)agachamento""),""Agachamento"",
 IF(
  REGEXMATCH($I6,""(?i)supino""),""Supino"",
  IF(
   REGEXMATCH($I6,""(?i)terra""),""Terra"",
   IF(
    REGEXMATCH($I6,""(?i)desenvolvimento""),""Desenvolvimento"",
  "&amp;"  IF(
     REGEXMATCH($I6,""(?i)remada""),""Remada"",
     IF(REGEXMATCH($I6,""(?i)arranco""),""Arranco"",IF(REGEXMATCH($I6,""(?i)arremesso""),""Arremesso"",""""))
    )
   )
  )
 )
),
prs!$A$30:$D$36,
4,
FALSE
)
,"""")"),"")</f>
        <v/>
      </c>
      <c r="N6" s="46"/>
      <c r="O6" s="49"/>
      <c r="P6" s="43"/>
      <c r="Q6" s="44"/>
      <c r="R6" s="44"/>
      <c r="S6" s="45"/>
      <c r="T6" s="46" t="str">
        <f>IFERROR(__xludf.DUMMYFUNCTION("IFERROR(
$S6/
VLOOKUP(
IF(
 REGEXMATCH($P6,""(?i)agachamento""),""Agachamento"",
 IF(
  REGEXMATCH($P6,""(?i)supino""),""Supino"",
  IF(
   REGEXMATCH($P6,""(?i)terra""),""Terra"",
   IF(
    REGEXMATCH($P6,""(?i)desenvolvimento""),""Desenvolvimento"",
  "&amp;"  IF(
     REGEXMATCH($P6,""(?i)remada""),""Remada"",
     IF(REGEXMATCH($P6,""(?i)arranco""),""Arranco"",IF(REGEXMATCH($P6,""(?i)arremesso""),""Arremesso"",""""))
    )
   )
  )
 )
),
prs!$A$30:$D$36,
4,
FALSE
)
,"""")"),"")</f>
        <v/>
      </c>
      <c r="U6" s="46"/>
      <c r="V6" s="49"/>
      <c r="W6" s="43"/>
      <c r="X6" s="44"/>
      <c r="Y6" s="44"/>
      <c r="Z6" s="45"/>
      <c r="AA6" s="46" t="str">
        <f>IFERROR(__xludf.DUMMYFUNCTION("IFERROR(
$Z6/
VLOOKUP(
IF(
 REGEXMATCH($W6,""(?i)agachamento""),""Agachamento"",
 IF(
  REGEXMATCH($W6,""(?i)supino""),""Supino"",
  IF(
   REGEXMATCH($W6,""(?i)terra""),""Terra"",
   IF(
    REGEXMATCH($W6,""(?i)desenvolvimento""),""Desenvolvimento"",
  "&amp;"  IF(
     REGEXMATCH($W6,""(?i)remada""),""Remada"",
     IF(REGEXMATCH($W6,""(?i)arranco""),""Arranco"",IF(REGEXMATCH($W6,""(?i)arremesso""),""Arremesso"",""""))
    )
   )
  )
 )
),
prs!$A$30:$D$36,
4,
FALSE
)
,"""")"),"")</f>
        <v/>
      </c>
      <c r="AB6" s="46"/>
      <c r="AC6" s="42"/>
    </row>
    <row r="7" ht="15.75" customHeight="1">
      <c r="A7" s="42"/>
      <c r="B7" s="43"/>
      <c r="C7" s="44"/>
      <c r="D7" s="44"/>
      <c r="E7" s="45"/>
      <c r="F7" s="46" t="str">
        <f>IFERROR(__xludf.DUMMYFUNCTION("IFERROR(
$E7/
VLOOKUP(
IF(
 REGEXMATCH($B7,""(?i)agachamento""),""Agachamento"",
 IF(
  REGEXMATCH($B7,""(?i)supino""),""Supino"",
  IF(
   REGEXMATCH($B7,""(?i)terra""),""Terra"",
   IF(
    REGEXMATCH($B7,""(?i)desenvolvimento""),""Desenvolvimento"",
  "&amp;"  IF(
     REGEXMATCH($B7,""(?i)remada""),""Remada"",
     IF(REGEXMATCH($B7,""(?i)arranco""),""Arranco"",IF(REGEXMATCH($B7,""(?i)arremesso""),""Arremesso"",""""))
    )
   )
  )
 )
),
prs!$A$30:$D$36,
4,
FALSE
)
,"""")"),"")</f>
        <v/>
      </c>
      <c r="G7" s="46"/>
      <c r="H7" s="48"/>
      <c r="I7" s="43"/>
      <c r="J7" s="44"/>
      <c r="K7" s="44"/>
      <c r="L7" s="45"/>
      <c r="M7" s="46" t="str">
        <f>IFERROR(__xludf.DUMMYFUNCTION("IFERROR(
$L7/
VLOOKUP(
IF(
 REGEXMATCH($I7,""(?i)agachamento""),""Agachamento"",
 IF(
  REGEXMATCH($I7,""(?i)supino""),""Supino"",
  IF(
   REGEXMATCH($I7,""(?i)terra""),""Terra"",
   IF(
    REGEXMATCH($I7,""(?i)desenvolvimento""),""Desenvolvimento"",
  "&amp;"  IF(
     REGEXMATCH($I7,""(?i)remada""),""Remada"",
     IF(REGEXMATCH($I7,""(?i)arranco""),""Arranco"",IF(REGEXMATCH($I7,""(?i)arremesso""),""Arremesso"",""""))
    )
   )
  )
 )
),
prs!$A$30:$D$36,
4,
FALSE
)
,"""")"),"")</f>
        <v/>
      </c>
      <c r="N7" s="46"/>
      <c r="O7" s="49"/>
      <c r="P7" s="43"/>
      <c r="Q7" s="44"/>
      <c r="R7" s="44"/>
      <c r="S7" s="45"/>
      <c r="T7" s="46" t="str">
        <f>IFERROR(__xludf.DUMMYFUNCTION("IFERROR(
$S7/
VLOOKUP(
IF(
 REGEXMATCH($P7,""(?i)agachamento""),""Agachamento"",
 IF(
  REGEXMATCH($P7,""(?i)supino""),""Supino"",
  IF(
   REGEXMATCH($P7,""(?i)terra""),""Terra"",
   IF(
    REGEXMATCH($P7,""(?i)desenvolvimento""),""Desenvolvimento"",
  "&amp;"  IF(
     REGEXMATCH($P7,""(?i)remada""),""Remada"",
     IF(REGEXMATCH($P7,""(?i)arranco""),""Arranco"",IF(REGEXMATCH($P7,""(?i)arremesso""),""Arremesso"",""""))
    )
   )
  )
 )
),
prs!$A$30:$D$36,
4,
FALSE
)
,"""")"),"")</f>
        <v/>
      </c>
      <c r="U7" s="46"/>
      <c r="V7" s="49"/>
      <c r="W7" s="43"/>
      <c r="X7" s="44"/>
      <c r="Y7" s="44"/>
      <c r="Z7" s="45"/>
      <c r="AA7" s="46" t="str">
        <f>IFERROR(__xludf.DUMMYFUNCTION("IFERROR(
$Z7/
VLOOKUP(
IF(
 REGEXMATCH($W7,""(?i)agachamento""),""Agachamento"",
 IF(
  REGEXMATCH($W7,""(?i)supino""),""Supino"",
  IF(
   REGEXMATCH($W7,""(?i)terra""),""Terra"",
   IF(
    REGEXMATCH($W7,""(?i)desenvolvimento""),""Desenvolvimento"",
  "&amp;"  IF(
     REGEXMATCH($W7,""(?i)remada""),""Remada"",
     IF(REGEXMATCH($W7,""(?i)arranco""),""Arranco"",IF(REGEXMATCH($W7,""(?i)arremesso""),""Arremesso"",""""))
    )
   )
  )
 )
),
prs!$A$30:$D$36,
4,
FALSE
)
,"""")"),"")</f>
        <v/>
      </c>
      <c r="AB7" s="46"/>
      <c r="AC7" s="42"/>
    </row>
    <row r="8" ht="15.75" customHeight="1">
      <c r="A8" s="42"/>
      <c r="B8" s="43"/>
      <c r="C8" s="44"/>
      <c r="D8" s="44"/>
      <c r="E8" s="45"/>
      <c r="F8" s="46" t="str">
        <f>IFERROR(__xludf.DUMMYFUNCTION("IFERROR(
$E8/
VLOOKUP(
IF(
 REGEXMATCH($B8,""(?i)agachamento""),""Agachamento"",
 IF(
  REGEXMATCH($B8,""(?i)supino""),""Supino"",
  IF(
   REGEXMATCH($B8,""(?i)terra""),""Terra"",
   IF(
    REGEXMATCH($B8,""(?i)desenvolvimento""),""Desenvolvimento"",
  "&amp;"  IF(
     REGEXMATCH($B8,""(?i)remada""),""Remada"",
     IF(REGEXMATCH($B8,""(?i)arranco""),""Arranco"",IF(REGEXMATCH($B8,""(?i)arremesso""),""Arremesso"",""""))
    )
   )
  )
 )
),
prs!$A$30:$D$36,
4,
FALSE
)
,"""")"),"")</f>
        <v/>
      </c>
      <c r="G8" s="46"/>
      <c r="H8" s="48"/>
      <c r="I8" s="43"/>
      <c r="J8" s="44"/>
      <c r="K8" s="44"/>
      <c r="L8" s="45"/>
      <c r="M8" s="46" t="str">
        <f>IFERROR(__xludf.DUMMYFUNCTION("IFERROR(
$L8/
VLOOKUP(
IF(
 REGEXMATCH($I8,""(?i)agachamento""),""Agachamento"",
 IF(
  REGEXMATCH($I8,""(?i)supino""),""Supino"",
  IF(
   REGEXMATCH($I8,""(?i)terra""),""Terra"",
   IF(
    REGEXMATCH($I8,""(?i)desenvolvimento""),""Desenvolvimento"",
  "&amp;"  IF(
     REGEXMATCH($I8,""(?i)remada""),""Remada"",
     IF(REGEXMATCH($I8,""(?i)arranco""),""Arranco"",IF(REGEXMATCH($I8,""(?i)arremesso""),""Arremesso"",""""))
    )
   )
  )
 )
),
prs!$A$30:$D$36,
4,
FALSE
)
,"""")"),"")</f>
        <v/>
      </c>
      <c r="N8" s="46"/>
      <c r="O8" s="49"/>
      <c r="P8" s="43"/>
      <c r="Q8" s="44"/>
      <c r="R8" s="44"/>
      <c r="S8" s="45"/>
      <c r="T8" s="46" t="str">
        <f>IFERROR(__xludf.DUMMYFUNCTION("IFERROR(
$S8/
VLOOKUP(
IF(
 REGEXMATCH($P8,""(?i)agachamento""),""Agachamento"",
 IF(
  REGEXMATCH($P8,""(?i)supino""),""Supino"",
  IF(
   REGEXMATCH($P8,""(?i)terra""),""Terra"",
   IF(
    REGEXMATCH($P8,""(?i)desenvolvimento""),""Desenvolvimento"",
  "&amp;"  IF(
     REGEXMATCH($P8,""(?i)remada""),""Remada"",
     IF(REGEXMATCH($P8,""(?i)arranco""),""Arranco"",IF(REGEXMATCH($P8,""(?i)arremesso""),""Arremesso"",""""))
    )
   )
  )
 )
),
prs!$A$30:$D$36,
4,
FALSE
)
,"""")"),"")</f>
        <v/>
      </c>
      <c r="U8" s="46"/>
      <c r="V8" s="49"/>
      <c r="W8" s="43"/>
      <c r="X8" s="44"/>
      <c r="Y8" s="44"/>
      <c r="Z8" s="45"/>
      <c r="AA8" s="46" t="str">
        <f>IFERROR(__xludf.DUMMYFUNCTION("IFERROR(
$Z8/
VLOOKUP(
IF(
 REGEXMATCH($W8,""(?i)agachamento""),""Agachamento"",
 IF(
  REGEXMATCH($W8,""(?i)supino""),""Supino"",
  IF(
   REGEXMATCH($W8,""(?i)terra""),""Terra"",
   IF(
    REGEXMATCH($W8,""(?i)desenvolvimento""),""Desenvolvimento"",
  "&amp;"  IF(
     REGEXMATCH($W8,""(?i)remada""),""Remada"",
     IF(REGEXMATCH($W8,""(?i)arranco""),""Arranco"",IF(REGEXMATCH($W8,""(?i)arremesso""),""Arremesso"",""""))
    )
   )
  )
 )
),
prs!$A$30:$D$36,
4,
FALSE
)
,"""")"),"")</f>
        <v/>
      </c>
      <c r="AB8" s="46"/>
      <c r="AC8" s="42"/>
    </row>
    <row r="9" ht="15.75" customHeight="1">
      <c r="A9" s="42"/>
      <c r="B9" s="43"/>
      <c r="C9" s="50"/>
      <c r="D9" s="50"/>
      <c r="E9" s="51"/>
      <c r="F9" s="46" t="str">
        <f>IFERROR(__xludf.DUMMYFUNCTION("IFERROR(
$E9/
VLOOKUP(
IF(
 REGEXMATCH($B9,""(?i)agachamento""),""Agachamento"",
 IF(
  REGEXMATCH($B9,""(?i)supino""),""Supino"",
  IF(
   REGEXMATCH($B9,""(?i)terra""),""Terra"",
   IF(
    REGEXMATCH($B9,""(?i)desenvolvimento""),""Desenvolvimento"",
  "&amp;"  IF(
     REGEXMATCH($B9,""(?i)remada""),""Remada"",
     IF(REGEXMATCH($B9,""(?i)arranco""),""Arranco"",IF(REGEXMATCH($B9,""(?i)arremesso""),""Arremesso"",""""))
    )
   )
  )
 )
),
prs!$A$30:$D$36,
4,
FALSE
)
,"""")"),"")</f>
        <v/>
      </c>
      <c r="G9" s="46"/>
      <c r="H9" s="48"/>
      <c r="I9" s="43"/>
      <c r="J9" s="50"/>
      <c r="K9" s="50"/>
      <c r="L9" s="51"/>
      <c r="M9" s="46" t="str">
        <f>IFERROR(__xludf.DUMMYFUNCTION("IFERROR(
$L9/
VLOOKUP(
IF(
 REGEXMATCH($I9,""(?i)agachamento""),""Agachamento"",
 IF(
  REGEXMATCH($I9,""(?i)supino""),""Supino"",
  IF(
   REGEXMATCH($I9,""(?i)terra""),""Terra"",
   IF(
    REGEXMATCH($I9,""(?i)desenvolvimento""),""Desenvolvimento"",
  "&amp;"  IF(
     REGEXMATCH($I9,""(?i)remada""),""Remada"",
     IF(REGEXMATCH($I9,""(?i)arranco""),""Arranco"",IF(REGEXMATCH($I9,""(?i)arremesso""),""Arremesso"",""""))
    )
   )
  )
 )
),
prs!$A$30:$D$36,
4,
FALSE
)
,"""")"),"")</f>
        <v/>
      </c>
      <c r="N9" s="46"/>
      <c r="O9" s="49"/>
      <c r="P9" s="43"/>
      <c r="Q9" s="50"/>
      <c r="R9" s="50"/>
      <c r="S9" s="51"/>
      <c r="T9" s="46" t="str">
        <f>IFERROR(__xludf.DUMMYFUNCTION("IFERROR(
$S9/
VLOOKUP(
IF(
 REGEXMATCH($P9,""(?i)agachamento""),""Agachamento"",
 IF(
  REGEXMATCH($P9,""(?i)supino""),""Supino"",
  IF(
   REGEXMATCH($P9,""(?i)terra""),""Terra"",
   IF(
    REGEXMATCH($P9,""(?i)desenvolvimento""),""Desenvolvimento"",
  "&amp;"  IF(
     REGEXMATCH($P9,""(?i)remada""),""Remada"",
     IF(REGEXMATCH($P9,""(?i)arranco""),""Arranco"",IF(REGEXMATCH($P9,""(?i)arremesso""),""Arremesso"",""""))
    )
   )
  )
 )
),
prs!$A$30:$D$36,
4,
FALSE
)
,"""")"),"")</f>
        <v/>
      </c>
      <c r="U9" s="46"/>
      <c r="V9" s="49"/>
      <c r="W9" s="43"/>
      <c r="X9" s="50"/>
      <c r="Y9" s="50"/>
      <c r="Z9" s="51"/>
      <c r="AA9" s="46" t="str">
        <f>IFERROR(__xludf.DUMMYFUNCTION("IFERROR(
$Z9/
VLOOKUP(
IF(
 REGEXMATCH($W9,""(?i)agachamento""),""Agachamento"",
 IF(
  REGEXMATCH($W9,""(?i)supino""),""Supino"",
  IF(
   REGEXMATCH($W9,""(?i)terra""),""Terra"",
   IF(
    REGEXMATCH($W9,""(?i)desenvolvimento""),""Desenvolvimento"",
  "&amp;"  IF(
     REGEXMATCH($W9,""(?i)remada""),""Remada"",
     IF(REGEXMATCH($W9,""(?i)arranco""),""Arranco"",IF(REGEXMATCH($W9,""(?i)arremesso""),""Arremesso"",""""))
    )
   )
  )
 )
),
prs!$A$30:$D$36,
4,
FALSE
)
,"""")"),"")</f>
        <v/>
      </c>
      <c r="AB9" s="46"/>
      <c r="AC9" s="42"/>
    </row>
    <row r="10" ht="15.75" customHeight="1">
      <c r="A10" s="42"/>
      <c r="B10" s="43"/>
      <c r="C10" s="50"/>
      <c r="D10" s="50"/>
      <c r="E10" s="51"/>
      <c r="F10" s="46" t="str">
        <f>IFERROR(__xludf.DUMMYFUNCTION("IFERROR(
$E10/
VLOOKUP(
IF(
 REGEXMATCH($B10,""(?i)agachamento""),""Agachamento"",
 IF(
  REGEXMATCH($B10,""(?i)supino""),""Supino"",
  IF(
   REGEXMATCH($B10,""(?i)terra""),""Terra"",
   IF(
    REGEXMATCH($B10,""(?i)desenvolvimento""),""Desenvolvimento"&amp;""",
    IF(
     REGEXMATCH($B10,""(?i)remada""),""Remada"",
     IF(REGEXMATCH($B10,""(?i)arranco""),""Arranco"",IF(REGEXMATCH($B10,""(?i)arremesso""),""Arremesso"",""""))
    )
   )
  )
 )
),
prs!$A$30:$D$36,
4,
FALSE
)
,"""")"),"")</f>
        <v/>
      </c>
      <c r="G10" s="46"/>
      <c r="H10" s="48"/>
      <c r="I10" s="43"/>
      <c r="J10" s="50"/>
      <c r="K10" s="50"/>
      <c r="L10" s="51"/>
      <c r="M10" s="46" t="str">
        <f>IFERROR(__xludf.DUMMYFUNCTION("IFERROR(
$L10/
VLOOKUP(
IF(
 REGEXMATCH($I10,""(?i)agachamento""),""Agachamento"",
 IF(
  REGEXMATCH($I10,""(?i)supino""),""Supino"",
  IF(
   REGEXMATCH($I10,""(?i)terra""),""Terra"",
   IF(
    REGEXMATCH($I10,""(?i)desenvolvimento""),""Desenvolvimento"&amp;""",
    IF(
     REGEXMATCH($I10,""(?i)remada""),""Remada"",
     IF(REGEXMATCH($I10,""(?i)arranco""),""Arranco"",IF(REGEXMATCH($I10,""(?i)arremesso""),""Arremesso"",""""))
    )
   )
  )
 )
),
prs!$A$30:$D$36,
4,
FALSE
)
,"""")"),"")</f>
        <v/>
      </c>
      <c r="N10" s="46"/>
      <c r="O10" s="49"/>
      <c r="P10" s="43"/>
      <c r="Q10" s="50"/>
      <c r="R10" s="50"/>
      <c r="S10" s="51"/>
      <c r="T10" s="46" t="str">
        <f>IFERROR(__xludf.DUMMYFUNCTION("IFERROR(
$S10/
VLOOKUP(
IF(
 REGEXMATCH($P10,""(?i)agachamento""),""Agachamento"",
 IF(
  REGEXMATCH($P10,""(?i)supino""),""Supino"",
  IF(
   REGEXMATCH($P10,""(?i)terra""),""Terra"",
   IF(
    REGEXMATCH($P10,""(?i)desenvolvimento""),""Desenvolvimento"&amp;""",
    IF(
     REGEXMATCH($P10,""(?i)remada""),""Remada"",
     IF(REGEXMATCH($P10,""(?i)arranco""),""Arranco"",IF(REGEXMATCH($P10,""(?i)arremesso""),""Arremesso"",""""))
    )
   )
  )
 )
),
prs!$A$30:$D$36,
4,
FALSE
)
,"""")"),"")</f>
        <v/>
      </c>
      <c r="U10" s="46"/>
      <c r="V10" s="49"/>
      <c r="W10" s="43"/>
      <c r="X10" s="50"/>
      <c r="Y10" s="50"/>
      <c r="Z10" s="51"/>
      <c r="AA10" s="46" t="str">
        <f>IFERROR(__xludf.DUMMYFUNCTION("IFERROR(
$Z10/
VLOOKUP(
IF(
 REGEXMATCH($W10,""(?i)agachamento""),""Agachamento"",
 IF(
  REGEXMATCH($W10,""(?i)supino""),""Supino"",
  IF(
   REGEXMATCH($W10,""(?i)terra""),""Terra"",
   IF(
    REGEXMATCH($W10,""(?i)desenvolvimento""),""Desenvolvimento"&amp;""",
    IF(
     REGEXMATCH($W10,""(?i)remada""),""Remada"",
     IF(REGEXMATCH($W10,""(?i)arranco""),""Arranco"",IF(REGEXMATCH($W10,""(?i)arremesso""),""Arremesso"",""""))
    )
   )
  )
 )
),
prs!$A$30:$D$36,
4,
FALSE
)
,"""")"),"")</f>
        <v/>
      </c>
      <c r="AB10" s="46"/>
      <c r="AC10" s="42"/>
    </row>
    <row r="11" ht="15.75" customHeight="1">
      <c r="A11" s="42"/>
      <c r="B11" s="43"/>
      <c r="C11" s="50"/>
      <c r="D11" s="50"/>
      <c r="E11" s="51"/>
      <c r="F11" s="46" t="str">
        <f>IFERROR(__xludf.DUMMYFUNCTION("IFERROR(
$E11/
VLOOKUP(
IF(
 REGEXMATCH($B11,""(?i)agachamento""),""Agachamento"",
 IF(
  REGEXMATCH($B11,""(?i)supino""),""Supino"",
  IF(
   REGEXMATCH($B11,""(?i)terra""),""Terra"",
   IF(
    REGEXMATCH($B11,""(?i)desenvolvimento""),""Desenvolvimento"&amp;""",
    IF(
     REGEXMATCH($B11,""(?i)remada""),""Remada"",
     IF(REGEXMATCH($B11,""(?i)arranco""),""Arranco"",IF(REGEXMATCH($B11,""(?i)arremesso""),""Arremesso"",""""))
    )
   )
  )
 )
),
prs!$A$30:$D$36,
4,
FALSE
)
,"""")"),"")</f>
        <v/>
      </c>
      <c r="G11" s="46"/>
      <c r="H11" s="48"/>
      <c r="I11" s="43"/>
      <c r="J11" s="50"/>
      <c r="K11" s="50"/>
      <c r="L11" s="51"/>
      <c r="M11" s="46" t="str">
        <f>IFERROR(__xludf.DUMMYFUNCTION("IFERROR(
$L11/
VLOOKUP(
IF(
 REGEXMATCH($I11,""(?i)agachamento""),""Agachamento"",
 IF(
  REGEXMATCH($I11,""(?i)supino""),""Supino"",
  IF(
   REGEXMATCH($I11,""(?i)terra""),""Terra"",
   IF(
    REGEXMATCH($I11,""(?i)desenvolvimento""),""Desenvolvimento"&amp;""",
    IF(
     REGEXMATCH($I11,""(?i)remada""),""Remada"",
     IF(REGEXMATCH($I11,""(?i)arranco""),""Arranco"",IF(REGEXMATCH($I11,""(?i)arremesso""),""Arremesso"",""""))
    )
   )
  )
 )
),
prs!$A$30:$D$36,
4,
FALSE
)
,"""")"),"")</f>
        <v/>
      </c>
      <c r="N11" s="46"/>
      <c r="O11" s="49"/>
      <c r="P11" s="43"/>
      <c r="Q11" s="50"/>
      <c r="R11" s="50"/>
      <c r="S11" s="51"/>
      <c r="T11" s="46" t="str">
        <f>IFERROR(__xludf.DUMMYFUNCTION("IFERROR(
$S11/
VLOOKUP(
IF(
 REGEXMATCH($P11,""(?i)agachamento""),""Agachamento"",
 IF(
  REGEXMATCH($P11,""(?i)supino""),""Supino"",
  IF(
   REGEXMATCH($P11,""(?i)terra""),""Terra"",
   IF(
    REGEXMATCH($P11,""(?i)desenvolvimento""),""Desenvolvimento"&amp;""",
    IF(
     REGEXMATCH($P11,""(?i)remada""),""Remada"",
     IF(REGEXMATCH($P11,""(?i)arranco""),""Arranco"",IF(REGEXMATCH($P11,""(?i)arremesso""),""Arremesso"",""""))
    )
   )
  )
 )
),
prs!$A$30:$D$36,
4,
FALSE
)
,"""")"),"")</f>
        <v/>
      </c>
      <c r="U11" s="46"/>
      <c r="V11" s="49"/>
      <c r="W11" s="43"/>
      <c r="X11" s="50"/>
      <c r="Y11" s="50"/>
      <c r="Z11" s="51"/>
      <c r="AA11" s="46" t="str">
        <f>IFERROR(__xludf.DUMMYFUNCTION("IFERROR(
$Z11/
VLOOKUP(
IF(
 REGEXMATCH($W11,""(?i)agachamento""),""Agachamento"",
 IF(
  REGEXMATCH($W11,""(?i)supino""),""Supino"",
  IF(
   REGEXMATCH($W11,""(?i)terra""),""Terra"",
   IF(
    REGEXMATCH($W11,""(?i)desenvolvimento""),""Desenvolvimento"&amp;""",
    IF(
     REGEXMATCH($W11,""(?i)remada""),""Remada"",
     IF(REGEXMATCH($W11,""(?i)arranco""),""Arranco"",IF(REGEXMATCH($W11,""(?i)arremesso""),""Arremesso"",""""))
    )
   )
  )
 )
),
prs!$A$30:$D$36,
4,
FALSE
)
,"""")"),"")</f>
        <v/>
      </c>
      <c r="AB11" s="46"/>
      <c r="AC11" s="42"/>
    </row>
    <row r="12" ht="15.75" customHeight="1">
      <c r="A12" s="42"/>
      <c r="B12" s="43"/>
      <c r="C12" s="50"/>
      <c r="D12" s="50"/>
      <c r="E12" s="51"/>
      <c r="F12" s="46" t="str">
        <f>IFERROR(__xludf.DUMMYFUNCTION("IFERROR(
$E12/
VLOOKUP(
IF(
 REGEXMATCH($B12,""(?i)agachamento""),""Agachamento"",
 IF(
  REGEXMATCH($B12,""(?i)supino""),""Supino"",
  IF(
   REGEXMATCH($B12,""(?i)terra""),""Terra"",
   IF(
    REGEXMATCH($B12,""(?i)desenvolvimento""),""Desenvolvimento"&amp;""",
    IF(
     REGEXMATCH($B12,""(?i)remada""),""Remada"",
     IF(REGEXMATCH($B12,""(?i)arranco""),""Arranco"",IF(REGEXMATCH($B12,""(?i)arremesso""),""Arremesso"",""""))
    )
   )
  )
 )
),
prs!$A$30:$D$36,
4,
FALSE
)
,"""")"),"")</f>
        <v/>
      </c>
      <c r="G12" s="46"/>
      <c r="H12" s="48"/>
      <c r="I12" s="43"/>
      <c r="J12" s="50"/>
      <c r="K12" s="50"/>
      <c r="L12" s="51"/>
      <c r="M12" s="46" t="str">
        <f>IFERROR(__xludf.DUMMYFUNCTION("IFERROR(
$L12/
VLOOKUP(
IF(
 REGEXMATCH($I12,""(?i)agachamento""),""Agachamento"",
 IF(
  REGEXMATCH($I12,""(?i)supino""),""Supino"",
  IF(
   REGEXMATCH($I12,""(?i)terra""),""Terra"",
   IF(
    REGEXMATCH($I12,""(?i)desenvolvimento""),""Desenvolvimento"&amp;""",
    IF(
     REGEXMATCH($I12,""(?i)remada""),""Remada"",
     IF(REGEXMATCH($I12,""(?i)arranco""),""Arranco"",IF(REGEXMATCH($I12,""(?i)arremesso""),""Arremesso"",""""))
    )
   )
  )
 )
),
prs!$A$30:$D$36,
4,
FALSE
)
,"""")"),"")</f>
        <v/>
      </c>
      <c r="N12" s="46"/>
      <c r="O12" s="49"/>
      <c r="P12" s="43"/>
      <c r="Q12" s="50"/>
      <c r="R12" s="50"/>
      <c r="S12" s="51"/>
      <c r="T12" s="46" t="str">
        <f>IFERROR(__xludf.DUMMYFUNCTION("IFERROR(
$S12/
VLOOKUP(
IF(
 REGEXMATCH($P12,""(?i)agachamento""),""Agachamento"",
 IF(
  REGEXMATCH($P12,""(?i)supino""),""Supino"",
  IF(
   REGEXMATCH($P12,""(?i)terra""),""Terra"",
   IF(
    REGEXMATCH($P12,""(?i)desenvolvimento""),""Desenvolvimento"&amp;""",
    IF(
     REGEXMATCH($P12,""(?i)remada""),""Remada"",
     IF(REGEXMATCH($P12,""(?i)arranco""),""Arranco"",IF(REGEXMATCH($P12,""(?i)arremesso""),""Arremesso"",""""))
    )
   )
  )
 )
),
prs!$A$30:$D$36,
4,
FALSE
)
,"""")"),"")</f>
        <v/>
      </c>
      <c r="U12" s="46"/>
      <c r="V12" s="49"/>
      <c r="W12" s="43"/>
      <c r="X12" s="50"/>
      <c r="Y12" s="50"/>
      <c r="Z12" s="51"/>
      <c r="AA12" s="46" t="str">
        <f>IFERROR(__xludf.DUMMYFUNCTION("IFERROR(
$Z12/
VLOOKUP(
IF(
 REGEXMATCH($W12,""(?i)agachamento""),""Agachamento"",
 IF(
  REGEXMATCH($W12,""(?i)supino""),""Supino"",
  IF(
   REGEXMATCH($W12,""(?i)terra""),""Terra"",
   IF(
    REGEXMATCH($W12,""(?i)desenvolvimento""),""Desenvolvimento"&amp;""",
    IF(
     REGEXMATCH($W12,""(?i)remada""),""Remada"",
     IF(REGEXMATCH($W12,""(?i)arranco""),""Arranco"",IF(REGEXMATCH($W12,""(?i)arremesso""),""Arremesso"",""""))
    )
   )
  )
 )
),
prs!$A$30:$D$36,
4,
FALSE
)
,"""")"),"")</f>
        <v/>
      </c>
      <c r="AB12" s="46"/>
      <c r="AC12" s="42"/>
    </row>
    <row r="13" ht="15.75" customHeight="1">
      <c r="A13" s="42"/>
      <c r="B13" s="43"/>
      <c r="C13" s="50"/>
      <c r="D13" s="50"/>
      <c r="E13" s="51"/>
      <c r="F13" s="46" t="str">
        <f>IFERROR(__xludf.DUMMYFUNCTION("IFERROR(
$E13/
VLOOKUP(
IF(
 REGEXMATCH($B13,""(?i)agachamento""),""Agachamento"",
 IF(
  REGEXMATCH($B13,""(?i)supino""),""Supino"",
  IF(
   REGEXMATCH($B13,""(?i)terra""),""Terra"",
   IF(
    REGEXMATCH($B13,""(?i)desenvolvimento""),""Desenvolvimento"&amp;""",
    IF(
     REGEXMATCH($B13,""(?i)remada""),""Remada"",
     IF(REGEXMATCH($B13,""(?i)arranco""),""Arranco"",IF(REGEXMATCH($B13,""(?i)arremesso""),""Arremesso"",""""))
    )
   )
  )
 )
),
prs!$A$30:$D$36,
4,
FALSE
)
,"""")"),"")</f>
        <v/>
      </c>
      <c r="G13" s="46"/>
      <c r="H13" s="48"/>
      <c r="I13" s="43"/>
      <c r="J13" s="50"/>
      <c r="K13" s="50"/>
      <c r="L13" s="51"/>
      <c r="M13" s="46" t="str">
        <f>IFERROR(__xludf.DUMMYFUNCTION("IFERROR(
$L13/
VLOOKUP(
IF(
 REGEXMATCH($I13,""(?i)agachamento""),""Agachamento"",
 IF(
  REGEXMATCH($I13,""(?i)supino""),""Supino"",
  IF(
   REGEXMATCH($I13,""(?i)terra""),""Terra"",
   IF(
    REGEXMATCH($I13,""(?i)desenvolvimento""),""Desenvolvimento"&amp;""",
    IF(
     REGEXMATCH($I13,""(?i)remada""),""Remada"",
     IF(REGEXMATCH($I13,""(?i)arranco""),""Arranco"",IF(REGEXMATCH($I13,""(?i)arremesso""),""Arremesso"",""""))
    )
   )
  )
 )
),
prs!$A$30:$D$36,
4,
FALSE
)
,"""")"),"")</f>
        <v/>
      </c>
      <c r="N13" s="46"/>
      <c r="O13" s="49"/>
      <c r="P13" s="43"/>
      <c r="Q13" s="50"/>
      <c r="R13" s="50"/>
      <c r="S13" s="51"/>
      <c r="T13" s="46" t="str">
        <f>IFERROR(__xludf.DUMMYFUNCTION("IFERROR(
$S13/
VLOOKUP(
IF(
 REGEXMATCH($P13,""(?i)agachamento""),""Agachamento"",
 IF(
  REGEXMATCH($P13,""(?i)supino""),""Supino"",
  IF(
   REGEXMATCH($P13,""(?i)terra""),""Terra"",
   IF(
    REGEXMATCH($P13,""(?i)desenvolvimento""),""Desenvolvimento"&amp;""",
    IF(
     REGEXMATCH($P13,""(?i)remada""),""Remada"",
     IF(REGEXMATCH($P13,""(?i)arranco""),""Arranco"",IF(REGEXMATCH($P13,""(?i)arremesso""),""Arremesso"",""""))
    )
   )
  )
 )
),
prs!$A$30:$D$36,
4,
FALSE
)
,"""")"),"")</f>
        <v/>
      </c>
      <c r="U13" s="46"/>
      <c r="V13" s="49"/>
      <c r="W13" s="43"/>
      <c r="X13" s="50"/>
      <c r="Y13" s="50"/>
      <c r="Z13" s="51"/>
      <c r="AA13" s="46" t="str">
        <f>IFERROR(__xludf.DUMMYFUNCTION("IFERROR(
$Z13/
VLOOKUP(
IF(
 REGEXMATCH($W13,""(?i)agachamento""),""Agachamento"",
 IF(
  REGEXMATCH($W13,""(?i)supino""),""Supino"",
  IF(
   REGEXMATCH($W13,""(?i)terra""),""Terra"",
   IF(
    REGEXMATCH($W13,""(?i)desenvolvimento""),""Desenvolvimento"&amp;""",
    IF(
     REGEXMATCH($W13,""(?i)remada""),""Remada"",
     IF(REGEXMATCH($W13,""(?i)arranco""),""Arranco"",IF(REGEXMATCH($W13,""(?i)arremesso""),""Arremesso"",""""))
    )
   )
  )
 )
),
prs!$A$30:$D$36,
4,
FALSE
)
,"""")"),"")</f>
        <v/>
      </c>
      <c r="AB13" s="46"/>
      <c r="AC13" s="42"/>
    </row>
    <row r="14" ht="15.75" customHeight="1">
      <c r="A14" s="42"/>
      <c r="B14" s="43"/>
      <c r="C14" s="50"/>
      <c r="D14" s="50"/>
      <c r="E14" s="51"/>
      <c r="F14" s="46" t="str">
        <f>IFERROR(__xludf.DUMMYFUNCTION("IFERROR(
$E14/
VLOOKUP(
IF(
 REGEXMATCH($B14,""(?i)agachamento""),""Agachamento"",
 IF(
  REGEXMATCH($B14,""(?i)supino""),""Supino"",
  IF(
   REGEXMATCH($B14,""(?i)terra""),""Terra"",
   IF(
    REGEXMATCH($B14,""(?i)desenvolvimento""),""Desenvolvimento"&amp;""",
    IF(
     REGEXMATCH($B14,""(?i)remada""),""Remada"",
     IF(REGEXMATCH($B14,""(?i)arranco""),""Arranco"",IF(REGEXMATCH($B14,""(?i)arremesso""),""Arremesso"",""""))
    )
   )
  )
 )
),
prs!$A$30:$D$36,
4,
FALSE
)
,"""")"),"")</f>
        <v/>
      </c>
      <c r="G14" s="46"/>
      <c r="H14" s="48"/>
      <c r="I14" s="43"/>
      <c r="J14" s="50"/>
      <c r="K14" s="50"/>
      <c r="L14" s="51"/>
      <c r="M14" s="46" t="str">
        <f>IFERROR(__xludf.DUMMYFUNCTION("IFERROR(
$L14/
VLOOKUP(
IF(
 REGEXMATCH($I14,""(?i)agachamento""),""Agachamento"",
 IF(
  REGEXMATCH($I14,""(?i)supino""),""Supino"",
  IF(
   REGEXMATCH($I14,""(?i)terra""),""Terra"",
   IF(
    REGEXMATCH($I14,""(?i)desenvolvimento""),""Desenvolvimento"&amp;""",
    IF(
     REGEXMATCH($I14,""(?i)remada""),""Remada"",
     IF(REGEXMATCH($I14,""(?i)arranco""),""Arranco"",IF(REGEXMATCH($I14,""(?i)arremesso""),""Arremesso"",""""))
    )
   )
  )
 )
),
prs!$A$30:$D$36,
4,
FALSE
)
,"""")"),"")</f>
        <v/>
      </c>
      <c r="N14" s="46"/>
      <c r="O14" s="49"/>
      <c r="P14" s="43"/>
      <c r="Q14" s="50"/>
      <c r="R14" s="50"/>
      <c r="S14" s="51"/>
      <c r="T14" s="46" t="str">
        <f>IFERROR(__xludf.DUMMYFUNCTION("IFERROR(
$S14/
VLOOKUP(
IF(
 REGEXMATCH($P14,""(?i)agachamento""),""Agachamento"",
 IF(
  REGEXMATCH($P14,""(?i)supino""),""Supino"",
  IF(
   REGEXMATCH($P14,""(?i)terra""),""Terra"",
   IF(
    REGEXMATCH($P14,""(?i)desenvolvimento""),""Desenvolvimento"&amp;""",
    IF(
     REGEXMATCH($P14,""(?i)remada""),""Remada"",
     IF(REGEXMATCH($P14,""(?i)arranco""),""Arranco"",IF(REGEXMATCH($P14,""(?i)arremesso""),""Arremesso"",""""))
    )
   )
  )
 )
),
prs!$A$30:$D$36,
4,
FALSE
)
,"""")"),"")</f>
        <v/>
      </c>
      <c r="U14" s="46"/>
      <c r="V14" s="49"/>
      <c r="W14" s="43"/>
      <c r="X14" s="50"/>
      <c r="Y14" s="50"/>
      <c r="Z14" s="51"/>
      <c r="AA14" s="46" t="str">
        <f>IFERROR(__xludf.DUMMYFUNCTION("IFERROR(
$Z14/
VLOOKUP(
IF(
 REGEXMATCH($W14,""(?i)agachamento""),""Agachamento"",
 IF(
  REGEXMATCH($W14,""(?i)supino""),""Supino"",
  IF(
   REGEXMATCH($W14,""(?i)terra""),""Terra"",
   IF(
    REGEXMATCH($W14,""(?i)desenvolvimento""),""Desenvolvimento"&amp;""",
    IF(
     REGEXMATCH($W14,""(?i)remada""),""Remada"",
     IF(REGEXMATCH($W14,""(?i)arranco""),""Arranco"",IF(REGEXMATCH($W14,""(?i)arremesso""),""Arremesso"",""""))
    )
   )
  )
 )
),
prs!$A$30:$D$36,
4,
FALSE
)
,"""")"),"")</f>
        <v/>
      </c>
      <c r="AB14" s="46"/>
      <c r="AC14" s="42"/>
    </row>
    <row r="15" ht="15.75" customHeight="1">
      <c r="A15" s="42"/>
      <c r="B15" s="43"/>
      <c r="C15" s="50"/>
      <c r="D15" s="50"/>
      <c r="E15" s="51"/>
      <c r="F15" s="46" t="str">
        <f>IFERROR(__xludf.DUMMYFUNCTION("IFERROR(
$E15/
VLOOKUP(
IF(
 REGEXMATCH($B15,""(?i)agachamento""),""Agachamento"",
 IF(
  REGEXMATCH($B15,""(?i)supino""),""Supino"",
  IF(
   REGEXMATCH($B15,""(?i)terra""),""Terra"",
   IF(
    REGEXMATCH($B15,""(?i)desenvolvimento""),""Desenvolvimento"&amp;""",
    IF(
     REGEXMATCH($B15,""(?i)remada""),""Remada"",
     IF(REGEXMATCH($B15,""(?i)arranco""),""Arranco"",IF(REGEXMATCH($B15,""(?i)arremesso""),""Arremesso"",""""))
    )
   )
  )
 )
),
prs!$A$30:$D$36,
4,
FALSE
)
,"""")"),"")</f>
        <v/>
      </c>
      <c r="G15" s="46"/>
      <c r="H15" s="48"/>
      <c r="I15" s="43"/>
      <c r="J15" s="50"/>
      <c r="K15" s="50"/>
      <c r="L15" s="51"/>
      <c r="M15" s="46" t="str">
        <f>IFERROR(__xludf.DUMMYFUNCTION("IFERROR(
$L15/
VLOOKUP(
IF(
 REGEXMATCH($I15,""(?i)agachamento""),""Agachamento"",
 IF(
  REGEXMATCH($I15,""(?i)supino""),""Supino"",
  IF(
   REGEXMATCH($I15,""(?i)terra""),""Terra"",
   IF(
    REGEXMATCH($I15,""(?i)desenvolvimento""),""Desenvolvimento"&amp;""",
    IF(
     REGEXMATCH($I15,""(?i)remada""),""Remada"",
     IF(REGEXMATCH($I15,""(?i)arranco""),""Arranco"",IF(REGEXMATCH($I15,""(?i)arremesso""),""Arremesso"",""""))
    )
   )
  )
 )
),
prs!$A$30:$D$36,
4,
FALSE
)
,"""")"),"")</f>
        <v/>
      </c>
      <c r="N15" s="46"/>
      <c r="O15" s="49"/>
      <c r="P15" s="43"/>
      <c r="Q15" s="50"/>
      <c r="R15" s="50"/>
      <c r="S15" s="51"/>
      <c r="T15" s="46" t="str">
        <f>IFERROR(__xludf.DUMMYFUNCTION("IFERROR(
$S15/
VLOOKUP(
IF(
 REGEXMATCH($P15,""(?i)agachamento""),""Agachamento"",
 IF(
  REGEXMATCH($P15,""(?i)supino""),""Supino"",
  IF(
   REGEXMATCH($P15,""(?i)terra""),""Terra"",
   IF(
    REGEXMATCH($P15,""(?i)desenvolvimento""),""Desenvolvimento"&amp;""",
    IF(
     REGEXMATCH($P15,""(?i)remada""),""Remada"",
     IF(REGEXMATCH($P15,""(?i)arranco""),""Arranco"",IF(REGEXMATCH($P15,""(?i)arremesso""),""Arremesso"",""""))
    )
   )
  )
 )
),
prs!$A$30:$D$36,
4,
FALSE
)
,"""")"),"")</f>
        <v/>
      </c>
      <c r="U15" s="46"/>
      <c r="V15" s="49"/>
      <c r="W15" s="43"/>
      <c r="X15" s="50"/>
      <c r="Y15" s="50"/>
      <c r="Z15" s="51"/>
      <c r="AA15" s="46" t="str">
        <f>IFERROR(__xludf.DUMMYFUNCTION("IFERROR(
$Z15/
VLOOKUP(
IF(
 REGEXMATCH($W15,""(?i)agachamento""),""Agachamento"",
 IF(
  REGEXMATCH($W15,""(?i)supino""),""Supino"",
  IF(
   REGEXMATCH($W15,""(?i)terra""),""Terra"",
   IF(
    REGEXMATCH($W15,""(?i)desenvolvimento""),""Desenvolvimento"&amp;""",
    IF(
     REGEXMATCH($W15,""(?i)remada""),""Remada"",
     IF(REGEXMATCH($W15,""(?i)arranco""),""Arranco"",IF(REGEXMATCH($W15,""(?i)arremesso""),""Arremesso"",""""))
    )
   )
  )
 )
),
prs!$A$30:$D$36,
4,
FALSE
)
,"""")"),"")</f>
        <v/>
      </c>
      <c r="AB15" s="46"/>
      <c r="AC15" s="42"/>
    </row>
    <row r="16" ht="15.75" customHeight="1">
      <c r="A16" s="29"/>
      <c r="B16" s="52"/>
      <c r="C16" s="31" t="s">
        <v>17</v>
      </c>
      <c r="H16" s="30"/>
      <c r="I16" s="52"/>
      <c r="J16" s="31" t="s">
        <v>23</v>
      </c>
      <c r="O16" s="30"/>
      <c r="P16" s="52"/>
      <c r="Q16" s="31" t="s">
        <v>24</v>
      </c>
      <c r="V16" s="30"/>
      <c r="W16" s="52"/>
      <c r="X16" s="31" t="s">
        <v>25</v>
      </c>
      <c r="AC16" s="30"/>
    </row>
    <row r="17" ht="15.75" customHeight="1">
      <c r="A17" s="48"/>
      <c r="B17" s="48"/>
      <c r="C17" s="48"/>
      <c r="D17" s="48"/>
      <c r="H17" s="48"/>
      <c r="I17" s="48"/>
      <c r="J17" s="48"/>
      <c r="K17" s="48"/>
      <c r="O17" s="48"/>
      <c r="P17" s="48"/>
      <c r="Q17" s="48"/>
      <c r="R17" s="48"/>
      <c r="V17" s="48"/>
      <c r="W17" s="48"/>
      <c r="X17" s="48"/>
      <c r="Y17" s="48"/>
      <c r="AC17" s="48"/>
    </row>
    <row r="18" ht="15.75" customHeight="1">
      <c r="A18" s="29" t="s">
        <v>22</v>
      </c>
      <c r="B18" s="23"/>
      <c r="C18" s="28"/>
      <c r="H18" s="30"/>
      <c r="I18" s="23"/>
      <c r="J18" s="4"/>
      <c r="O18" s="30"/>
      <c r="P18" s="23"/>
      <c r="Q18" s="28"/>
      <c r="V18" s="30"/>
      <c r="W18" s="23"/>
      <c r="X18" s="28"/>
      <c r="AC18" s="48"/>
    </row>
    <row r="19" ht="15.75" customHeight="1">
      <c r="A19" s="29"/>
      <c r="B19" s="52"/>
      <c r="C19" s="5" t="s">
        <v>13</v>
      </c>
      <c r="D19" s="5" t="s">
        <v>16</v>
      </c>
      <c r="E19" s="5" t="s">
        <v>15</v>
      </c>
      <c r="F19" s="5" t="s">
        <v>18</v>
      </c>
      <c r="G19" s="5" t="s">
        <v>11</v>
      </c>
      <c r="H19" s="30"/>
      <c r="I19" s="52"/>
      <c r="J19" s="5" t="s">
        <v>13</v>
      </c>
      <c r="K19" s="5" t="s">
        <v>16</v>
      </c>
      <c r="L19" s="5" t="s">
        <v>15</v>
      </c>
      <c r="M19" s="5" t="s">
        <v>18</v>
      </c>
      <c r="N19" s="5" t="s">
        <v>11</v>
      </c>
      <c r="O19" s="30"/>
      <c r="P19" s="52"/>
      <c r="Q19" s="5" t="s">
        <v>13</v>
      </c>
      <c r="R19" s="5" t="s">
        <v>16</v>
      </c>
      <c r="S19" s="5" t="s">
        <v>15</v>
      </c>
      <c r="T19" s="5" t="s">
        <v>18</v>
      </c>
      <c r="U19" s="5" t="s">
        <v>11</v>
      </c>
      <c r="V19" s="30"/>
      <c r="W19" s="52"/>
      <c r="X19" s="5" t="s">
        <v>13</v>
      </c>
      <c r="Y19" s="5" t="s">
        <v>16</v>
      </c>
      <c r="Z19" s="5" t="s">
        <v>15</v>
      </c>
      <c r="AA19" s="5" t="s">
        <v>18</v>
      </c>
      <c r="AB19" s="5" t="s">
        <v>11</v>
      </c>
      <c r="AC19" s="48"/>
    </row>
    <row r="20" ht="15.75" customHeight="1">
      <c r="A20" s="2"/>
      <c r="B20" s="2" t="s">
        <v>20</v>
      </c>
      <c r="C20" s="41"/>
      <c r="D20" s="5"/>
      <c r="E20" s="5"/>
      <c r="F20" s="5" t="s">
        <v>21</v>
      </c>
      <c r="G20" s="5"/>
      <c r="H20" s="30"/>
      <c r="I20" s="2" t="s">
        <v>20</v>
      </c>
      <c r="J20" s="41"/>
      <c r="K20" s="5"/>
      <c r="L20" s="5"/>
      <c r="M20" s="5" t="s">
        <v>21</v>
      </c>
      <c r="N20" s="5"/>
      <c r="O20" s="30"/>
      <c r="P20" s="2" t="s">
        <v>20</v>
      </c>
      <c r="Q20" s="41"/>
      <c r="R20" s="5"/>
      <c r="S20" s="5"/>
      <c r="T20" s="5" t="s">
        <v>21</v>
      </c>
      <c r="U20" s="5"/>
      <c r="V20" s="30"/>
      <c r="W20" s="2" t="s">
        <v>20</v>
      </c>
      <c r="X20" s="41"/>
      <c r="Y20" s="5"/>
      <c r="Z20" s="5"/>
      <c r="AA20" s="5" t="s">
        <v>21</v>
      </c>
      <c r="AB20" s="5"/>
      <c r="AC20" s="48"/>
    </row>
    <row r="21" ht="15.75" customHeight="1">
      <c r="A21" s="49"/>
      <c r="B21" s="53"/>
      <c r="C21" s="44"/>
      <c r="D21" s="44"/>
      <c r="E21" s="45"/>
      <c r="F21" s="46" t="str">
        <f>IFERROR(__xludf.DUMMYFUNCTION("IFERROR(
$E21/
VLOOKUP(
IF(
 REGEXMATCH($B21,""(?i)agachamento""),""Agachamento"",
 IF(
  REGEXMATCH($B21,""(?i)supino""),""Supino"",
  IF(
   REGEXMATCH($B21,""(?i)terra""),""Terra"",
   IF(
    REGEXMATCH($B21,""(?i)desenvolvimento""),""Desenvolvimento"&amp;""",
    IF(
     REGEXMATCH($B21,""(?i)remada""),""Remada"",
     IF(REGEXMATCH($B21,""(?i)arranco""),""Arranco"",IF(REGEXMATCH($B21,""(?i)arremesso""),""Arremesso"",""""))
    )
   )
  )
 )
),
prs!$A$30:$D$36,
4,
FALSE
)
,"""")"),"")</f>
        <v/>
      </c>
      <c r="G21" s="46"/>
      <c r="H21" s="48"/>
      <c r="I21" s="53"/>
      <c r="J21" s="44"/>
      <c r="K21" s="44"/>
      <c r="L21" s="45"/>
      <c r="M21" s="46" t="str">
        <f>IFERROR(__xludf.DUMMYFUNCTION("IFERROR(
$L21/
VLOOKUP(
IF(
 REGEXMATCH($I21,""(?i)agachamento""),""Agachamento"",
 IF(
  REGEXMATCH($I21,""(?i)supino""),""Supino"",
  IF(
   REGEXMATCH($I21,""(?i)terra""),""Terra"",
   IF(
    REGEXMATCH($I21,""(?i)desenvolvimento""),""Desenvolvimento"&amp;""",
    IF(
     REGEXMATCH($I21,""(?i)remada""),""Remada"",
     IF(REGEXMATCH($I21,""(?i)arranco""),""Arranco"",IF(REGEXMATCH($I21,""(?i)arremesso""),""Arremesso"",""""))
    )
   )
  )
 )
),
prs!$A$30:$D$36,
4,
FALSE
)
,"""")"),"")</f>
        <v/>
      </c>
      <c r="N21" s="46"/>
      <c r="O21" s="49"/>
      <c r="P21" s="53"/>
      <c r="Q21" s="44"/>
      <c r="R21" s="44"/>
      <c r="S21" s="45"/>
      <c r="T21" s="46" t="str">
        <f>IFERROR(__xludf.DUMMYFUNCTION("IFERROR(
$S21/
VLOOKUP(
IF(
 REGEXMATCH($P21,""(?i)agachamento""),""Agachamento"",
 IF(
  REGEXMATCH($P21,""(?i)supino""),""Supino"",
  IF(
   REGEXMATCH($P21,""(?i)terra""),""Terra"",
   IF(
    REGEXMATCH($P21,""(?i)desenvolvimento""),""Desenvolvimento"&amp;""",
    IF(
     REGEXMATCH($P21,""(?i)remada""),""Remada"",
     IF(REGEXMATCH($P21,""(?i)arranco""),""Arranco"",IF(REGEXMATCH($P21,""(?i)arremesso""),""Arremesso"",""""))
    )
   )
  )
 )
),
prs!$A$30:$D$36,
4,
FALSE
)
,"""")"),"")</f>
        <v/>
      </c>
      <c r="U21" s="46"/>
      <c r="V21" s="49"/>
      <c r="W21" s="53"/>
      <c r="X21" s="44"/>
      <c r="Y21" s="44"/>
      <c r="Z21" s="45"/>
      <c r="AA21" s="46" t="str">
        <f>IFERROR(__xludf.DUMMYFUNCTION("IFERROR(
$Z21/
VLOOKUP(
IF(
 REGEXMATCH($W21,""(?i)agachamento""),""Agachamento"",
 IF(
  REGEXMATCH($W21,""(?i)supino""),""Supino"",
  IF(
   REGEXMATCH($W21,""(?i)terra""),""Terra"",
   IF(
    REGEXMATCH($W21,""(?i)desenvolvimento""),""Desenvolvimento"&amp;""",
    IF(
     REGEXMATCH($W21,""(?i)remada""),""Remada"",
     IF(REGEXMATCH($W21,""(?i)arranco""),""Arranco"",IF(REGEXMATCH($W21,""(?i)arremesso""),""Arremesso"",""""))
    )
   )
  )
 )
),
prs!$A$30:$D$36,
4,
FALSE
)
,"""")"),"")</f>
        <v/>
      </c>
      <c r="AB21" s="46"/>
      <c r="AC21" s="49"/>
    </row>
    <row r="22" ht="15.75" customHeight="1">
      <c r="A22" s="49"/>
      <c r="B22" s="53"/>
      <c r="C22" s="44"/>
      <c r="D22" s="44"/>
      <c r="E22" s="45"/>
      <c r="F22" s="46" t="str">
        <f>IFERROR(__xludf.DUMMYFUNCTION("IFERROR(
$E22/
VLOOKUP(
IF(
 REGEXMATCH($B22,""(?i)agachamento""),""Agachamento"",
 IF(
  REGEXMATCH($B22,""(?i)supino""),""Supino"",
  IF(
   REGEXMATCH($B22,""(?i)terra""),""Terra"",
   IF(
    REGEXMATCH($B22,""(?i)desenvolvimento""),""Desenvolvimento"&amp;""",
    IF(
     REGEXMATCH($B22,""(?i)remada""),""Remada"",
     IF(REGEXMATCH($B22,""(?i)arranco""),""Arranco"",IF(REGEXMATCH($B22,""(?i)arremesso""),""Arremesso"",""""))
    )
   )
  )
 )
),
prs!$A$30:$D$36,
4,
FALSE
)
,"""")"),"")</f>
        <v/>
      </c>
      <c r="G22" s="46"/>
      <c r="H22" s="48"/>
      <c r="I22" s="53"/>
      <c r="J22" s="44"/>
      <c r="K22" s="44"/>
      <c r="L22" s="45"/>
      <c r="M22" s="46" t="str">
        <f>IFERROR(__xludf.DUMMYFUNCTION("IFERROR(
$L22/
VLOOKUP(
IF(
 REGEXMATCH($I22,""(?i)agachamento""),""Agachamento"",
 IF(
  REGEXMATCH($I22,""(?i)supino""),""Supino"",
  IF(
   REGEXMATCH($I22,""(?i)terra""),""Terra"",
   IF(
    REGEXMATCH($I22,""(?i)desenvolvimento""),""Desenvolvimento"&amp;""",
    IF(
     REGEXMATCH($I22,""(?i)remada""),""Remada"",
     IF(REGEXMATCH($I22,""(?i)arranco""),""Arranco"",IF(REGEXMATCH($I22,""(?i)arremesso""),""Arremesso"",""""))
    )
   )
  )
 )
),
prs!$A$30:$D$36,
4,
FALSE
)
,"""")"),"")</f>
        <v/>
      </c>
      <c r="N22" s="46"/>
      <c r="O22" s="49"/>
      <c r="P22" s="53"/>
      <c r="Q22" s="44"/>
      <c r="R22" s="44"/>
      <c r="S22" s="45"/>
      <c r="T22" s="46" t="str">
        <f>IFERROR(__xludf.DUMMYFUNCTION("IFERROR(
$S22/
VLOOKUP(
IF(
 REGEXMATCH($P22,""(?i)agachamento""),""Agachamento"",
 IF(
  REGEXMATCH($P22,""(?i)supino""),""Supino"",
  IF(
   REGEXMATCH($P22,""(?i)terra""),""Terra"",
   IF(
    REGEXMATCH($P22,""(?i)desenvolvimento""),""Desenvolvimento"&amp;""",
    IF(
     REGEXMATCH($P22,""(?i)remada""),""Remada"",
     IF(REGEXMATCH($P22,""(?i)arranco""),""Arranco"",IF(REGEXMATCH($P22,""(?i)arremesso""),""Arremesso"",""""))
    )
   )
  )
 )
),
prs!$A$30:$D$36,
4,
FALSE
)
,"""")"),"")</f>
        <v/>
      </c>
      <c r="U22" s="46"/>
      <c r="V22" s="49"/>
      <c r="W22" s="53"/>
      <c r="X22" s="44"/>
      <c r="Y22" s="44"/>
      <c r="Z22" s="45"/>
      <c r="AA22" s="46" t="str">
        <f>IFERROR(__xludf.DUMMYFUNCTION("IFERROR(
$Z22/
VLOOKUP(
IF(
 REGEXMATCH($W22,""(?i)agachamento""),""Agachamento"",
 IF(
  REGEXMATCH($W22,""(?i)supino""),""Supino"",
  IF(
   REGEXMATCH($W22,""(?i)terra""),""Terra"",
   IF(
    REGEXMATCH($W22,""(?i)desenvolvimento""),""Desenvolvimento"&amp;""",
    IF(
     REGEXMATCH($W22,""(?i)remada""),""Remada"",
     IF(REGEXMATCH($W22,""(?i)arranco""),""Arranco"",IF(REGEXMATCH($W22,""(?i)arremesso""),""Arremesso"",""""))
    )
   )
  )
 )
),
prs!$A$30:$D$36,
4,
FALSE
)
,"""")"),"")</f>
        <v/>
      </c>
      <c r="AB22" s="46"/>
      <c r="AC22" s="49"/>
    </row>
    <row r="23" ht="15.75" customHeight="1">
      <c r="A23" s="49"/>
      <c r="B23" s="53"/>
      <c r="C23" s="44"/>
      <c r="D23" s="44"/>
      <c r="E23" s="45"/>
      <c r="F23" s="46" t="str">
        <f>IFERROR(__xludf.DUMMYFUNCTION("IFERROR(
$E23/
VLOOKUP(
IF(
 REGEXMATCH($B23,""(?i)agachamento""),""Agachamento"",
 IF(
  REGEXMATCH($B23,""(?i)supino""),""Supino"",
  IF(
   REGEXMATCH($B23,""(?i)terra""),""Terra"",
   IF(
    REGEXMATCH($B23,""(?i)desenvolvimento""),""Desenvolvimento"&amp;""",
    IF(
     REGEXMATCH($B23,""(?i)remada""),""Remada"",
     IF(REGEXMATCH($B23,""(?i)arranco""),""Arranco"",IF(REGEXMATCH($B23,""(?i)arremesso""),""Arremesso"",""""))
    )
   )
  )
 )
),
prs!$A$30:$D$36,
4,
FALSE
)
,"""")"),"")</f>
        <v/>
      </c>
      <c r="G23" s="46"/>
      <c r="H23" s="48"/>
      <c r="I23" s="53"/>
      <c r="J23" s="44"/>
      <c r="K23" s="44"/>
      <c r="L23" s="45"/>
      <c r="M23" s="46" t="str">
        <f>IFERROR(__xludf.DUMMYFUNCTION("IFERROR(
$L23/
VLOOKUP(
IF(
 REGEXMATCH($I23,""(?i)agachamento""),""Agachamento"",
 IF(
  REGEXMATCH($I23,""(?i)supino""),""Supino"",
  IF(
   REGEXMATCH($I23,""(?i)terra""),""Terra"",
   IF(
    REGEXMATCH($I23,""(?i)desenvolvimento""),""Desenvolvimento"&amp;""",
    IF(
     REGEXMATCH($I23,""(?i)remada""),""Remada"",
     IF(REGEXMATCH($I23,""(?i)arranco""),""Arranco"",IF(REGEXMATCH($I23,""(?i)arremesso""),""Arremesso"",""""))
    )
   )
  )
 )
),
prs!$A$30:$D$36,
4,
FALSE
)
,"""")"),"")</f>
        <v/>
      </c>
      <c r="N23" s="46"/>
      <c r="O23" s="49"/>
      <c r="P23" s="53"/>
      <c r="Q23" s="44"/>
      <c r="R23" s="44"/>
      <c r="S23" s="45"/>
      <c r="T23" s="46" t="str">
        <f>IFERROR(__xludf.DUMMYFUNCTION("IFERROR(
$S23/
VLOOKUP(
IF(
 REGEXMATCH($P23,""(?i)agachamento""),""Agachamento"",
 IF(
  REGEXMATCH($P23,""(?i)supino""),""Supino"",
  IF(
   REGEXMATCH($P23,""(?i)terra""),""Terra"",
   IF(
    REGEXMATCH($P23,""(?i)desenvolvimento""),""Desenvolvimento"&amp;""",
    IF(
     REGEXMATCH($P23,""(?i)remada""),""Remada"",
     IF(REGEXMATCH($P23,""(?i)arranco""),""Arranco"",IF(REGEXMATCH($P23,""(?i)arremesso""),""Arremesso"",""""))
    )
   )
  )
 )
),
prs!$A$30:$D$36,
4,
FALSE
)
,"""")"),"")</f>
        <v/>
      </c>
      <c r="U23" s="46"/>
      <c r="V23" s="49"/>
      <c r="W23" s="53"/>
      <c r="X23" s="44"/>
      <c r="Y23" s="44"/>
      <c r="Z23" s="45"/>
      <c r="AA23" s="46" t="str">
        <f>IFERROR(__xludf.DUMMYFUNCTION("IFERROR(
$Z23/
VLOOKUP(
IF(
 REGEXMATCH($W23,""(?i)agachamento""),""Agachamento"",
 IF(
  REGEXMATCH($W23,""(?i)supino""),""Supino"",
  IF(
   REGEXMATCH($W23,""(?i)terra""),""Terra"",
   IF(
    REGEXMATCH($W23,""(?i)desenvolvimento""),""Desenvolvimento"&amp;""",
    IF(
     REGEXMATCH($W23,""(?i)remada""),""Remada"",
     IF(REGEXMATCH($W23,""(?i)arranco""),""Arranco"",IF(REGEXMATCH($W23,""(?i)arremesso""),""Arremesso"",""""))
    )
   )
  )
 )
),
prs!$A$30:$D$36,
4,
FALSE
)
,"""")"),"")</f>
        <v/>
      </c>
      <c r="AB23" s="46"/>
      <c r="AC23" s="49"/>
    </row>
    <row r="24" ht="15.75" customHeight="1">
      <c r="A24" s="49"/>
      <c r="B24" s="53"/>
      <c r="C24" s="50"/>
      <c r="D24" s="50"/>
      <c r="E24" s="51"/>
      <c r="F24" s="46" t="str">
        <f>IFERROR(__xludf.DUMMYFUNCTION("IFERROR(
$E24/
VLOOKUP(
IF(
 REGEXMATCH($B24,""(?i)agachamento""),""Agachamento"",
 IF(
  REGEXMATCH($B24,""(?i)supino""),""Supino"",
  IF(
   REGEXMATCH($B24,""(?i)terra""),""Terra"",
   IF(
    REGEXMATCH($B24,""(?i)desenvolvimento""),""Desenvolvimento"&amp;""",
    IF(
     REGEXMATCH($B24,""(?i)remada""),""Remada"",
     IF(REGEXMATCH($B24,""(?i)arranco""),""Arranco"",IF(REGEXMATCH($B24,""(?i)arremesso""),""Arremesso"",""""))
    )
   )
  )
 )
),
prs!$A$30:$D$36,
4,
FALSE
)
,"""")"),"")</f>
        <v/>
      </c>
      <c r="G24" s="46"/>
      <c r="H24" s="48"/>
      <c r="I24" s="53"/>
      <c r="J24" s="50"/>
      <c r="K24" s="50"/>
      <c r="L24" s="51"/>
      <c r="M24" s="46" t="str">
        <f>IFERROR(__xludf.DUMMYFUNCTION("IFERROR(
$L24/
VLOOKUP(
IF(
 REGEXMATCH($I24,""(?i)agachamento""),""Agachamento"",
 IF(
  REGEXMATCH($I24,""(?i)supino""),""Supino"",
  IF(
   REGEXMATCH($I24,""(?i)terra""),""Terra"",
   IF(
    REGEXMATCH($I24,""(?i)desenvolvimento""),""Desenvolvimento"&amp;""",
    IF(
     REGEXMATCH($I24,""(?i)remada""),""Remada"",
     IF(REGEXMATCH($I24,""(?i)arranco""),""Arranco"",IF(REGEXMATCH($I24,""(?i)arremesso""),""Arremesso"",""""))
    )
   )
  )
 )
),
prs!$A$30:$D$36,
4,
FALSE
)
,"""")"),"")</f>
        <v/>
      </c>
      <c r="N24" s="46"/>
      <c r="O24" s="49"/>
      <c r="P24" s="53"/>
      <c r="Q24" s="50"/>
      <c r="R24" s="50"/>
      <c r="S24" s="51"/>
      <c r="T24" s="46" t="str">
        <f>IFERROR(__xludf.DUMMYFUNCTION("IFERROR(
$S24/
VLOOKUP(
IF(
 REGEXMATCH($P24,""(?i)agachamento""),""Agachamento"",
 IF(
  REGEXMATCH($P24,""(?i)supino""),""Supino"",
  IF(
   REGEXMATCH($P24,""(?i)terra""),""Terra"",
   IF(
    REGEXMATCH($P24,""(?i)desenvolvimento""),""Desenvolvimento"&amp;""",
    IF(
     REGEXMATCH($P24,""(?i)remada""),""Remada"",
     IF(REGEXMATCH($P24,""(?i)arranco""),""Arranco"",IF(REGEXMATCH($P24,""(?i)arremesso""),""Arremesso"",""""))
    )
   )
  )
 )
),
prs!$A$30:$D$36,
4,
FALSE
)
,"""")"),"")</f>
        <v/>
      </c>
      <c r="U24" s="46"/>
      <c r="V24" s="49"/>
      <c r="W24" s="53"/>
      <c r="X24" s="50"/>
      <c r="Y24" s="50"/>
      <c r="Z24" s="51"/>
      <c r="AA24" s="46" t="str">
        <f>IFERROR(__xludf.DUMMYFUNCTION("IFERROR(
$Z24/
VLOOKUP(
IF(
 REGEXMATCH($W24,""(?i)agachamento""),""Agachamento"",
 IF(
  REGEXMATCH($W24,""(?i)supino""),""Supino"",
  IF(
   REGEXMATCH($W24,""(?i)terra""),""Terra"",
   IF(
    REGEXMATCH($W24,""(?i)desenvolvimento""),""Desenvolvimento"&amp;""",
    IF(
     REGEXMATCH($W24,""(?i)remada""),""Remada"",
     IF(REGEXMATCH($W24,""(?i)arranco""),""Arranco"",IF(REGEXMATCH($W24,""(?i)arremesso""),""Arremesso"",""""))
    )
   )
  )
 )
),
prs!$A$30:$D$36,
4,
FALSE
)
,"""")"),"")</f>
        <v/>
      </c>
      <c r="AB24" s="46"/>
      <c r="AC24" s="49"/>
    </row>
    <row r="25" ht="15.75" customHeight="1">
      <c r="A25" s="49"/>
      <c r="B25" s="53"/>
      <c r="C25" s="50"/>
      <c r="D25" s="50"/>
      <c r="E25" s="51"/>
      <c r="F25" s="46" t="str">
        <f>IFERROR(__xludf.DUMMYFUNCTION("IFERROR(
$E25/
VLOOKUP(
IF(
 REGEXMATCH($B25,""(?i)agachamento""),""Agachamento"",
 IF(
  REGEXMATCH($B25,""(?i)supino""),""Supino"",
  IF(
   REGEXMATCH($B25,""(?i)terra""),""Terra"",
   IF(
    REGEXMATCH($B25,""(?i)desenvolvimento""),""Desenvolvimento"&amp;""",
    IF(
     REGEXMATCH($B25,""(?i)remada""),""Remada"",
     IF(REGEXMATCH($B25,""(?i)arranco""),""Arranco"",IF(REGEXMATCH($B25,""(?i)arremesso""),""Arremesso"",""""))
    )
   )
  )
 )
),
prs!$A$30:$D$36,
4,
FALSE
)
,"""")"),"")</f>
        <v/>
      </c>
      <c r="G25" s="46"/>
      <c r="H25" s="48"/>
      <c r="I25" s="53"/>
      <c r="J25" s="50"/>
      <c r="K25" s="50"/>
      <c r="L25" s="51"/>
      <c r="M25" s="46" t="str">
        <f>IFERROR(__xludf.DUMMYFUNCTION("IFERROR(
$L25/
VLOOKUP(
IF(
 REGEXMATCH($I25,""(?i)agachamento""),""Agachamento"",
 IF(
  REGEXMATCH($I25,""(?i)supino""),""Supino"",
  IF(
   REGEXMATCH($I25,""(?i)terra""),""Terra"",
   IF(
    REGEXMATCH($I25,""(?i)desenvolvimento""),""Desenvolvimento"&amp;""",
    IF(
     REGEXMATCH($I25,""(?i)remada""),""Remada"",
     IF(REGEXMATCH($I25,""(?i)arranco""),""Arranco"",IF(REGEXMATCH($I25,""(?i)arremesso""),""Arremesso"",""""))
    )
   )
  )
 )
),
prs!$A$30:$D$36,
4,
FALSE
)
,"""")"),"")</f>
        <v/>
      </c>
      <c r="N25" s="46"/>
      <c r="O25" s="49"/>
      <c r="P25" s="53"/>
      <c r="Q25" s="50"/>
      <c r="R25" s="50"/>
      <c r="S25" s="51"/>
      <c r="T25" s="46" t="str">
        <f>IFERROR(__xludf.DUMMYFUNCTION("IFERROR(
$S25/
VLOOKUP(
IF(
 REGEXMATCH($P25,""(?i)agachamento""),""Agachamento"",
 IF(
  REGEXMATCH($P25,""(?i)supino""),""Supino"",
  IF(
   REGEXMATCH($P25,""(?i)terra""),""Terra"",
   IF(
    REGEXMATCH($P25,""(?i)desenvolvimento""),""Desenvolvimento"&amp;""",
    IF(
     REGEXMATCH($P25,""(?i)remada""),""Remada"",
     IF(REGEXMATCH($P25,""(?i)arranco""),""Arranco"",IF(REGEXMATCH($P25,""(?i)arremesso""),""Arremesso"",""""))
    )
   )
  )
 )
),
prs!$A$30:$D$36,
4,
FALSE
)
,"""")"),"")</f>
        <v/>
      </c>
      <c r="U25" s="46"/>
      <c r="V25" s="49"/>
      <c r="W25" s="53"/>
      <c r="X25" s="50"/>
      <c r="Y25" s="50"/>
      <c r="Z25" s="51"/>
      <c r="AA25" s="46" t="str">
        <f>IFERROR(__xludf.DUMMYFUNCTION("IFERROR(
$Z25/
VLOOKUP(
IF(
 REGEXMATCH($W25,""(?i)agachamento""),""Agachamento"",
 IF(
  REGEXMATCH($W25,""(?i)supino""),""Supino"",
  IF(
   REGEXMATCH($W25,""(?i)terra""),""Terra"",
   IF(
    REGEXMATCH($W25,""(?i)desenvolvimento""),""Desenvolvimento"&amp;""",
    IF(
     REGEXMATCH($W25,""(?i)remada""),""Remada"",
     IF(REGEXMATCH($W25,""(?i)arranco""),""Arranco"",IF(REGEXMATCH($W25,""(?i)arremesso""),""Arremesso"",""""))
    )
   )
  )
 )
),
prs!$A$30:$D$36,
4,
FALSE
)
,"""")"),"")</f>
        <v/>
      </c>
      <c r="AB25" s="46"/>
      <c r="AC25" s="49"/>
    </row>
    <row r="26" ht="15.75" customHeight="1">
      <c r="A26" s="49"/>
      <c r="B26" s="53"/>
      <c r="C26" s="50"/>
      <c r="D26" s="50"/>
      <c r="E26" s="51"/>
      <c r="F26" s="46" t="str">
        <f>IFERROR(__xludf.DUMMYFUNCTION("IFERROR(
$E26/
VLOOKUP(
IF(
 REGEXMATCH($B26,""(?i)agachamento""),""Agachamento"",
 IF(
  REGEXMATCH($B26,""(?i)supino""),""Supino"",
  IF(
   REGEXMATCH($B26,""(?i)terra""),""Terra"",
   IF(
    REGEXMATCH($B26,""(?i)desenvolvimento""),""Desenvolvimento"&amp;""",
    IF(
     REGEXMATCH($B26,""(?i)remada""),""Remada"",
     IF(REGEXMATCH($B26,""(?i)arranco""),""Arranco"",IF(REGEXMATCH($B26,""(?i)arremesso""),""Arremesso"",""""))
    )
   )
  )
 )
),
prs!$A$30:$D$36,
4,
FALSE
)
,"""")"),"")</f>
        <v/>
      </c>
      <c r="G26" s="46"/>
      <c r="H26" s="48"/>
      <c r="I26" s="53"/>
      <c r="J26" s="50"/>
      <c r="K26" s="50"/>
      <c r="L26" s="51"/>
      <c r="M26" s="46" t="str">
        <f>IFERROR(__xludf.DUMMYFUNCTION("IFERROR(
$L26/
VLOOKUP(
IF(
 REGEXMATCH($I26,""(?i)agachamento""),""Agachamento"",
 IF(
  REGEXMATCH($I26,""(?i)supino""),""Supino"",
  IF(
   REGEXMATCH($I26,""(?i)terra""),""Terra"",
   IF(
    REGEXMATCH($I26,""(?i)desenvolvimento""),""Desenvolvimento"&amp;""",
    IF(
     REGEXMATCH($I26,""(?i)remada""),""Remada"",
     IF(REGEXMATCH($I26,""(?i)arranco""),""Arranco"",IF(REGEXMATCH($I26,""(?i)arremesso""),""Arremesso"",""""))
    )
   )
  )
 )
),
prs!$A$30:$D$36,
4,
FALSE
)
,"""")"),"")</f>
        <v/>
      </c>
      <c r="N26" s="46"/>
      <c r="O26" s="49"/>
      <c r="P26" s="53"/>
      <c r="Q26" s="50"/>
      <c r="R26" s="50"/>
      <c r="S26" s="51"/>
      <c r="T26" s="46" t="str">
        <f>IFERROR(__xludf.DUMMYFUNCTION("IFERROR(
$S26/
VLOOKUP(
IF(
 REGEXMATCH($P26,""(?i)agachamento""),""Agachamento"",
 IF(
  REGEXMATCH($P26,""(?i)supino""),""Supino"",
  IF(
   REGEXMATCH($P26,""(?i)terra""),""Terra"",
   IF(
    REGEXMATCH($P26,""(?i)desenvolvimento""),""Desenvolvimento"&amp;""",
    IF(
     REGEXMATCH($P26,""(?i)remada""),""Remada"",
     IF(REGEXMATCH($P26,""(?i)arranco""),""Arranco"",IF(REGEXMATCH($P26,""(?i)arremesso""),""Arremesso"",""""))
    )
   )
  )
 )
),
prs!$A$30:$D$36,
4,
FALSE
)
,"""")"),"")</f>
        <v/>
      </c>
      <c r="U26" s="46"/>
      <c r="V26" s="49"/>
      <c r="W26" s="53"/>
      <c r="X26" s="50"/>
      <c r="Y26" s="50"/>
      <c r="Z26" s="51"/>
      <c r="AA26" s="46" t="str">
        <f>IFERROR(__xludf.DUMMYFUNCTION("IFERROR(
$Z26/
VLOOKUP(
IF(
 REGEXMATCH($W26,""(?i)agachamento""),""Agachamento"",
 IF(
  REGEXMATCH($W26,""(?i)supino""),""Supino"",
  IF(
   REGEXMATCH($W26,""(?i)terra""),""Terra"",
   IF(
    REGEXMATCH($W26,""(?i)desenvolvimento""),""Desenvolvimento"&amp;""",
    IF(
     REGEXMATCH($W26,""(?i)remada""),""Remada"",
     IF(REGEXMATCH($W26,""(?i)arranco""),""Arranco"",IF(REGEXMATCH($W26,""(?i)arremesso""),""Arremesso"",""""))
    )
   )
  )
 )
),
prs!$A$30:$D$36,
4,
FALSE
)
,"""")"),"")</f>
        <v/>
      </c>
      <c r="AB26" s="46"/>
      <c r="AC26" s="49"/>
    </row>
    <row r="27" ht="15.75" customHeight="1">
      <c r="A27" s="49"/>
      <c r="B27" s="53"/>
      <c r="C27" s="50"/>
      <c r="D27" s="50"/>
      <c r="E27" s="51"/>
      <c r="F27" s="46" t="str">
        <f>IFERROR(__xludf.DUMMYFUNCTION("IFERROR(
$E27/
VLOOKUP(
IF(
 REGEXMATCH($B27,""(?i)agachamento""),""Agachamento"",
 IF(
  REGEXMATCH($B27,""(?i)supino""),""Supino"",
  IF(
   REGEXMATCH($B27,""(?i)terra""),""Terra"",
   IF(
    REGEXMATCH($B27,""(?i)desenvolvimento""),""Desenvolvimento"&amp;""",
    IF(
     REGEXMATCH($B27,""(?i)remada""),""Remada"",
     IF(REGEXMATCH($B27,""(?i)arranco""),""Arranco"",IF(REGEXMATCH($B27,""(?i)arremesso""),""Arremesso"",""""))
    )
   )
  )
 )
),
prs!$A$30:$D$36,
4,
FALSE
)
,"""")"),"")</f>
        <v/>
      </c>
      <c r="G27" s="46"/>
      <c r="H27" s="48"/>
      <c r="I27" s="53"/>
      <c r="J27" s="50"/>
      <c r="K27" s="50"/>
      <c r="L27" s="51"/>
      <c r="M27" s="46" t="str">
        <f>IFERROR(__xludf.DUMMYFUNCTION("IFERROR(
$L27/
VLOOKUP(
IF(
 REGEXMATCH($I27,""(?i)agachamento""),""Agachamento"",
 IF(
  REGEXMATCH($I27,""(?i)supino""),""Supino"",
  IF(
   REGEXMATCH($I27,""(?i)terra""),""Terra"",
   IF(
    REGEXMATCH($I27,""(?i)desenvolvimento""),""Desenvolvimento"&amp;""",
    IF(
     REGEXMATCH($I27,""(?i)remada""),""Remada"",
     IF(REGEXMATCH($I27,""(?i)arranco""),""Arranco"",IF(REGEXMATCH($I27,""(?i)arremesso""),""Arremesso"",""""))
    )
   )
  )
 )
),
prs!$A$30:$D$36,
4,
FALSE
)
,"""")"),"")</f>
        <v/>
      </c>
      <c r="N27" s="46"/>
      <c r="O27" s="49"/>
      <c r="P27" s="53"/>
      <c r="Q27" s="50"/>
      <c r="R27" s="50"/>
      <c r="S27" s="51"/>
      <c r="T27" s="46" t="str">
        <f>IFERROR(__xludf.DUMMYFUNCTION("IFERROR(
$S27/
VLOOKUP(
IF(
 REGEXMATCH($P27,""(?i)agachamento""),""Agachamento"",
 IF(
  REGEXMATCH($P27,""(?i)supino""),""Supino"",
  IF(
   REGEXMATCH($P27,""(?i)terra""),""Terra"",
   IF(
    REGEXMATCH($P27,""(?i)desenvolvimento""),""Desenvolvimento"&amp;""",
    IF(
     REGEXMATCH($P27,""(?i)remada""),""Remada"",
     IF(REGEXMATCH($P27,""(?i)arranco""),""Arranco"",IF(REGEXMATCH($P27,""(?i)arremesso""),""Arremesso"",""""))
    )
   )
  )
 )
),
prs!$A$30:$D$36,
4,
FALSE
)
,"""")"),"")</f>
        <v/>
      </c>
      <c r="U27" s="46"/>
      <c r="V27" s="49"/>
      <c r="W27" s="53"/>
      <c r="X27" s="50"/>
      <c r="Y27" s="50"/>
      <c r="Z27" s="51"/>
      <c r="AA27" s="46" t="str">
        <f>IFERROR(__xludf.DUMMYFUNCTION("IFERROR(
$Z27/
VLOOKUP(
IF(
 REGEXMATCH($W27,""(?i)agachamento""),""Agachamento"",
 IF(
  REGEXMATCH($W27,""(?i)supino""),""Supino"",
  IF(
   REGEXMATCH($W27,""(?i)terra""),""Terra"",
   IF(
    REGEXMATCH($W27,""(?i)desenvolvimento""),""Desenvolvimento"&amp;""",
    IF(
     REGEXMATCH($W27,""(?i)remada""),""Remada"",
     IF(REGEXMATCH($W27,""(?i)arranco""),""Arranco"",IF(REGEXMATCH($W27,""(?i)arremesso""),""Arremesso"",""""))
    )
   )
  )
 )
),
prs!$A$30:$D$36,
4,
FALSE
)
,"""")"),"")</f>
        <v/>
      </c>
      <c r="AB27" s="46"/>
      <c r="AC27" s="49"/>
    </row>
    <row r="28" ht="15.75" customHeight="1">
      <c r="A28" s="49"/>
      <c r="B28" s="53"/>
      <c r="C28" s="50"/>
      <c r="D28" s="50"/>
      <c r="E28" s="51"/>
      <c r="F28" s="46" t="str">
        <f>IFERROR(__xludf.DUMMYFUNCTION("IFERROR(
$E28/
VLOOKUP(
IF(
 REGEXMATCH($B28,""(?i)agachamento""),""Agachamento"",
 IF(
  REGEXMATCH($B28,""(?i)supino""),""Supino"",
  IF(
   REGEXMATCH($B28,""(?i)terra""),""Terra"",
   IF(
    REGEXMATCH($B28,""(?i)desenvolvimento""),""Desenvolvimento"&amp;""",
    IF(
     REGEXMATCH($B28,""(?i)remada""),""Remada"",
     IF(REGEXMATCH($B28,""(?i)arranco""),""Arranco"",IF(REGEXMATCH($B28,""(?i)arremesso""),""Arremesso"",""""))
    )
   )
  )
 )
),
prs!$A$30:$D$36,
4,
FALSE
)
,"""")"),"")</f>
        <v/>
      </c>
      <c r="G28" s="46"/>
      <c r="H28" s="48"/>
      <c r="I28" s="53"/>
      <c r="J28" s="50"/>
      <c r="K28" s="50"/>
      <c r="L28" s="51"/>
      <c r="M28" s="46" t="str">
        <f>IFERROR(__xludf.DUMMYFUNCTION("IFERROR(
$L28/
VLOOKUP(
IF(
 REGEXMATCH($I28,""(?i)agachamento""),""Agachamento"",
 IF(
  REGEXMATCH($I28,""(?i)supino""),""Supino"",
  IF(
   REGEXMATCH($I28,""(?i)terra""),""Terra"",
   IF(
    REGEXMATCH($I28,""(?i)desenvolvimento""),""Desenvolvimento"&amp;""",
    IF(
     REGEXMATCH($I28,""(?i)remada""),""Remada"",
     IF(REGEXMATCH($I28,""(?i)arranco""),""Arranco"",IF(REGEXMATCH($I28,""(?i)arremesso""),""Arremesso"",""""))
    )
   )
  )
 )
),
prs!$A$30:$D$36,
4,
FALSE
)
,"""")"),"")</f>
        <v/>
      </c>
      <c r="N28" s="46"/>
      <c r="O28" s="49"/>
      <c r="P28" s="53"/>
      <c r="Q28" s="50"/>
      <c r="R28" s="50"/>
      <c r="S28" s="51"/>
      <c r="T28" s="46" t="str">
        <f>IFERROR(__xludf.DUMMYFUNCTION("IFERROR(
$S28/
VLOOKUP(
IF(
 REGEXMATCH($P28,""(?i)agachamento""),""Agachamento"",
 IF(
  REGEXMATCH($P28,""(?i)supino""),""Supino"",
  IF(
   REGEXMATCH($P28,""(?i)terra""),""Terra"",
   IF(
    REGEXMATCH($P28,""(?i)desenvolvimento""),""Desenvolvimento"&amp;""",
    IF(
     REGEXMATCH($P28,""(?i)remada""),""Remada"",
     IF(REGEXMATCH($P28,""(?i)arranco""),""Arranco"",IF(REGEXMATCH($P28,""(?i)arremesso""),""Arremesso"",""""))
    )
   )
  )
 )
),
prs!$A$30:$D$36,
4,
FALSE
)
,"""")"),"")</f>
        <v/>
      </c>
      <c r="U28" s="46"/>
      <c r="V28" s="49"/>
      <c r="W28" s="53"/>
      <c r="X28" s="50"/>
      <c r="Y28" s="50"/>
      <c r="Z28" s="51"/>
      <c r="AA28" s="46" t="str">
        <f>IFERROR(__xludf.DUMMYFUNCTION("IFERROR(
$Z28/
VLOOKUP(
IF(
 REGEXMATCH($W28,""(?i)agachamento""),""Agachamento"",
 IF(
  REGEXMATCH($W28,""(?i)supino""),""Supino"",
  IF(
   REGEXMATCH($W28,""(?i)terra""),""Terra"",
   IF(
    REGEXMATCH($W28,""(?i)desenvolvimento""),""Desenvolvimento"&amp;""",
    IF(
     REGEXMATCH($W28,""(?i)remada""),""Remada"",
     IF(REGEXMATCH($W28,""(?i)arranco""),""Arranco"",IF(REGEXMATCH($W28,""(?i)arremesso""),""Arremesso"",""""))
    )
   )
  )
 )
),
prs!$A$30:$D$36,
4,
FALSE
)
,"""")"),"")</f>
        <v/>
      </c>
      <c r="AB28" s="46"/>
      <c r="AC28" s="49"/>
    </row>
    <row r="29" ht="15.75" customHeight="1">
      <c r="A29" s="49"/>
      <c r="B29" s="53"/>
      <c r="C29" s="50"/>
      <c r="D29" s="50"/>
      <c r="E29" s="51"/>
      <c r="F29" s="46" t="str">
        <f>IFERROR(__xludf.DUMMYFUNCTION("IFERROR(
$E29/
VLOOKUP(
IF(
 REGEXMATCH($B29,""(?i)agachamento""),""Agachamento"",
 IF(
  REGEXMATCH($B29,""(?i)supino""),""Supino"",
  IF(
   REGEXMATCH($B29,""(?i)terra""),""Terra"",
   IF(
    REGEXMATCH($B29,""(?i)desenvolvimento""),""Desenvolvimento"&amp;""",
    IF(
     REGEXMATCH($B29,""(?i)remada""),""Remada"",
     IF(REGEXMATCH($B29,""(?i)arranco""),""Arranco"",IF(REGEXMATCH($B29,""(?i)arremesso""),""Arremesso"",""""))
    )
   )
  )
 )
),
prs!$A$30:$D$36,
4,
FALSE
)
,"""")"),"")</f>
        <v/>
      </c>
      <c r="G29" s="46"/>
      <c r="H29" s="48"/>
      <c r="I29" s="53"/>
      <c r="J29" s="50"/>
      <c r="K29" s="50"/>
      <c r="L29" s="51"/>
      <c r="M29" s="46" t="str">
        <f>IFERROR(__xludf.DUMMYFUNCTION("IFERROR(
$L29/
VLOOKUP(
IF(
 REGEXMATCH($I29,""(?i)agachamento""),""Agachamento"",
 IF(
  REGEXMATCH($I29,""(?i)supino""),""Supino"",
  IF(
   REGEXMATCH($I29,""(?i)terra""),""Terra"",
   IF(
    REGEXMATCH($I29,""(?i)desenvolvimento""),""Desenvolvimento"&amp;""",
    IF(
     REGEXMATCH($I29,""(?i)remada""),""Remada"",
     IF(REGEXMATCH($I29,""(?i)arranco""),""Arranco"",IF(REGEXMATCH($I29,""(?i)arremesso""),""Arremesso"",""""))
    )
   )
  )
 )
),
prs!$A$30:$D$36,
4,
FALSE
)
,"""")"),"")</f>
        <v/>
      </c>
      <c r="N29" s="46"/>
      <c r="O29" s="49"/>
      <c r="P29" s="53"/>
      <c r="Q29" s="50"/>
      <c r="R29" s="50"/>
      <c r="S29" s="51"/>
      <c r="T29" s="46" t="str">
        <f>IFERROR(__xludf.DUMMYFUNCTION("IFERROR(
$S29/
VLOOKUP(
IF(
 REGEXMATCH($P29,""(?i)agachamento""),""Agachamento"",
 IF(
  REGEXMATCH($P29,""(?i)supino""),""Supino"",
  IF(
   REGEXMATCH($P29,""(?i)terra""),""Terra"",
   IF(
    REGEXMATCH($P29,""(?i)desenvolvimento""),""Desenvolvimento"&amp;""",
    IF(
     REGEXMATCH($P29,""(?i)remada""),""Remada"",
     IF(REGEXMATCH($P29,""(?i)arranco""),""Arranco"",IF(REGEXMATCH($P29,""(?i)arremesso""),""Arremesso"",""""))
    )
   )
  )
 )
),
prs!$A$30:$D$36,
4,
FALSE
)
,"""")"),"")</f>
        <v/>
      </c>
      <c r="U29" s="46"/>
      <c r="V29" s="49"/>
      <c r="W29" s="53"/>
      <c r="X29" s="50"/>
      <c r="Y29" s="50"/>
      <c r="Z29" s="51"/>
      <c r="AA29" s="46" t="str">
        <f>IFERROR(__xludf.DUMMYFUNCTION("IFERROR(
$Z29/
VLOOKUP(
IF(
 REGEXMATCH($W29,""(?i)agachamento""),""Agachamento"",
 IF(
  REGEXMATCH($W29,""(?i)supino""),""Supino"",
  IF(
   REGEXMATCH($W29,""(?i)terra""),""Terra"",
   IF(
    REGEXMATCH($W29,""(?i)desenvolvimento""),""Desenvolvimento"&amp;""",
    IF(
     REGEXMATCH($W29,""(?i)remada""),""Remada"",
     IF(REGEXMATCH($W29,""(?i)arranco""),""Arranco"",IF(REGEXMATCH($W29,""(?i)arremesso""),""Arremesso"",""""))
    )
   )
  )
 )
),
prs!$A$30:$D$36,
4,
FALSE
)
,"""")"),"")</f>
        <v/>
      </c>
      <c r="AB29" s="46"/>
      <c r="AC29" s="49"/>
    </row>
    <row r="30" ht="15.75" customHeight="1">
      <c r="A30" s="49"/>
      <c r="B30" s="53"/>
      <c r="C30" s="50"/>
      <c r="D30" s="50"/>
      <c r="E30" s="51"/>
      <c r="F30" s="46" t="str">
        <f>IFERROR(__xludf.DUMMYFUNCTION("IFERROR(
$E30/
VLOOKUP(
IF(
 REGEXMATCH($B30,""(?i)agachamento""),""Agachamento"",
 IF(
  REGEXMATCH($B30,""(?i)supino""),""Supino"",
  IF(
   REGEXMATCH($B30,""(?i)terra""),""Terra"",
   IF(
    REGEXMATCH($B30,""(?i)desenvolvimento""),""Desenvolvimento"&amp;""",
    IF(
     REGEXMATCH($B30,""(?i)remada""),""Remada"",
     IF(REGEXMATCH($B30,""(?i)arranco""),""Arranco"",IF(REGEXMATCH($B30,""(?i)arremesso""),""Arremesso"",""""))
    )
   )
  )
 )
),
prs!$A$30:$D$36,
4,
FALSE
)
,"""")"),"")</f>
        <v/>
      </c>
      <c r="G30" s="46"/>
      <c r="H30" s="48"/>
      <c r="I30" s="53"/>
      <c r="J30" s="50"/>
      <c r="K30" s="50"/>
      <c r="L30" s="51"/>
      <c r="M30" s="46" t="str">
        <f>IFERROR(__xludf.DUMMYFUNCTION("IFERROR(
$L30/
VLOOKUP(
IF(
 REGEXMATCH($I30,""(?i)agachamento""),""Agachamento"",
 IF(
  REGEXMATCH($I30,""(?i)supino""),""Supino"",
  IF(
   REGEXMATCH($I30,""(?i)terra""),""Terra"",
   IF(
    REGEXMATCH($I30,""(?i)desenvolvimento""),""Desenvolvimento"&amp;""",
    IF(
     REGEXMATCH($I30,""(?i)remada""),""Remada"",
     IF(REGEXMATCH($I30,""(?i)arranco""),""Arranco"",IF(REGEXMATCH($I30,""(?i)arremesso""),""Arremesso"",""""))
    )
   )
  )
 )
),
prs!$A$30:$D$36,
4,
FALSE
)
,"""")"),"")</f>
        <v/>
      </c>
      <c r="N30" s="46"/>
      <c r="O30" s="49"/>
      <c r="P30" s="53"/>
      <c r="Q30" s="50"/>
      <c r="R30" s="50"/>
      <c r="S30" s="51"/>
      <c r="T30" s="46" t="str">
        <f>IFERROR(__xludf.DUMMYFUNCTION("IFERROR(
$S30/
VLOOKUP(
IF(
 REGEXMATCH($P30,""(?i)agachamento""),""Agachamento"",
 IF(
  REGEXMATCH($P30,""(?i)supino""),""Supino"",
  IF(
   REGEXMATCH($P30,""(?i)terra""),""Terra"",
   IF(
    REGEXMATCH($P30,""(?i)desenvolvimento""),""Desenvolvimento"&amp;""",
    IF(
     REGEXMATCH($P30,""(?i)remada""),""Remada"",
     IF(REGEXMATCH($P30,""(?i)arranco""),""Arranco"",IF(REGEXMATCH($P30,""(?i)arremesso""),""Arremesso"",""""))
    )
   )
  )
 )
),
prs!$A$30:$D$36,
4,
FALSE
)
,"""")"),"")</f>
        <v/>
      </c>
      <c r="U30" s="46"/>
      <c r="V30" s="49"/>
      <c r="W30" s="53"/>
      <c r="X30" s="50"/>
      <c r="Y30" s="50"/>
      <c r="Z30" s="51"/>
      <c r="AA30" s="46" t="str">
        <f>IFERROR(__xludf.DUMMYFUNCTION("IFERROR(
$Z30/
VLOOKUP(
IF(
 REGEXMATCH($W30,""(?i)agachamento""),""Agachamento"",
 IF(
  REGEXMATCH($W30,""(?i)supino""),""Supino"",
  IF(
   REGEXMATCH($W30,""(?i)terra""),""Terra"",
   IF(
    REGEXMATCH($W30,""(?i)desenvolvimento""),""Desenvolvimento"&amp;""",
    IF(
     REGEXMATCH($W30,""(?i)remada""),""Remada"",
     IF(REGEXMATCH($W30,""(?i)arranco""),""Arranco"",IF(REGEXMATCH($W30,""(?i)arremesso""),""Arremesso"",""""))
    )
   )
  )
 )
),
prs!$A$30:$D$36,
4,
FALSE
)
,"""")"),"")</f>
        <v/>
      </c>
      <c r="AB30" s="46"/>
      <c r="AC30" s="49"/>
    </row>
    <row r="31" ht="15.75" customHeight="1">
      <c r="A31" s="52"/>
      <c r="B31" s="52"/>
      <c r="C31" s="31" t="s">
        <v>17</v>
      </c>
      <c r="H31" s="30"/>
      <c r="I31" s="52"/>
      <c r="J31" s="31" t="s">
        <v>23</v>
      </c>
      <c r="O31" s="30"/>
      <c r="P31" s="52"/>
      <c r="Q31" s="31" t="s">
        <v>24</v>
      </c>
      <c r="V31" s="30"/>
      <c r="W31" s="52"/>
      <c r="X31" s="31" t="s">
        <v>25</v>
      </c>
      <c r="AC31" s="48"/>
    </row>
    <row r="32" ht="15.75" customHeight="1">
      <c r="A32" s="16"/>
      <c r="B32" s="54"/>
      <c r="C32" s="16"/>
      <c r="D32" s="16"/>
      <c r="H32" s="16"/>
      <c r="I32" s="54"/>
      <c r="J32" s="16"/>
      <c r="K32" s="16"/>
      <c r="O32" s="16"/>
      <c r="P32" s="54"/>
      <c r="Q32" s="16"/>
      <c r="R32" s="16"/>
      <c r="V32" s="16"/>
      <c r="W32" s="54"/>
      <c r="X32" s="16"/>
      <c r="Y32" s="16"/>
      <c r="AC32" s="16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</row>
    <row r="221" ht="15.75" customHeight="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</row>
    <row r="222" ht="15.75" customHeight="1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</row>
    <row r="223" ht="15.75" customHeight="1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</row>
    <row r="224" ht="15.75" customHeight="1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</row>
    <row r="225" ht="15.75" customHeight="1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</row>
    <row r="226" ht="15.75" customHeight="1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</row>
    <row r="227" ht="15.75" customHeight="1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</row>
    <row r="228" ht="15.75" customHeight="1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</row>
    <row r="229" ht="15.75" customHeight="1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</row>
    <row r="230" ht="15.75" customHeight="1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</row>
    <row r="231" ht="15.75" customHeight="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8">
    <mergeCell ref="D2:G2"/>
    <mergeCell ref="K2:N2"/>
    <mergeCell ref="R2:U2"/>
    <mergeCell ref="Y2:AB2"/>
    <mergeCell ref="J3:N3"/>
    <mergeCell ref="Q3:U3"/>
    <mergeCell ref="X3:AB3"/>
    <mergeCell ref="X16:AB16"/>
    <mergeCell ref="Y17:AB17"/>
    <mergeCell ref="X18:AB18"/>
    <mergeCell ref="X31:AB31"/>
    <mergeCell ref="Y32:AB32"/>
    <mergeCell ref="K17:N17"/>
    <mergeCell ref="J18:N18"/>
    <mergeCell ref="C31:G31"/>
    <mergeCell ref="J31:N31"/>
    <mergeCell ref="Q31:U31"/>
    <mergeCell ref="D32:G32"/>
    <mergeCell ref="K32:N32"/>
    <mergeCell ref="R32:U32"/>
    <mergeCell ref="C3:G3"/>
    <mergeCell ref="C16:G16"/>
    <mergeCell ref="J16:N16"/>
    <mergeCell ref="Q16:U16"/>
    <mergeCell ref="D17:G17"/>
    <mergeCell ref="R17:U17"/>
    <mergeCell ref="C18:G18"/>
    <mergeCell ref="Q18:U18"/>
  </mergeCells>
  <conditionalFormatting sqref="B6:B15">
    <cfRule type="colorScale" priority="1">
      <colorScale>
        <cfvo type="min"/>
        <cfvo type="max"/>
        <color rgb="FFFFFFFF"/>
        <color rgb="FF57BB8A"/>
      </colorScale>
    </cfRule>
  </conditionalFormatting>
  <conditionalFormatting sqref="I6:I15">
    <cfRule type="colorScale" priority="2">
      <colorScale>
        <cfvo type="min"/>
        <cfvo type="max"/>
        <color rgb="FFFFFFFF"/>
        <color rgb="FF57BB8A"/>
      </colorScale>
    </cfRule>
  </conditionalFormatting>
  <conditionalFormatting sqref="P6:P15">
    <cfRule type="colorScale" priority="3">
      <colorScale>
        <cfvo type="min"/>
        <cfvo type="max"/>
        <color rgb="FFFFFFFF"/>
        <color rgb="FF57BB8A"/>
      </colorScale>
    </cfRule>
  </conditionalFormatting>
  <conditionalFormatting sqref="W6:W15">
    <cfRule type="colorScale" priority="4">
      <colorScale>
        <cfvo type="min"/>
        <cfvo type="max"/>
        <color rgb="FFFFFFFF"/>
        <color rgb="FF57BB8A"/>
      </colorScale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3.75"/>
    <col customWidth="1" min="2" max="6" width="12.63"/>
  </cols>
  <sheetData>
    <row r="1" ht="15.75" customHeight="1">
      <c r="A1" s="55"/>
      <c r="B1" s="49"/>
      <c r="C1" s="49"/>
      <c r="D1" s="49"/>
      <c r="E1" s="49"/>
      <c r="F1" s="49"/>
      <c r="G1" s="49"/>
      <c r="H1" s="49"/>
      <c r="I1" s="49"/>
      <c r="J1" s="49"/>
    </row>
    <row r="2" ht="15.75" customHeight="1">
      <c r="A2" s="56" t="s">
        <v>27</v>
      </c>
      <c r="B2" s="57" t="s">
        <v>28</v>
      </c>
      <c r="C2" s="49"/>
      <c r="D2" s="49"/>
      <c r="E2" s="49"/>
      <c r="F2" s="49"/>
      <c r="G2" s="49"/>
      <c r="H2" s="49"/>
      <c r="I2" s="49"/>
      <c r="J2" s="49"/>
    </row>
    <row r="3" ht="15.75" customHeight="1">
      <c r="A3" s="58" t="s">
        <v>29</v>
      </c>
      <c r="B3" s="59">
        <f>macro!B6</f>
        <v>46246</v>
      </c>
      <c r="C3" s="49"/>
      <c r="D3" s="49"/>
      <c r="E3" s="49"/>
      <c r="F3" s="49"/>
      <c r="G3" s="49"/>
      <c r="H3" s="49"/>
      <c r="I3" s="49"/>
      <c r="J3" s="49"/>
    </row>
    <row r="4" ht="15.75" customHeight="1">
      <c r="A4" s="49"/>
      <c r="B4" s="49"/>
      <c r="C4" s="49"/>
      <c r="D4" s="49"/>
      <c r="E4" s="49"/>
      <c r="F4" s="49"/>
      <c r="G4" s="49"/>
      <c r="H4" s="49"/>
      <c r="I4" s="49"/>
      <c r="J4" s="49"/>
    </row>
    <row r="5" ht="15.75" customHeight="1">
      <c r="A5" s="60"/>
      <c r="B5" s="61" t="s">
        <v>16</v>
      </c>
      <c r="C5" s="62" t="s">
        <v>15</v>
      </c>
      <c r="D5" s="63">
        <v>1.0</v>
      </c>
      <c r="E5" s="63">
        <v>0.95</v>
      </c>
      <c r="F5" s="63">
        <v>0.9</v>
      </c>
      <c r="G5" s="63">
        <v>0.85</v>
      </c>
      <c r="H5" s="63">
        <v>0.8</v>
      </c>
      <c r="I5" s="63">
        <v>0.75</v>
      </c>
      <c r="J5" s="64">
        <v>0.7</v>
      </c>
    </row>
    <row r="6" ht="15.75" customHeight="1">
      <c r="A6" s="65" t="s">
        <v>30</v>
      </c>
      <c r="B6" s="66"/>
      <c r="C6" s="67"/>
      <c r="D6" s="68">
        <f t="shared" ref="D6:D12" si="1">C6/(1.0278-(0.0278*B6))</f>
        <v>0</v>
      </c>
      <c r="E6" s="68">
        <f t="shared" ref="E6:E12" si="2">(D6*0.95)</f>
        <v>0</v>
      </c>
      <c r="F6" s="68">
        <f t="shared" ref="F6:F12" si="3">(D6*0.9)</f>
        <v>0</v>
      </c>
      <c r="G6" s="68">
        <f t="shared" ref="G6:G12" si="4">(D6*0.85)</f>
        <v>0</v>
      </c>
      <c r="H6" s="68">
        <f t="shared" ref="H6:H12" si="5">(D6*0.8)</f>
        <v>0</v>
      </c>
      <c r="I6" s="68">
        <f t="shared" ref="I6:I12" si="6">(D6*0.75)</f>
        <v>0</v>
      </c>
      <c r="J6" s="69">
        <f t="shared" ref="J6:J12" si="7">(D6*0.7)</f>
        <v>0</v>
      </c>
    </row>
    <row r="7" ht="15.75" customHeight="1">
      <c r="A7" s="65" t="s">
        <v>31</v>
      </c>
      <c r="B7" s="70"/>
      <c r="C7" s="45"/>
      <c r="D7" s="68">
        <f t="shared" si="1"/>
        <v>0</v>
      </c>
      <c r="E7" s="68">
        <f t="shared" si="2"/>
        <v>0</v>
      </c>
      <c r="F7" s="68">
        <f t="shared" si="3"/>
        <v>0</v>
      </c>
      <c r="G7" s="68">
        <f t="shared" si="4"/>
        <v>0</v>
      </c>
      <c r="H7" s="68">
        <f t="shared" si="5"/>
        <v>0</v>
      </c>
      <c r="I7" s="68">
        <f t="shared" si="6"/>
        <v>0</v>
      </c>
      <c r="J7" s="69">
        <f t="shared" si="7"/>
        <v>0</v>
      </c>
    </row>
    <row r="8" ht="15.75" customHeight="1">
      <c r="A8" s="65" t="s">
        <v>32</v>
      </c>
      <c r="B8" s="70"/>
      <c r="C8" s="45"/>
      <c r="D8" s="68">
        <f t="shared" si="1"/>
        <v>0</v>
      </c>
      <c r="E8" s="68">
        <f t="shared" si="2"/>
        <v>0</v>
      </c>
      <c r="F8" s="68">
        <f t="shared" si="3"/>
        <v>0</v>
      </c>
      <c r="G8" s="68">
        <f t="shared" si="4"/>
        <v>0</v>
      </c>
      <c r="H8" s="68">
        <f t="shared" si="5"/>
        <v>0</v>
      </c>
      <c r="I8" s="68">
        <f t="shared" si="6"/>
        <v>0</v>
      </c>
      <c r="J8" s="69">
        <f t="shared" si="7"/>
        <v>0</v>
      </c>
    </row>
    <row r="9" ht="15.75" customHeight="1">
      <c r="A9" s="65" t="s">
        <v>33</v>
      </c>
      <c r="B9" s="71"/>
      <c r="C9" s="51"/>
      <c r="D9" s="68">
        <f t="shared" si="1"/>
        <v>0</v>
      </c>
      <c r="E9" s="68">
        <f t="shared" si="2"/>
        <v>0</v>
      </c>
      <c r="F9" s="68">
        <f t="shared" si="3"/>
        <v>0</v>
      </c>
      <c r="G9" s="68">
        <f t="shared" si="4"/>
        <v>0</v>
      </c>
      <c r="H9" s="68">
        <f t="shared" si="5"/>
        <v>0</v>
      </c>
      <c r="I9" s="68">
        <f t="shared" si="6"/>
        <v>0</v>
      </c>
      <c r="J9" s="69">
        <f t="shared" si="7"/>
        <v>0</v>
      </c>
    </row>
    <row r="10" ht="15.75" customHeight="1">
      <c r="A10" s="65" t="s">
        <v>34</v>
      </c>
      <c r="B10" s="71"/>
      <c r="C10" s="51"/>
      <c r="D10" s="68">
        <f t="shared" si="1"/>
        <v>0</v>
      </c>
      <c r="E10" s="68">
        <f t="shared" si="2"/>
        <v>0</v>
      </c>
      <c r="F10" s="68">
        <f t="shared" si="3"/>
        <v>0</v>
      </c>
      <c r="G10" s="68">
        <f t="shared" si="4"/>
        <v>0</v>
      </c>
      <c r="H10" s="68">
        <f t="shared" si="5"/>
        <v>0</v>
      </c>
      <c r="I10" s="68">
        <f t="shared" si="6"/>
        <v>0</v>
      </c>
      <c r="J10" s="69">
        <f t="shared" si="7"/>
        <v>0</v>
      </c>
    </row>
    <row r="11" ht="15.75" customHeight="1">
      <c r="A11" s="65" t="s">
        <v>35</v>
      </c>
      <c r="B11" s="71"/>
      <c r="C11" s="51"/>
      <c r="D11" s="68">
        <f t="shared" si="1"/>
        <v>0</v>
      </c>
      <c r="E11" s="68">
        <f t="shared" si="2"/>
        <v>0</v>
      </c>
      <c r="F11" s="68">
        <f t="shared" si="3"/>
        <v>0</v>
      </c>
      <c r="G11" s="68">
        <f t="shared" si="4"/>
        <v>0</v>
      </c>
      <c r="H11" s="68">
        <f t="shared" si="5"/>
        <v>0</v>
      </c>
      <c r="I11" s="68">
        <f t="shared" si="6"/>
        <v>0</v>
      </c>
      <c r="J11" s="69">
        <f t="shared" si="7"/>
        <v>0</v>
      </c>
    </row>
    <row r="12" ht="15.75" customHeight="1">
      <c r="A12" s="72" t="s">
        <v>36</v>
      </c>
      <c r="B12" s="73"/>
      <c r="C12" s="74"/>
      <c r="D12" s="75">
        <f t="shared" si="1"/>
        <v>0</v>
      </c>
      <c r="E12" s="75">
        <f t="shared" si="2"/>
        <v>0</v>
      </c>
      <c r="F12" s="75">
        <f t="shared" si="3"/>
        <v>0</v>
      </c>
      <c r="G12" s="75">
        <f t="shared" si="4"/>
        <v>0</v>
      </c>
      <c r="H12" s="75">
        <f t="shared" si="5"/>
        <v>0</v>
      </c>
      <c r="I12" s="75">
        <f t="shared" si="6"/>
        <v>0</v>
      </c>
      <c r="J12" s="76">
        <f t="shared" si="7"/>
        <v>0</v>
      </c>
    </row>
    <row r="13" ht="15.75" customHeight="1">
      <c r="A13" s="55"/>
      <c r="B13" s="49"/>
      <c r="C13" s="49"/>
      <c r="D13" s="49"/>
      <c r="E13" s="49"/>
      <c r="F13" s="49"/>
      <c r="G13" s="49"/>
      <c r="H13" s="49"/>
      <c r="I13" s="49"/>
      <c r="J13" s="49"/>
    </row>
    <row r="14" ht="15.75" customHeight="1">
      <c r="A14" s="56" t="s">
        <v>27</v>
      </c>
      <c r="B14" s="57" t="s">
        <v>37</v>
      </c>
      <c r="C14" s="49"/>
      <c r="D14" s="49"/>
      <c r="E14" s="49"/>
      <c r="F14" s="49"/>
      <c r="G14" s="49"/>
      <c r="H14" s="49"/>
      <c r="I14" s="49"/>
      <c r="J14" s="49"/>
    </row>
    <row r="15" ht="15.75" customHeight="1">
      <c r="A15" s="58" t="s">
        <v>29</v>
      </c>
      <c r="B15" s="59">
        <f>B3+28</f>
        <v>46274</v>
      </c>
      <c r="C15" s="49"/>
      <c r="D15" s="49"/>
      <c r="E15" s="49"/>
      <c r="F15" s="49"/>
      <c r="G15" s="49"/>
      <c r="H15" s="49"/>
      <c r="I15" s="49"/>
      <c r="J15" s="49"/>
    </row>
    <row r="16" ht="15.75" customHeight="1">
      <c r="A16" s="49"/>
      <c r="B16" s="49"/>
      <c r="C16" s="49"/>
      <c r="D16" s="49"/>
      <c r="E16" s="49"/>
      <c r="F16" s="49"/>
      <c r="G16" s="49"/>
      <c r="H16" s="49"/>
      <c r="I16" s="49"/>
      <c r="J16" s="49"/>
    </row>
    <row r="17" ht="15.75" customHeight="1">
      <c r="A17" s="60"/>
      <c r="B17" s="61" t="s">
        <v>16</v>
      </c>
      <c r="C17" s="62" t="s">
        <v>15</v>
      </c>
      <c r="D17" s="63">
        <v>1.0</v>
      </c>
      <c r="E17" s="63">
        <v>0.95</v>
      </c>
      <c r="F17" s="63">
        <v>0.9</v>
      </c>
      <c r="G17" s="63">
        <v>0.85</v>
      </c>
      <c r="H17" s="63">
        <v>0.8</v>
      </c>
      <c r="I17" s="63">
        <v>0.75</v>
      </c>
      <c r="J17" s="63">
        <v>0.7</v>
      </c>
    </row>
    <row r="18" ht="15.75" customHeight="1">
      <c r="A18" s="65" t="s">
        <v>30</v>
      </c>
      <c r="B18" s="66"/>
      <c r="C18" s="67"/>
      <c r="D18" s="77">
        <f t="shared" ref="D18:D24" si="8">C18/(1.0278-(0.0278*B18))</f>
        <v>0</v>
      </c>
      <c r="E18" s="77">
        <f t="shared" ref="E18:E24" si="9">(D18*0.95)</f>
        <v>0</v>
      </c>
      <c r="F18" s="77">
        <f t="shared" ref="F18:F24" si="10">(D18*0.9)</f>
        <v>0</v>
      </c>
      <c r="G18" s="77">
        <f t="shared" ref="G18:G24" si="11">(D18*0.85)</f>
        <v>0</v>
      </c>
      <c r="H18" s="77">
        <f t="shared" ref="H18:H24" si="12">(D18*0.8)</f>
        <v>0</v>
      </c>
      <c r="I18" s="77">
        <f t="shared" ref="I18:I24" si="13">(D18*0.75)</f>
        <v>0</v>
      </c>
      <c r="J18" s="78">
        <f t="shared" ref="J18:J24" si="14">(D18*0.7)</f>
        <v>0</v>
      </c>
    </row>
    <row r="19" ht="15.75" customHeight="1">
      <c r="A19" s="65" t="s">
        <v>31</v>
      </c>
      <c r="B19" s="70"/>
      <c r="C19" s="45"/>
      <c r="D19" s="68">
        <f t="shared" si="8"/>
        <v>0</v>
      </c>
      <c r="E19" s="68">
        <f t="shared" si="9"/>
        <v>0</v>
      </c>
      <c r="F19" s="68">
        <f t="shared" si="10"/>
        <v>0</v>
      </c>
      <c r="G19" s="68">
        <f t="shared" si="11"/>
        <v>0</v>
      </c>
      <c r="H19" s="68">
        <f t="shared" si="12"/>
        <v>0</v>
      </c>
      <c r="I19" s="68">
        <f t="shared" si="13"/>
        <v>0</v>
      </c>
      <c r="J19" s="69">
        <f t="shared" si="14"/>
        <v>0</v>
      </c>
    </row>
    <row r="20" ht="15.75" customHeight="1">
      <c r="A20" s="65" t="s">
        <v>32</v>
      </c>
      <c r="B20" s="70"/>
      <c r="C20" s="45"/>
      <c r="D20" s="68">
        <f t="shared" si="8"/>
        <v>0</v>
      </c>
      <c r="E20" s="68">
        <f t="shared" si="9"/>
        <v>0</v>
      </c>
      <c r="F20" s="68">
        <f t="shared" si="10"/>
        <v>0</v>
      </c>
      <c r="G20" s="68">
        <f t="shared" si="11"/>
        <v>0</v>
      </c>
      <c r="H20" s="68">
        <f t="shared" si="12"/>
        <v>0</v>
      </c>
      <c r="I20" s="68">
        <f t="shared" si="13"/>
        <v>0</v>
      </c>
      <c r="J20" s="69">
        <f t="shared" si="14"/>
        <v>0</v>
      </c>
    </row>
    <row r="21" ht="15.75" customHeight="1">
      <c r="A21" s="65" t="s">
        <v>33</v>
      </c>
      <c r="B21" s="71"/>
      <c r="C21" s="51"/>
      <c r="D21" s="68">
        <f t="shared" si="8"/>
        <v>0</v>
      </c>
      <c r="E21" s="68">
        <f t="shared" si="9"/>
        <v>0</v>
      </c>
      <c r="F21" s="68">
        <f t="shared" si="10"/>
        <v>0</v>
      </c>
      <c r="G21" s="68">
        <f t="shared" si="11"/>
        <v>0</v>
      </c>
      <c r="H21" s="68">
        <f t="shared" si="12"/>
        <v>0</v>
      </c>
      <c r="I21" s="68">
        <f t="shared" si="13"/>
        <v>0</v>
      </c>
      <c r="J21" s="69">
        <f t="shared" si="14"/>
        <v>0</v>
      </c>
    </row>
    <row r="22" ht="15.75" customHeight="1">
      <c r="A22" s="65" t="s">
        <v>34</v>
      </c>
      <c r="B22" s="71"/>
      <c r="C22" s="51"/>
      <c r="D22" s="68">
        <f t="shared" si="8"/>
        <v>0</v>
      </c>
      <c r="E22" s="68">
        <f t="shared" si="9"/>
        <v>0</v>
      </c>
      <c r="F22" s="68">
        <f t="shared" si="10"/>
        <v>0</v>
      </c>
      <c r="G22" s="68">
        <f t="shared" si="11"/>
        <v>0</v>
      </c>
      <c r="H22" s="68">
        <f t="shared" si="12"/>
        <v>0</v>
      </c>
      <c r="I22" s="68">
        <f t="shared" si="13"/>
        <v>0</v>
      </c>
      <c r="J22" s="69">
        <f t="shared" si="14"/>
        <v>0</v>
      </c>
    </row>
    <row r="23" ht="15.75" customHeight="1">
      <c r="A23" s="79" t="s">
        <v>35</v>
      </c>
      <c r="B23" s="71"/>
      <c r="C23" s="51"/>
      <c r="D23" s="68">
        <f t="shared" si="8"/>
        <v>0</v>
      </c>
      <c r="E23" s="68">
        <f t="shared" si="9"/>
        <v>0</v>
      </c>
      <c r="F23" s="68">
        <f t="shared" si="10"/>
        <v>0</v>
      </c>
      <c r="G23" s="68">
        <f t="shared" si="11"/>
        <v>0</v>
      </c>
      <c r="H23" s="68">
        <f t="shared" si="12"/>
        <v>0</v>
      </c>
      <c r="I23" s="68">
        <f t="shared" si="13"/>
        <v>0</v>
      </c>
      <c r="J23" s="69">
        <f t="shared" si="14"/>
        <v>0</v>
      </c>
    </row>
    <row r="24" ht="15.75" customHeight="1">
      <c r="A24" s="80" t="s">
        <v>36</v>
      </c>
      <c r="B24" s="73"/>
      <c r="C24" s="74"/>
      <c r="D24" s="75">
        <f t="shared" si="8"/>
        <v>0</v>
      </c>
      <c r="E24" s="75">
        <f t="shared" si="9"/>
        <v>0</v>
      </c>
      <c r="F24" s="75">
        <f t="shared" si="10"/>
        <v>0</v>
      </c>
      <c r="G24" s="75">
        <f t="shared" si="11"/>
        <v>0</v>
      </c>
      <c r="H24" s="75">
        <f t="shared" si="12"/>
        <v>0</v>
      </c>
      <c r="I24" s="75">
        <f t="shared" si="13"/>
        <v>0</v>
      </c>
      <c r="J24" s="76">
        <f t="shared" si="14"/>
        <v>0</v>
      </c>
    </row>
    <row r="25" ht="15.75" customHeight="1">
      <c r="A25" s="55"/>
      <c r="B25" s="49"/>
      <c r="C25" s="49"/>
      <c r="D25" s="49"/>
      <c r="E25" s="49"/>
      <c r="F25" s="49"/>
      <c r="G25" s="49"/>
      <c r="H25" s="49"/>
      <c r="I25" s="49"/>
      <c r="J25" s="49"/>
    </row>
    <row r="26" ht="15.75" customHeight="1">
      <c r="A26" s="56" t="s">
        <v>27</v>
      </c>
      <c r="B26" s="57" t="s">
        <v>38</v>
      </c>
      <c r="C26" s="49"/>
      <c r="D26" s="49"/>
      <c r="E26" s="49"/>
      <c r="F26" s="49"/>
      <c r="G26" s="49"/>
      <c r="H26" s="49"/>
      <c r="I26" s="49"/>
      <c r="J26" s="49"/>
    </row>
    <row r="27" ht="15.75" customHeight="1">
      <c r="A27" s="58" t="s">
        <v>29</v>
      </c>
      <c r="B27" s="59">
        <f>B15+28</f>
        <v>46302</v>
      </c>
      <c r="C27" s="49"/>
      <c r="D27" s="49"/>
      <c r="E27" s="49"/>
      <c r="F27" s="49"/>
      <c r="G27" s="49"/>
      <c r="H27" s="49"/>
      <c r="I27" s="49"/>
      <c r="J27" s="49"/>
    </row>
    <row r="28" ht="15.75" customHeight="1">
      <c r="A28" s="49"/>
      <c r="B28" s="49"/>
      <c r="C28" s="49"/>
      <c r="D28" s="49"/>
      <c r="E28" s="49"/>
      <c r="F28" s="49"/>
      <c r="G28" s="49"/>
      <c r="H28" s="49"/>
      <c r="I28" s="49"/>
      <c r="J28" s="49"/>
    </row>
    <row r="29" ht="15.75" customHeight="1">
      <c r="A29" s="60"/>
      <c r="B29" s="61" t="s">
        <v>16</v>
      </c>
      <c r="C29" s="62" t="s">
        <v>15</v>
      </c>
      <c r="D29" s="63">
        <v>1.0</v>
      </c>
      <c r="E29" s="63">
        <v>0.95</v>
      </c>
      <c r="F29" s="63">
        <v>0.9</v>
      </c>
      <c r="G29" s="63">
        <v>0.85</v>
      </c>
      <c r="H29" s="63">
        <v>0.8</v>
      </c>
      <c r="I29" s="63">
        <v>0.75</v>
      </c>
      <c r="J29" s="63">
        <v>0.7</v>
      </c>
    </row>
    <row r="30" ht="15.75" customHeight="1">
      <c r="A30" s="65" t="s">
        <v>30</v>
      </c>
      <c r="B30" s="66"/>
      <c r="C30" s="67"/>
      <c r="D30" s="77">
        <f t="shared" ref="D30:D36" si="15">C30/(1.0278-(0.0278*B30))</f>
        <v>0</v>
      </c>
      <c r="E30" s="77">
        <f t="shared" ref="E30:E36" si="16">(D30*0.95)</f>
        <v>0</v>
      </c>
      <c r="F30" s="77">
        <f t="shared" ref="F30:F36" si="17">(D30*0.9)</f>
        <v>0</v>
      </c>
      <c r="G30" s="77">
        <f t="shared" ref="G30:G36" si="18">(D30*0.85)</f>
        <v>0</v>
      </c>
      <c r="H30" s="77">
        <f t="shared" ref="H30:H36" si="19">(D30*0.8)</f>
        <v>0</v>
      </c>
      <c r="I30" s="77">
        <f t="shared" ref="I30:I36" si="20">(D30*0.75)</f>
        <v>0</v>
      </c>
      <c r="J30" s="78">
        <f t="shared" ref="J30:J36" si="21">(D30*0.7)</f>
        <v>0</v>
      </c>
    </row>
    <row r="31" ht="15.75" customHeight="1">
      <c r="A31" s="65" t="s">
        <v>31</v>
      </c>
      <c r="B31" s="70"/>
      <c r="C31" s="45"/>
      <c r="D31" s="68">
        <f t="shared" si="15"/>
        <v>0</v>
      </c>
      <c r="E31" s="68">
        <f t="shared" si="16"/>
        <v>0</v>
      </c>
      <c r="F31" s="68">
        <f t="shared" si="17"/>
        <v>0</v>
      </c>
      <c r="G31" s="68">
        <f t="shared" si="18"/>
        <v>0</v>
      </c>
      <c r="H31" s="68">
        <f t="shared" si="19"/>
        <v>0</v>
      </c>
      <c r="I31" s="68">
        <f t="shared" si="20"/>
        <v>0</v>
      </c>
      <c r="J31" s="69">
        <f t="shared" si="21"/>
        <v>0</v>
      </c>
    </row>
    <row r="32" ht="15.75" customHeight="1">
      <c r="A32" s="65" t="s">
        <v>32</v>
      </c>
      <c r="B32" s="70"/>
      <c r="C32" s="45"/>
      <c r="D32" s="68">
        <f t="shared" si="15"/>
        <v>0</v>
      </c>
      <c r="E32" s="68">
        <f t="shared" si="16"/>
        <v>0</v>
      </c>
      <c r="F32" s="68">
        <f t="shared" si="17"/>
        <v>0</v>
      </c>
      <c r="G32" s="68">
        <f t="shared" si="18"/>
        <v>0</v>
      </c>
      <c r="H32" s="68">
        <f t="shared" si="19"/>
        <v>0</v>
      </c>
      <c r="I32" s="68">
        <f t="shared" si="20"/>
        <v>0</v>
      </c>
      <c r="J32" s="69">
        <f t="shared" si="21"/>
        <v>0</v>
      </c>
    </row>
    <row r="33" ht="15.75" customHeight="1">
      <c r="A33" s="65" t="s">
        <v>33</v>
      </c>
      <c r="B33" s="71"/>
      <c r="C33" s="51"/>
      <c r="D33" s="68">
        <f t="shared" si="15"/>
        <v>0</v>
      </c>
      <c r="E33" s="68">
        <f t="shared" si="16"/>
        <v>0</v>
      </c>
      <c r="F33" s="68">
        <f t="shared" si="17"/>
        <v>0</v>
      </c>
      <c r="G33" s="68">
        <f t="shared" si="18"/>
        <v>0</v>
      </c>
      <c r="H33" s="68">
        <f t="shared" si="19"/>
        <v>0</v>
      </c>
      <c r="I33" s="68">
        <f t="shared" si="20"/>
        <v>0</v>
      </c>
      <c r="J33" s="69">
        <f t="shared" si="21"/>
        <v>0</v>
      </c>
    </row>
    <row r="34" ht="15.75" customHeight="1">
      <c r="A34" s="65" t="s">
        <v>34</v>
      </c>
      <c r="B34" s="71"/>
      <c r="C34" s="51"/>
      <c r="D34" s="68">
        <f t="shared" si="15"/>
        <v>0</v>
      </c>
      <c r="E34" s="68">
        <f t="shared" si="16"/>
        <v>0</v>
      </c>
      <c r="F34" s="68">
        <f t="shared" si="17"/>
        <v>0</v>
      </c>
      <c r="G34" s="68">
        <f t="shared" si="18"/>
        <v>0</v>
      </c>
      <c r="H34" s="68">
        <f t="shared" si="19"/>
        <v>0</v>
      </c>
      <c r="I34" s="68">
        <f t="shared" si="20"/>
        <v>0</v>
      </c>
      <c r="J34" s="69">
        <f t="shared" si="21"/>
        <v>0</v>
      </c>
    </row>
    <row r="35" ht="15.75" customHeight="1">
      <c r="A35" s="79" t="s">
        <v>35</v>
      </c>
      <c r="B35" s="71"/>
      <c r="C35" s="51"/>
      <c r="D35" s="68">
        <f t="shared" si="15"/>
        <v>0</v>
      </c>
      <c r="E35" s="68">
        <f t="shared" si="16"/>
        <v>0</v>
      </c>
      <c r="F35" s="68">
        <f t="shared" si="17"/>
        <v>0</v>
      </c>
      <c r="G35" s="68">
        <f t="shared" si="18"/>
        <v>0</v>
      </c>
      <c r="H35" s="68">
        <f t="shared" si="19"/>
        <v>0</v>
      </c>
      <c r="I35" s="68">
        <f t="shared" si="20"/>
        <v>0</v>
      </c>
      <c r="J35" s="69">
        <f t="shared" si="21"/>
        <v>0</v>
      </c>
    </row>
    <row r="36" ht="15.75" customHeight="1">
      <c r="A36" s="80" t="s">
        <v>36</v>
      </c>
      <c r="B36" s="73"/>
      <c r="C36" s="74"/>
      <c r="D36" s="75">
        <f t="shared" si="15"/>
        <v>0</v>
      </c>
      <c r="E36" s="75">
        <f t="shared" si="16"/>
        <v>0</v>
      </c>
      <c r="F36" s="75">
        <f t="shared" si="17"/>
        <v>0</v>
      </c>
      <c r="G36" s="75">
        <f t="shared" si="18"/>
        <v>0</v>
      </c>
      <c r="H36" s="75">
        <f t="shared" si="19"/>
        <v>0</v>
      </c>
      <c r="I36" s="75">
        <f t="shared" si="20"/>
        <v>0</v>
      </c>
      <c r="J36" s="76">
        <f t="shared" si="21"/>
        <v>0</v>
      </c>
    </row>
    <row r="37" ht="15.75" customHeight="1">
      <c r="A37" s="11"/>
    </row>
    <row r="38" ht="15.75" customHeight="1">
      <c r="A38" s="11"/>
    </row>
    <row r="39" ht="15.75" customHeight="1">
      <c r="A39" s="11"/>
    </row>
    <row r="40" ht="15.75" customHeight="1">
      <c r="A40" s="11"/>
    </row>
    <row r="41" ht="15.75" customHeight="1">
      <c r="A41" s="11"/>
    </row>
    <row r="42" ht="15.75" customHeight="1">
      <c r="A42" s="11"/>
    </row>
    <row r="43" ht="15.75" customHeight="1">
      <c r="A43" s="11"/>
    </row>
    <row r="44" ht="15.75" customHeight="1">
      <c r="A44" s="11"/>
    </row>
    <row r="45" ht="15.75" customHeight="1">
      <c r="A45" s="11"/>
    </row>
    <row r="46" ht="15.75" customHeight="1">
      <c r="A46" s="11"/>
    </row>
    <row r="47" ht="15.75" customHeight="1">
      <c r="A47" s="11"/>
    </row>
    <row r="48" ht="15.75" customHeight="1">
      <c r="A48" s="11"/>
    </row>
    <row r="49" ht="15.75" customHeight="1">
      <c r="A49" s="11"/>
    </row>
    <row r="50" ht="15.75" customHeight="1">
      <c r="A50" s="11"/>
    </row>
    <row r="51" ht="15.75" customHeight="1">
      <c r="A51" s="11"/>
    </row>
    <row r="52" ht="15.75" customHeight="1">
      <c r="A52" s="11"/>
    </row>
    <row r="53" ht="15.75" customHeight="1">
      <c r="A53" s="11"/>
    </row>
    <row r="54" ht="15.75" customHeight="1">
      <c r="A54" s="11"/>
    </row>
    <row r="55" ht="15.75" customHeight="1">
      <c r="A55" s="11"/>
    </row>
    <row r="56" ht="15.75" customHeight="1">
      <c r="A56" s="11"/>
    </row>
    <row r="57" ht="15.75" customHeight="1">
      <c r="A57" s="11"/>
    </row>
    <row r="58" ht="15.75" customHeight="1">
      <c r="A58" s="11"/>
    </row>
    <row r="59" ht="15.75" customHeight="1">
      <c r="A59" s="11"/>
    </row>
    <row r="60" ht="15.75" customHeight="1">
      <c r="A60" s="11"/>
    </row>
    <row r="61" ht="15.75" customHeight="1">
      <c r="A61" s="11"/>
    </row>
    <row r="62" ht="15.75" customHeight="1">
      <c r="A62" s="11"/>
    </row>
    <row r="63" ht="15.75" customHeight="1">
      <c r="A63" s="11"/>
    </row>
    <row r="64" ht="15.75" customHeight="1">
      <c r="A64" s="11"/>
    </row>
    <row r="65" ht="15.75" customHeight="1">
      <c r="A65" s="11"/>
    </row>
    <row r="66" ht="15.75" customHeight="1">
      <c r="A66" s="11"/>
    </row>
    <row r="67" ht="15.75" customHeight="1">
      <c r="A67" s="11"/>
    </row>
    <row r="68" ht="15.75" customHeight="1">
      <c r="A68" s="11"/>
    </row>
    <row r="69" ht="15.75" customHeight="1">
      <c r="A69" s="11"/>
    </row>
    <row r="70" ht="15.75" customHeight="1">
      <c r="A70" s="11"/>
    </row>
    <row r="71" ht="15.75" customHeight="1">
      <c r="A71" s="11"/>
    </row>
    <row r="72" ht="15.75" customHeight="1">
      <c r="A72" s="11"/>
    </row>
    <row r="73" ht="15.75" customHeight="1">
      <c r="A73" s="11"/>
    </row>
    <row r="74" ht="15.75" customHeight="1">
      <c r="A74" s="11"/>
    </row>
    <row r="75" ht="15.75" customHeight="1">
      <c r="A75" s="11"/>
    </row>
    <row r="76" ht="15.75" customHeight="1">
      <c r="A76" s="11"/>
    </row>
    <row r="77" ht="15.75" customHeight="1">
      <c r="A77" s="11"/>
    </row>
    <row r="78" ht="15.75" customHeight="1">
      <c r="A78" s="11"/>
    </row>
    <row r="79" ht="15.75" customHeight="1">
      <c r="A79" s="11"/>
    </row>
    <row r="80" ht="15.75" customHeight="1">
      <c r="A80" s="11"/>
    </row>
    <row r="81" ht="15.75" customHeight="1">
      <c r="A81" s="11"/>
    </row>
    <row r="82" ht="15.75" customHeight="1">
      <c r="A82" s="11"/>
    </row>
    <row r="83" ht="15.75" customHeight="1">
      <c r="A83" s="11"/>
    </row>
    <row r="84" ht="15.75" customHeight="1">
      <c r="A84" s="11"/>
    </row>
    <row r="85" ht="15.75" customHeight="1">
      <c r="A85" s="11"/>
    </row>
    <row r="86" ht="15.75" customHeight="1">
      <c r="A86" s="11"/>
    </row>
    <row r="87" ht="15.75" customHeight="1">
      <c r="A87" s="11"/>
    </row>
    <row r="88" ht="15.75" customHeight="1">
      <c r="A88" s="11"/>
    </row>
    <row r="89" ht="15.75" customHeight="1">
      <c r="A89" s="11"/>
    </row>
    <row r="90" ht="15.75" customHeight="1">
      <c r="A90" s="11"/>
    </row>
    <row r="91" ht="15.75" customHeight="1">
      <c r="A91" s="11"/>
    </row>
    <row r="92" ht="15.75" customHeight="1">
      <c r="A92" s="11"/>
    </row>
    <row r="93" ht="15.75" customHeight="1">
      <c r="A93" s="11"/>
    </row>
    <row r="94" ht="15.75" customHeight="1">
      <c r="A94" s="11"/>
    </row>
    <row r="95" ht="15.75" customHeight="1">
      <c r="A95" s="11"/>
    </row>
    <row r="96" ht="15.75" customHeight="1">
      <c r="A96" s="11"/>
    </row>
    <row r="97" ht="15.75" customHeight="1">
      <c r="A97" s="11"/>
    </row>
    <row r="98" ht="15.75" customHeight="1">
      <c r="A98" s="11"/>
    </row>
    <row r="99" ht="15.75" customHeight="1">
      <c r="A99" s="11"/>
    </row>
    <row r="100" ht="15.75" customHeight="1">
      <c r="A100" s="11"/>
    </row>
    <row r="101" ht="15.75" customHeight="1">
      <c r="A101" s="11"/>
    </row>
    <row r="102" ht="15.75" customHeight="1">
      <c r="A102" s="11"/>
    </row>
    <row r="103" ht="15.75" customHeight="1">
      <c r="A103" s="11"/>
    </row>
    <row r="104" ht="15.75" customHeight="1">
      <c r="A104" s="11"/>
    </row>
    <row r="105" ht="15.75" customHeight="1">
      <c r="A105" s="11"/>
    </row>
    <row r="106" ht="15.75" customHeight="1">
      <c r="A106" s="11"/>
    </row>
    <row r="107" ht="15.75" customHeight="1">
      <c r="A107" s="11"/>
    </row>
    <row r="108" ht="15.75" customHeight="1">
      <c r="A108" s="11"/>
    </row>
    <row r="109" ht="15.75" customHeight="1">
      <c r="A109" s="11"/>
    </row>
    <row r="110" ht="15.75" customHeight="1">
      <c r="A110" s="11"/>
    </row>
    <row r="111" ht="15.75" customHeight="1">
      <c r="A111" s="11"/>
    </row>
    <row r="112" ht="15.75" customHeight="1">
      <c r="A112" s="11"/>
    </row>
    <row r="113" ht="15.75" customHeight="1">
      <c r="A113" s="11"/>
    </row>
    <row r="114" ht="15.75" customHeight="1">
      <c r="A114" s="11"/>
    </row>
    <row r="115" ht="15.75" customHeight="1">
      <c r="A115" s="11"/>
    </row>
    <row r="116" ht="15.75" customHeight="1">
      <c r="A116" s="11"/>
    </row>
    <row r="117" ht="15.75" customHeight="1">
      <c r="A117" s="11"/>
    </row>
    <row r="118" ht="15.75" customHeight="1">
      <c r="A118" s="11"/>
    </row>
    <row r="119" ht="15.75" customHeight="1">
      <c r="A119" s="11"/>
    </row>
    <row r="120" ht="15.75" customHeight="1">
      <c r="A120" s="11"/>
    </row>
    <row r="121" ht="15.75" customHeight="1">
      <c r="A121" s="11"/>
    </row>
    <row r="122" ht="15.75" customHeight="1">
      <c r="A122" s="11"/>
    </row>
    <row r="123" ht="15.75" customHeight="1">
      <c r="A123" s="11"/>
    </row>
    <row r="124" ht="15.75" customHeight="1">
      <c r="A124" s="11"/>
    </row>
    <row r="125" ht="15.75" customHeight="1">
      <c r="A125" s="11"/>
    </row>
    <row r="126" ht="15.75" customHeight="1">
      <c r="A126" s="11"/>
    </row>
    <row r="127" ht="15.75" customHeight="1">
      <c r="A127" s="11"/>
    </row>
    <row r="128" ht="15.75" customHeight="1">
      <c r="A128" s="11"/>
    </row>
    <row r="129" ht="15.75" customHeight="1">
      <c r="A129" s="11"/>
    </row>
    <row r="130" ht="15.75" customHeight="1">
      <c r="A130" s="11"/>
    </row>
    <row r="131" ht="15.75" customHeight="1">
      <c r="A131" s="11"/>
    </row>
    <row r="132" ht="15.75" customHeight="1">
      <c r="A132" s="11"/>
    </row>
    <row r="133" ht="15.75" customHeight="1">
      <c r="A133" s="11"/>
    </row>
    <row r="134" ht="15.75" customHeight="1">
      <c r="A134" s="11"/>
    </row>
    <row r="135" ht="15.75" customHeight="1">
      <c r="A135" s="11"/>
    </row>
    <row r="136" ht="15.75" customHeight="1">
      <c r="A136" s="11"/>
    </row>
    <row r="137" ht="15.75" customHeight="1">
      <c r="A137" s="11"/>
    </row>
    <row r="138" ht="15.75" customHeight="1">
      <c r="A138" s="11"/>
    </row>
    <row r="139" ht="15.75" customHeight="1">
      <c r="A139" s="11"/>
    </row>
    <row r="140" ht="15.75" customHeight="1">
      <c r="A140" s="11"/>
    </row>
    <row r="141" ht="15.75" customHeight="1">
      <c r="A141" s="11"/>
    </row>
    <row r="142" ht="15.75" customHeight="1">
      <c r="A142" s="11"/>
    </row>
    <row r="143" ht="15.75" customHeight="1">
      <c r="A143" s="11"/>
    </row>
    <row r="144" ht="15.75" customHeight="1">
      <c r="A144" s="11"/>
    </row>
    <row r="145" ht="15.75" customHeight="1">
      <c r="A145" s="11"/>
    </row>
    <row r="146" ht="15.75" customHeight="1">
      <c r="A146" s="11"/>
    </row>
    <row r="147" ht="15.75" customHeight="1">
      <c r="A147" s="11"/>
    </row>
    <row r="148" ht="15.75" customHeight="1">
      <c r="A148" s="11"/>
    </row>
    <row r="149" ht="15.75" customHeight="1">
      <c r="A149" s="11"/>
    </row>
    <row r="150" ht="15.75" customHeight="1">
      <c r="A150" s="11"/>
    </row>
    <row r="151" ht="15.75" customHeight="1">
      <c r="A151" s="11"/>
    </row>
    <row r="152" ht="15.75" customHeight="1">
      <c r="A152" s="11"/>
    </row>
    <row r="153" ht="15.75" customHeight="1">
      <c r="A153" s="11"/>
    </row>
    <row r="154" ht="15.75" customHeight="1">
      <c r="A154" s="11"/>
    </row>
    <row r="155" ht="15.75" customHeight="1">
      <c r="A155" s="11"/>
    </row>
    <row r="156" ht="15.75" customHeight="1">
      <c r="A156" s="11"/>
    </row>
    <row r="157" ht="15.75" customHeight="1">
      <c r="A157" s="11"/>
    </row>
    <row r="158" ht="15.75" customHeight="1">
      <c r="A158" s="11"/>
    </row>
    <row r="159" ht="15.75" customHeight="1">
      <c r="A159" s="11"/>
    </row>
    <row r="160" ht="15.75" customHeight="1">
      <c r="A160" s="11"/>
    </row>
    <row r="161" ht="15.75" customHeight="1">
      <c r="A161" s="11"/>
    </row>
    <row r="162" ht="15.75" customHeight="1">
      <c r="A162" s="11"/>
    </row>
    <row r="163" ht="15.75" customHeight="1">
      <c r="A163" s="11"/>
    </row>
    <row r="164" ht="15.75" customHeight="1">
      <c r="A164" s="11"/>
    </row>
    <row r="165" ht="15.75" customHeight="1">
      <c r="A165" s="11"/>
    </row>
    <row r="166" ht="15.75" customHeight="1">
      <c r="A166" s="11"/>
    </row>
    <row r="167" ht="15.75" customHeight="1">
      <c r="A167" s="11"/>
    </row>
    <row r="168" ht="15.75" customHeight="1">
      <c r="A168" s="11"/>
    </row>
    <row r="169" ht="15.75" customHeight="1">
      <c r="A169" s="11"/>
    </row>
    <row r="170" ht="15.75" customHeight="1">
      <c r="A170" s="11"/>
    </row>
    <row r="171" ht="15.75" customHeight="1">
      <c r="A171" s="11"/>
    </row>
    <row r="172" ht="15.75" customHeight="1">
      <c r="A172" s="11"/>
    </row>
    <row r="173" ht="15.75" customHeight="1">
      <c r="A173" s="11"/>
    </row>
    <row r="174" ht="15.75" customHeight="1">
      <c r="A174" s="11"/>
    </row>
    <row r="175" ht="15.75" customHeight="1">
      <c r="A175" s="11"/>
    </row>
    <row r="176" ht="15.75" customHeight="1">
      <c r="A176" s="11"/>
    </row>
    <row r="177" ht="15.75" customHeight="1">
      <c r="A177" s="11"/>
    </row>
    <row r="178" ht="15.75" customHeight="1">
      <c r="A178" s="11"/>
    </row>
    <row r="179" ht="15.75" customHeight="1">
      <c r="A179" s="11"/>
    </row>
    <row r="180" ht="15.75" customHeight="1">
      <c r="A180" s="11"/>
    </row>
    <row r="181" ht="15.75" customHeight="1">
      <c r="A181" s="11"/>
    </row>
    <row r="182" ht="15.75" customHeight="1">
      <c r="A182" s="11"/>
    </row>
    <row r="183" ht="15.75" customHeight="1">
      <c r="A183" s="11"/>
    </row>
    <row r="184" ht="15.75" customHeight="1">
      <c r="A184" s="11"/>
    </row>
    <row r="185" ht="15.75" customHeight="1">
      <c r="A185" s="11"/>
    </row>
    <row r="186" ht="15.75" customHeight="1">
      <c r="A186" s="11"/>
    </row>
    <row r="187" ht="15.75" customHeight="1">
      <c r="A187" s="11"/>
    </row>
    <row r="188" ht="15.75" customHeight="1">
      <c r="A188" s="11"/>
    </row>
    <row r="189" ht="15.75" customHeight="1">
      <c r="A189" s="11"/>
    </row>
    <row r="190" ht="15.75" customHeight="1">
      <c r="A190" s="11"/>
    </row>
    <row r="191" ht="15.75" customHeight="1">
      <c r="A191" s="11"/>
    </row>
    <row r="192" ht="15.75" customHeight="1">
      <c r="A192" s="11"/>
    </row>
    <row r="193" ht="15.75" customHeight="1">
      <c r="A193" s="11"/>
    </row>
    <row r="194" ht="15.75" customHeight="1">
      <c r="A194" s="11"/>
    </row>
    <row r="195" ht="15.75" customHeight="1">
      <c r="A195" s="11"/>
    </row>
    <row r="196" ht="15.75" customHeight="1">
      <c r="A196" s="11"/>
    </row>
    <row r="197" ht="15.75" customHeight="1">
      <c r="A197" s="11"/>
    </row>
    <row r="198" ht="15.75" customHeight="1">
      <c r="A198" s="11"/>
    </row>
    <row r="199" ht="15.75" customHeight="1">
      <c r="A199" s="11"/>
    </row>
    <row r="200" ht="15.75" customHeight="1">
      <c r="A200" s="11"/>
    </row>
    <row r="201" ht="15.75" customHeight="1">
      <c r="A201" s="11"/>
    </row>
    <row r="202" ht="15.75" customHeight="1">
      <c r="A202" s="11"/>
    </row>
    <row r="203" ht="15.75" customHeight="1">
      <c r="A203" s="11"/>
    </row>
    <row r="204" ht="15.75" customHeight="1">
      <c r="A204" s="11"/>
    </row>
    <row r="205" ht="15.75" customHeight="1">
      <c r="A205" s="11"/>
    </row>
    <row r="206" ht="15.75" customHeight="1">
      <c r="A206" s="11"/>
    </row>
    <row r="207" ht="15.75" customHeight="1">
      <c r="A207" s="11"/>
    </row>
    <row r="208" ht="15.75" customHeight="1">
      <c r="A208" s="11"/>
    </row>
    <row r="209" ht="15.75" customHeight="1">
      <c r="A209" s="11"/>
    </row>
    <row r="210" ht="15.75" customHeight="1">
      <c r="A210" s="11"/>
    </row>
    <row r="211" ht="15.75" customHeight="1">
      <c r="A211" s="11"/>
    </row>
    <row r="212" ht="15.75" customHeight="1">
      <c r="A212" s="11"/>
    </row>
    <row r="213" ht="15.75" customHeight="1">
      <c r="A213" s="11"/>
    </row>
    <row r="214" ht="15.75" customHeight="1">
      <c r="A214" s="11"/>
    </row>
    <row r="215" ht="15.75" customHeight="1">
      <c r="A215" s="11"/>
    </row>
    <row r="216" ht="15.75" customHeight="1">
      <c r="A216" s="11"/>
    </row>
    <row r="217" ht="15.75" customHeight="1">
      <c r="A217" s="11"/>
    </row>
    <row r="218" ht="15.75" customHeight="1">
      <c r="A218" s="11"/>
    </row>
    <row r="219" ht="15.75" customHeight="1">
      <c r="A219" s="11"/>
    </row>
    <row r="220" ht="15.75" customHeight="1">
      <c r="A220" s="11"/>
    </row>
    <row r="221" ht="15.75" customHeight="1">
      <c r="A221" s="11"/>
    </row>
    <row r="222" ht="15.75" customHeight="1">
      <c r="A222" s="11"/>
    </row>
    <row r="223" ht="15.75" customHeight="1">
      <c r="A223" s="11"/>
    </row>
    <row r="224" ht="15.75" customHeight="1">
      <c r="A224" s="11"/>
    </row>
    <row r="225" ht="15.75" customHeight="1">
      <c r="A225" s="11"/>
    </row>
    <row r="226" ht="15.75" customHeight="1">
      <c r="A226" s="11"/>
    </row>
    <row r="227" ht="15.75" customHeight="1">
      <c r="A227" s="11"/>
    </row>
    <row r="228" ht="15.75" customHeight="1">
      <c r="A228" s="11"/>
    </row>
    <row r="229" ht="15.75" customHeight="1">
      <c r="A229" s="11"/>
    </row>
    <row r="230" ht="15.75" customHeight="1">
      <c r="A230" s="11"/>
    </row>
    <row r="231" ht="15.75" customHeight="1">
      <c r="A231" s="11"/>
    </row>
    <row r="232" ht="15.75" customHeight="1">
      <c r="A232" s="11"/>
    </row>
    <row r="233" ht="15.75" customHeight="1">
      <c r="A233" s="11"/>
    </row>
    <row r="234" ht="15.75" customHeight="1">
      <c r="A234" s="11"/>
    </row>
    <row r="235" ht="15.75" customHeight="1">
      <c r="A235" s="11"/>
    </row>
    <row r="236" ht="15.75" customHeight="1">
      <c r="A236" s="11"/>
    </row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3" width="9.5"/>
  </cols>
  <sheetData>
    <row r="1" ht="15.75" customHeight="1">
      <c r="A1" s="81"/>
      <c r="B1" s="82" t="s">
        <v>0</v>
      </c>
      <c r="E1" s="83"/>
      <c r="F1" s="82" t="s">
        <v>1</v>
      </c>
      <c r="I1" s="83"/>
      <c r="J1" s="82" t="s">
        <v>26</v>
      </c>
      <c r="M1" s="83"/>
    </row>
    <row r="2" ht="37.5" customHeight="1">
      <c r="A2" s="84"/>
      <c r="B2" s="85" t="s">
        <v>39</v>
      </c>
      <c r="C2" s="85" t="s">
        <v>40</v>
      </c>
      <c r="D2" s="85" t="s">
        <v>41</v>
      </c>
      <c r="E2" s="86" t="s">
        <v>42</v>
      </c>
      <c r="F2" s="85" t="s">
        <v>43</v>
      </c>
      <c r="G2" s="85" t="s">
        <v>44</v>
      </c>
      <c r="H2" s="85" t="s">
        <v>45</v>
      </c>
      <c r="I2" s="86" t="s">
        <v>46</v>
      </c>
      <c r="J2" s="85" t="s">
        <v>47</v>
      </c>
      <c r="K2" s="85" t="s">
        <v>48</v>
      </c>
      <c r="L2" s="85" t="s">
        <v>49</v>
      </c>
      <c r="M2" s="86" t="s">
        <v>50</v>
      </c>
    </row>
    <row r="3" ht="37.5" customHeight="1">
      <c r="A3" s="87" t="s">
        <v>51</v>
      </c>
      <c r="B3" s="88">
        <f>SUMPRODUCT('bloco 01'!C6:C15, 'bloco 01'!D6:D15, 'bloco 01'!E6:E15) + SUMPRODUCT('bloco 01'!C21:C30, 'bloco 01'!D21:D30, 'bloco 01'!E21:E30)</f>
        <v>0</v>
      </c>
      <c r="C3" s="88">
        <f>SUMPRODUCT('bloco 01'!J6:J15, 'bloco 01'!K6:K15, 'bloco 01'!L6:L15) + SUMPRODUCT('bloco 01'!J21:J30, 'bloco 01'!K21:K30, 'bloco 01'!L21:L30)</f>
        <v>0</v>
      </c>
      <c r="D3" s="88">
        <f>SUMPRODUCT('bloco 01'!Q6:Q15, 'bloco 01'!R6:R15, 'bloco 01'!S6:S15) + SUMPRODUCT('bloco 01'!Q21:Q30, 'bloco 01'!R21:R30, 'bloco 01'!S21:S30)</f>
        <v>0</v>
      </c>
      <c r="E3" s="90">
        <f>SUMPRODUCT('bloco 01'!X6:X15, 'bloco 01'!Y6:Y15, 'bloco 01'!Z6:Z15) + SUMPRODUCT('bloco 01'!X21:X30, 'bloco 01'!Y21:Y30, 'bloco 01'!Z21:Z30)</f>
        <v>0</v>
      </c>
      <c r="F3" s="88">
        <f>SUMPRODUCT('bloco 02'!C6:C15, 'bloco 02'!D6:D15, 'bloco 02'!E6:E15) + SUMPRODUCT('bloco 02'!C21:C30, 'bloco 02'!D21:D30, 'bloco 02'!E21:E30)</f>
        <v>0</v>
      </c>
      <c r="G3" s="88">
        <f>SUMPRODUCT('bloco 02'!J6:J15, 'bloco 02'!K6:K15, 'bloco 02'!L6:L15) + SUMPRODUCT('bloco 02'!J21:J30, 'bloco 02'!K21:K30, 'bloco 02'!L21:L30)</f>
        <v>0</v>
      </c>
      <c r="H3" s="88">
        <f>SUMPRODUCT('bloco 02'!Q6:Q15, 'bloco 02'!R6:R15, 'bloco 02'!S6:S15) + SUMPRODUCT('bloco 02'!Q21:Q30, 'bloco 02'!R21:R30, 'bloco 02'!S21:S30)</f>
        <v>0</v>
      </c>
      <c r="I3" s="90">
        <f>SUMPRODUCT('bloco 02'!X6:X15, 'bloco 02'!Y6:Y15, 'bloco 02'!Z6:Z15) + SUMPRODUCT('bloco 02'!X21:X30, 'bloco 02'!Y21:Y30, 'bloco 02'!Z21:Z30)</f>
        <v>0</v>
      </c>
      <c r="J3" s="88">
        <f>SUMPRODUCT('bloco 03'!C6:C15, 'bloco 03'!D6:D15, 'bloco 03'!E6:E15) + SUMPRODUCT('bloco 03'!C21:C30, 'bloco 03'!D21:D30, 'bloco 03'!E21:E30)</f>
        <v>0</v>
      </c>
      <c r="K3" s="88">
        <f>SUMPRODUCT('bloco 03'!J6:J15, 'bloco 03'!K6:K15, 'bloco 03'!L6:L15) + SUMPRODUCT('bloco 03'!J21:J30, 'bloco 03'!K21:K30, 'bloco 03'!L21:L30)</f>
        <v>0</v>
      </c>
      <c r="L3" s="88">
        <f>SUMPRODUCT('bloco 03'!Q6:Q15, 'bloco 03'!R6:R15, 'bloco 03'!S6:S15) + SUMPRODUCT('bloco 03'!Q21:Q30, 'bloco 03'!R21:R30, 'bloco 03'!S21:S30)</f>
        <v>0</v>
      </c>
      <c r="M3" s="90">
        <f>SUMPRODUCT('bloco 03'!X6:X15, 'bloco 03'!Y6:Y15, 'bloco 03'!Z6:Z15) + SUMPRODUCT('bloco 03'!X21:X30, 'bloco 03'!Y21:Y30, 'bloco 03'!Z21:Z30)</f>
        <v>0</v>
      </c>
    </row>
    <row r="4" ht="37.5" customHeight="1">
      <c r="A4" s="87" t="s">
        <v>52</v>
      </c>
      <c r="B4" s="88">
        <f>SUMPRODUCT('bloco 01'!C6:C15, 'bloco 01'!D6:D15) + SUMPRODUCT('bloco 01'!C21:C30, 'bloco 01'!D21:D30)</f>
        <v>0</v>
      </c>
      <c r="C4" s="88">
        <f>SUMPRODUCT('bloco 01'!J6:J15, 'bloco 01'!K6:K15) + SUMPRODUCT('bloco 01'!J21:J30, 'bloco 01'!K21:K30)</f>
        <v>0</v>
      </c>
      <c r="D4" s="88">
        <f>SUMPRODUCT('bloco 01'!Q6:Q15, 'bloco 01'!R6:R15) + SUMPRODUCT('bloco 01'!Q21:Q30, 'bloco 01'!R21:R30)</f>
        <v>0</v>
      </c>
      <c r="E4" s="90">
        <f>SUMPRODUCT('bloco 01'!X6:X15, 'bloco 01'!Y6:Y15) + SUMPRODUCT('bloco 01'!X21:X30, 'bloco 01'!Y21:Y30)</f>
        <v>0</v>
      </c>
      <c r="F4" s="88">
        <f>SUMPRODUCT('bloco 02'!C6:C15, 'bloco 02'!D6:D15) + SUMPRODUCT('bloco 02'!C21:C30, 'bloco 02'!D21:D30)</f>
        <v>0</v>
      </c>
      <c r="G4" s="88">
        <f>SUMPRODUCT('bloco 02'!J6:J15, 'bloco 02'!K6:K15) + SUMPRODUCT('bloco 02'!J21:J30, 'bloco 02'!K21:K30)</f>
        <v>0</v>
      </c>
      <c r="H4" s="88">
        <f>SUMPRODUCT('bloco 02'!Q6:Q15, 'bloco 02'!R6:R15) + SUMPRODUCT('bloco 02'!Q21:Q30, 'bloco 02'!R21:R30)</f>
        <v>0</v>
      </c>
      <c r="I4" s="90">
        <f>SUMPRODUCT('bloco 02'!X6:X15, 'bloco 02'!Y6:Y15) + SUMPRODUCT('bloco 02'!X21:X30, 'bloco 02'!Y21:Y30)</f>
        <v>0</v>
      </c>
      <c r="J4" s="88">
        <f>SUMPRODUCT('bloco 03'!C6:C15, 'bloco 03'!D6:D15) + SUMPRODUCT('bloco 03'!C21:C30, 'bloco 03'!D21:D30)</f>
        <v>0</v>
      </c>
      <c r="K4" s="88">
        <f>SUMPRODUCT('bloco 03'!J6:J15, 'bloco 03'!K6:K15) + SUMPRODUCT('bloco 03'!J21:J30, 'bloco 03'!K21:K30)</f>
        <v>0</v>
      </c>
      <c r="L4" s="88">
        <f>SUMPRODUCT('bloco 03'!Q6:Q15, 'bloco 03'!R6:R15) + SUMPRODUCT('bloco 03'!Q21:Q30, 'bloco 03'!R21:R30)</f>
        <v>0</v>
      </c>
      <c r="M4" s="90">
        <f>SUMPRODUCT('bloco 03'!X6:X15, 'bloco 03'!Y6:Y15) + SUMPRODUCT('bloco 03'!X21:X30, 'bloco 03'!Y21:Y30)</f>
        <v>0</v>
      </c>
    </row>
    <row r="5" ht="37.5" customHeight="1">
      <c r="A5" s="87" t="s">
        <v>18</v>
      </c>
      <c r="B5" s="91" t="str">
        <f t="array" ref="B5">IFERROR(AVERAGEIF({'bloco 01'!F6:F15; 'bloco 01'!F21:F30}, "&gt;0"), "")</f>
        <v/>
      </c>
      <c r="C5" s="91" t="str">
        <f t="array" ref="C5">IFERROR(AVERAGEIF({'bloco 01'!M6:M15; 'bloco 01'!M21:M30}, "&gt;0"), "")</f>
        <v/>
      </c>
      <c r="D5" s="91" t="str">
        <f t="array" ref="D5">IFERROR(AVERAGEIF({'bloco 01'!T6:T15; 'bloco 01'!T21:T30}, "&gt;0"), "")</f>
        <v/>
      </c>
      <c r="E5" s="92" t="str">
        <f t="array" ref="E5">IFERROR(AVERAGEIF({'bloco 01'!AA6:AA15; 'bloco 01'!AA21:AA30}, "&gt;0"), "")</f>
        <v/>
      </c>
      <c r="F5" s="91" t="str">
        <f t="array" ref="F5">IFERROR(AVERAGEIF({'bloco 02'!F6:F15; 'bloco 02'!F21:F30}, "&gt;0"), "")</f>
        <v/>
      </c>
      <c r="G5" s="91" t="str">
        <f t="array" ref="G5">IFERROR(AVERAGEIF({'bloco 02'!M6:M15; 'bloco 02'!M21:M30}, "&gt;0"), "")</f>
        <v/>
      </c>
      <c r="H5" s="91" t="str">
        <f t="array" ref="H5">IFERROR(AVERAGEIF({'bloco 02'!T6:T15; 'bloco 02'!T21:T30}, "&gt;0"), "")</f>
        <v/>
      </c>
      <c r="I5" s="92" t="str">
        <f t="array" ref="I5">IFERROR(AVERAGEIF({'bloco 02'!AA6:AA15; 'bloco 02'!AA21:AA30}, "&gt;0"), "")</f>
        <v/>
      </c>
      <c r="J5" s="91" t="str">
        <f t="array" ref="J5">IFERROR(AVERAGEIF({'bloco 03'!F6:F15; 'bloco 03'!F21:F30}, "&gt;0"), "")</f>
        <v/>
      </c>
      <c r="K5" s="91" t="str">
        <f t="array" ref="K5">IFERROR(AVERAGEIF({'bloco 03'!M6:M15; 'bloco 03'!M21:M30}, "&gt;0"), "")</f>
        <v/>
      </c>
      <c r="L5" s="91" t="str">
        <f t="array" ref="L5">IFERROR(AVERAGEIF({'bloco 03'!T6:T15; 'bloco 03'!T21:T30}, "&gt;0"), "")</f>
        <v/>
      </c>
      <c r="M5" s="92" t="str">
        <f t="array" ref="M5">IFERROR(AVERAGEIF({'bloco 03'!AA6:AA15; 'bloco 03'!AA21:AA30}, "&gt;0"), "")</f>
        <v/>
      </c>
    </row>
    <row r="6" ht="37.5" customHeight="1">
      <c r="A6" s="93" t="s">
        <v>29</v>
      </c>
      <c r="B6" s="94">
        <v>46246.0</v>
      </c>
      <c r="C6" s="94">
        <f t="shared" ref="C6:M6" si="1">B6+7</f>
        <v>46253</v>
      </c>
      <c r="D6" s="94">
        <f t="shared" si="1"/>
        <v>46260</v>
      </c>
      <c r="E6" s="95">
        <f t="shared" si="1"/>
        <v>46267</v>
      </c>
      <c r="F6" s="94">
        <f t="shared" si="1"/>
        <v>46274</v>
      </c>
      <c r="G6" s="94">
        <f t="shared" si="1"/>
        <v>46281</v>
      </c>
      <c r="H6" s="94">
        <f t="shared" si="1"/>
        <v>46288</v>
      </c>
      <c r="I6" s="95">
        <f t="shared" si="1"/>
        <v>46295</v>
      </c>
      <c r="J6" s="94">
        <f t="shared" si="1"/>
        <v>46302</v>
      </c>
      <c r="K6" s="94">
        <f t="shared" si="1"/>
        <v>46309</v>
      </c>
      <c r="L6" s="94">
        <f t="shared" si="1"/>
        <v>46316</v>
      </c>
      <c r="M6" s="95">
        <f t="shared" si="1"/>
        <v>46323</v>
      </c>
    </row>
    <row r="7" ht="37.5" customHeight="1">
      <c r="A7" s="93" t="s">
        <v>11</v>
      </c>
      <c r="B7" s="96"/>
      <c r="C7" s="96"/>
      <c r="D7" s="96"/>
      <c r="E7" s="97"/>
      <c r="F7" s="96"/>
      <c r="G7" s="96"/>
      <c r="H7" s="96"/>
      <c r="I7" s="97"/>
      <c r="J7" s="96"/>
      <c r="K7" s="96"/>
      <c r="L7" s="96"/>
      <c r="M7" s="97"/>
    </row>
    <row r="8" ht="15.75" customHeight="1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</row>
    <row r="9" ht="15.75" customHeight="1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</row>
    <row r="10" ht="15.75" customHeight="1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</row>
    <row r="11" ht="15.75" customHeight="1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</row>
    <row r="12" ht="15.75" customHeight="1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</row>
    <row r="13" ht="15.75" customHeight="1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</row>
    <row r="14" ht="15.75" customHeight="1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</row>
    <row r="15" ht="15.75" customHeight="1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</row>
    <row r="16" ht="15.75" customHeight="1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</row>
    <row r="17" ht="15.75" customHeight="1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</row>
    <row r="18" ht="15.75" customHeight="1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</row>
    <row r="19" ht="15.75" customHeight="1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</row>
    <row r="20" ht="15.75" customHeight="1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</row>
    <row r="21" ht="15.75" customHeight="1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</row>
    <row r="22" ht="15.75" customHeight="1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</row>
    <row r="23" ht="15.75" customHeight="1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</row>
    <row r="24" ht="15.75" customHeight="1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</row>
    <row r="25" ht="15.75" customHeight="1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</row>
    <row r="26" ht="15.75" customHeight="1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</row>
    <row r="27" ht="15.75" customHeight="1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</row>
    <row r="28" ht="15.75" customHeight="1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</row>
    <row r="29" ht="15.75" customHeight="1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</row>
    <row r="30" ht="15.75" customHeight="1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</row>
    <row r="31" ht="15.75" customHeight="1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</row>
    <row r="32" ht="15.75" customHeight="1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</row>
    <row r="33" ht="15.75" customHeight="1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1"/>
      <c r="M33" s="11"/>
    </row>
    <row r="34" ht="15.75" customHeight="1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  <c r="M34" s="11"/>
    </row>
    <row r="35" ht="15.75" customHeight="1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  <c r="M35" s="11"/>
    </row>
    <row r="36" ht="15.75" customHeight="1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  <c r="M36" s="11"/>
    </row>
    <row r="37" ht="15.75" customHeight="1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  <c r="M37" s="11"/>
    </row>
    <row r="38" ht="15.75" customHeight="1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M38" s="11"/>
    </row>
    <row r="39" ht="15.75" customHeight="1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</row>
    <row r="40" ht="15.75" customHeight="1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</row>
    <row r="41" ht="15.75" customHeight="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 ht="15.75" customHeight="1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 ht="15.75" customHeight="1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  <row r="44" ht="15.75" customHeight="1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/>
      <c r="M44" s="11"/>
    </row>
    <row r="45" ht="15.75" customHeight="1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1"/>
      <c r="M45" s="11"/>
    </row>
    <row r="46" ht="15.75" customHeight="1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1"/>
      <c r="M46" s="11"/>
    </row>
    <row r="47" ht="15.75" customHeight="1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1"/>
      <c r="M47" s="11"/>
    </row>
    <row r="48" ht="15.75" customHeight="1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1"/>
      <c r="M48" s="11"/>
    </row>
    <row r="49" ht="15.75" customHeight="1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1"/>
      <c r="M49" s="11"/>
    </row>
    <row r="50" ht="15.75" customHeight="1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</row>
    <row r="51" ht="15.75" customHeight="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</row>
    <row r="52" ht="15.75" customHeight="1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</row>
    <row r="53" ht="15.75" customHeight="1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</row>
    <row r="54" ht="15.75" customHeight="1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</row>
    <row r="55" ht="15.75" customHeight="1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</row>
    <row r="56" ht="15.75" customHeight="1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</row>
    <row r="57" ht="15.75" customHeight="1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</row>
    <row r="58" ht="15.75" customHeight="1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</row>
    <row r="59" ht="15.75" customHeight="1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</row>
    <row r="60" ht="15.75" customHeight="1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</row>
    <row r="61" ht="15.75" customHeight="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</row>
    <row r="62" ht="15.75" customHeight="1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</row>
    <row r="63" ht="15.75" customHeight="1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</row>
    <row r="64" ht="15.75" customHeight="1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</row>
    <row r="65" ht="15.75" customHeight="1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</row>
    <row r="66" ht="15.75" customHeight="1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</row>
    <row r="67" ht="15.75" customHeight="1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</row>
    <row r="68" ht="15.75" customHeight="1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</row>
    <row r="69" ht="15.75" customHeight="1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</row>
    <row r="70" ht="15.75" customHeight="1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</row>
    <row r="71" ht="15.75" customHeight="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</row>
    <row r="72" ht="15.75" customHeight="1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</row>
    <row r="73" ht="15.75" customHeight="1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</row>
    <row r="74" ht="15.75" customHeight="1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</row>
    <row r="75" ht="15.75" customHeight="1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</row>
    <row r="76" ht="15.75" customHeight="1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</row>
    <row r="77" ht="15.75" customHeight="1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</row>
    <row r="78" ht="15.75" customHeight="1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</row>
    <row r="79" ht="15.75" customHeight="1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</row>
    <row r="80" ht="15.75" customHeight="1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</row>
    <row r="81" ht="15.75" customHeight="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</row>
    <row r="82" ht="15.75" customHeight="1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</row>
    <row r="83" ht="15.75" customHeight="1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</row>
    <row r="84" ht="15.75" customHeight="1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</row>
    <row r="85" ht="15.75" customHeight="1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</row>
    <row r="86" ht="15.75" customHeight="1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</row>
    <row r="87" ht="15.75" customHeight="1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</row>
    <row r="88" ht="15.75" customHeight="1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</row>
    <row r="89" ht="15.75" customHeight="1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</row>
    <row r="90" ht="15.75" customHeight="1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</row>
    <row r="91" ht="15.75" customHeight="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</row>
    <row r="92" ht="15.75" customHeight="1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</row>
    <row r="93" ht="15.75" customHeight="1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</row>
    <row r="94" ht="15.75" customHeight="1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</row>
    <row r="95" ht="15.75" customHeight="1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</row>
    <row r="96" ht="15.75" customHeight="1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</row>
    <row r="97" ht="15.75" customHeight="1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</row>
    <row r="98" ht="15.75" customHeight="1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</row>
    <row r="99" ht="15.75" customHeight="1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</row>
    <row r="100" ht="15.75" customHeight="1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</row>
    <row r="101" ht="15.75" customHeight="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</row>
    <row r="102" ht="15.75" customHeight="1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</row>
    <row r="103" ht="15.75" customHeight="1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</row>
    <row r="104" ht="15.75" customHeight="1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</row>
    <row r="105" ht="15.75" customHeight="1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</row>
    <row r="106" ht="15.75" customHeight="1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</row>
    <row r="107" ht="15.75" customHeight="1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</row>
    <row r="108" ht="15.75" customHeight="1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</row>
    <row r="109" ht="15.75" customHeight="1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</row>
    <row r="110" ht="15.75" customHeight="1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</row>
    <row r="111" ht="15.75" customHeight="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</row>
    <row r="112" ht="15.75" customHeight="1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</row>
    <row r="113" ht="15.75" customHeight="1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</row>
    <row r="114" ht="15.75" customHeight="1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</row>
    <row r="115" ht="15.75" customHeight="1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</row>
    <row r="116" ht="15.75" customHeight="1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</row>
    <row r="117" ht="15.75" customHeight="1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</row>
    <row r="118" ht="15.75" customHeight="1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</row>
    <row r="119" ht="15.75" customHeight="1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</row>
    <row r="120" ht="15.75" customHeight="1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</row>
    <row r="121" ht="15.75" customHeight="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</row>
    <row r="122" ht="15.75" customHeight="1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</row>
    <row r="123" ht="15.75" customHeight="1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</row>
    <row r="124" ht="15.75" customHeight="1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</row>
    <row r="125" ht="15.75" customHeight="1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</row>
    <row r="126" ht="15.75" customHeight="1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</row>
    <row r="127" ht="15.75" customHeight="1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</row>
    <row r="128" ht="15.75" customHeight="1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</row>
    <row r="129" ht="15.75" customHeight="1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</row>
    <row r="130" ht="15.75" customHeight="1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</row>
    <row r="131" ht="15.75" customHeight="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</row>
    <row r="132" ht="15.75" customHeight="1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</row>
    <row r="133" ht="15.75" customHeight="1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</row>
    <row r="134" ht="15.75" customHeight="1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</row>
    <row r="135" ht="15.75" customHeight="1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</row>
    <row r="136" ht="15.75" customHeight="1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</row>
    <row r="137" ht="15.75" customHeight="1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</row>
    <row r="138" ht="15.75" customHeight="1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</row>
    <row r="139" ht="15.75" customHeight="1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</row>
    <row r="140" ht="15.75" customHeight="1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</row>
    <row r="141" ht="15.75" customHeight="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</row>
    <row r="142" ht="15.75" customHeight="1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</row>
    <row r="143" ht="15.75" customHeight="1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</row>
    <row r="144" ht="15.75" customHeight="1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</row>
    <row r="145" ht="15.75" customHeight="1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</row>
    <row r="146" ht="15.75" customHeight="1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</row>
    <row r="147" ht="15.75" customHeight="1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</row>
    <row r="148" ht="15.75" customHeight="1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</row>
    <row r="149" ht="15.75" customHeight="1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</row>
    <row r="150" ht="15.75" customHeight="1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</row>
    <row r="151" ht="15.75" customHeight="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</row>
    <row r="152" ht="15.75" customHeight="1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</row>
    <row r="153" ht="15.75" customHeight="1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</row>
    <row r="154" ht="15.75" customHeight="1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</row>
    <row r="155" ht="15.75" customHeight="1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</row>
    <row r="156" ht="15.75" customHeight="1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</row>
    <row r="157" ht="15.75" customHeight="1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</row>
    <row r="158" ht="15.75" customHeight="1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</row>
    <row r="159" ht="15.75" customHeight="1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</row>
    <row r="160" ht="15.75" customHeight="1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</row>
    <row r="161" ht="15.75" customHeight="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</row>
    <row r="162" ht="15.75" customHeight="1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</row>
    <row r="163" ht="15.75" customHeight="1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</row>
    <row r="164" ht="15.75" customHeight="1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</row>
    <row r="165" ht="15.75" customHeight="1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</row>
    <row r="166" ht="15.75" customHeight="1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</row>
    <row r="167" ht="15.75" customHeight="1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</row>
    <row r="168" ht="15.75" customHeight="1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</row>
    <row r="169" ht="15.75" customHeight="1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</row>
    <row r="170" ht="15.75" customHeight="1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</row>
    <row r="171" ht="15.75" customHeight="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</row>
    <row r="172" ht="15.75" customHeight="1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</row>
    <row r="173" ht="15.75" customHeight="1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</row>
    <row r="174" ht="15.75" customHeight="1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</row>
    <row r="175" ht="15.75" customHeight="1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</row>
    <row r="176" ht="15.75" customHeight="1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</row>
    <row r="177" ht="15.75" customHeight="1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</row>
    <row r="178" ht="15.75" customHeight="1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</row>
    <row r="179" ht="15.75" customHeight="1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</row>
    <row r="180" ht="15.75" customHeight="1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</row>
    <row r="181" ht="15.75" customHeight="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</row>
    <row r="182" ht="15.75" customHeight="1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</row>
    <row r="183" ht="15.75" customHeight="1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</row>
    <row r="184" ht="15.75" customHeight="1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</row>
    <row r="185" ht="15.75" customHeight="1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</row>
    <row r="186" ht="15.75" customHeight="1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</row>
    <row r="187" ht="15.75" customHeight="1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</row>
    <row r="188" ht="15.75" customHeight="1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</row>
    <row r="189" ht="15.75" customHeight="1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</row>
    <row r="190" ht="15.75" customHeight="1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</row>
    <row r="191" ht="15.75" customHeight="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</row>
    <row r="192" ht="15.75" customHeight="1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</row>
    <row r="193" ht="15.75" customHeight="1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</row>
    <row r="194" ht="15.75" customHeight="1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</row>
    <row r="195" ht="15.75" customHeight="1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</row>
    <row r="196" ht="15.75" customHeight="1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</row>
    <row r="197" ht="15.75" customHeight="1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</row>
    <row r="198" ht="15.75" customHeight="1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</row>
    <row r="199" ht="15.75" customHeight="1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</row>
    <row r="200" ht="15.75" customHeight="1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</row>
    <row r="201" ht="15.75" customHeight="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</row>
    <row r="202" ht="15.75" customHeight="1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</row>
    <row r="203" ht="15.75" customHeight="1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</row>
    <row r="204" ht="15.75" customHeight="1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</row>
    <row r="205" ht="15.75" customHeight="1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</row>
    <row r="206" ht="15.75" customHeight="1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</row>
    <row r="207" ht="15.75" customHeight="1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</row>
    <row r="208" ht="15.75" customHeight="1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</row>
    <row r="209" ht="15.75" customHeight="1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</row>
    <row r="210" ht="15.75" customHeight="1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</row>
    <row r="211" ht="15.75" customHeight="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</row>
    <row r="212" ht="15.75" customHeight="1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</row>
    <row r="213" ht="15.75" customHeight="1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</row>
    <row r="214" ht="15.75" customHeight="1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</row>
    <row r="215" ht="15.75" customHeight="1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</row>
    <row r="216" ht="15.75" customHeight="1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</row>
    <row r="217" ht="15.75" customHeight="1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</row>
    <row r="218" ht="15.75" customHeight="1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</row>
    <row r="219" ht="15.75" customHeight="1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</row>
    <row r="220" ht="15.75" customHeight="1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E1"/>
    <mergeCell ref="F1:I1"/>
    <mergeCell ref="J1:M1"/>
  </mergeCells>
  <printOptions/>
  <pageMargins bottom="1.0" footer="0.0" header="0.0" left="0.75" right="0.75" top="1.0"/>
  <pageSetup orientation="landscape"/>
  <drawing r:id="rId1"/>
</worksheet>
</file>