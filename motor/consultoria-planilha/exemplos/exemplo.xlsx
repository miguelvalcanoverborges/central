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uno 01" sheetId="1" state="visible" r:id="rId1"/>
    <sheet name="bloco 01" sheetId="2" state="visible" r:id="rId2"/>
    <sheet name="aluno 02" sheetId="3" state="visible" r:id="rId3"/>
    <sheet name="bloco 02" sheetId="4" state="visible" r:id="rId4"/>
    <sheet name="aluno 03" sheetId="5" state="visible" r:id="rId5"/>
    <sheet name="bloco 03" sheetId="6" state="visible" r:id="rId6"/>
    <sheet name="prs" sheetId="7" state="visible" r:id="rId7"/>
    <sheet name="mac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"/>
    <numFmt numFmtId="165" formatCode="dd/mm"/>
    <numFmt numFmtId="166" formatCode="dd/MM/yyyy"/>
  </numFmts>
  <fonts count="21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FFFFFF"/>
      <sz val="12"/>
    </font>
    <font>
      <name val="Arial"/>
      <b val="1"/>
      <color theme="1"/>
      <sz val="20"/>
    </font>
    <font>
      <name val="Arial"/>
      <b val="1"/>
      <color theme="1"/>
      <sz val="12"/>
    </font>
    <font>
      <name val="Arial"/>
      <color rgb="FF000000"/>
      <sz val="10"/>
    </font>
    <font>
      <name val="Arial"/>
      <color rgb="FFFFFFFF"/>
    </font>
    <font>
      <name val="Arial"/>
      <color theme="1"/>
    </font>
    <font>
      <name val="Arial"/>
      <b val="1"/>
      <color rgb="FFFFFFFF"/>
      <sz val="9"/>
    </font>
    <font>
      <name val="Playfair Display"/>
      <b val="1"/>
      <color rgb="FFFFFFFF"/>
      <sz val="12"/>
    </font>
    <font>
      <name val="Playfair Display"/>
      <color rgb="FFFFFFFF"/>
    </font>
    <font>
      <name val="Playfair Display"/>
      <color theme="1"/>
    </font>
    <font>
      <name val="Arial"/>
      <b val="1"/>
      <color rgb="FFFFFFFF"/>
      <sz val="12"/>
    </font>
    <font>
      <name val="Arial"/>
      <b val="1"/>
      <color rgb="FFFF0000"/>
    </font>
    <font>
      <name val="Arial"/>
      <b val="1"/>
      <color rgb="FF000000"/>
    </font>
    <font>
      <name val="Arial"/>
      <b val="1"/>
      <color rgb="FFFFFFFF"/>
      <sz val="14"/>
    </font>
    <font>
      <name val="Arial"/>
      <color rgb="FF000000"/>
    </font>
    <font>
      <name val="Arial"/>
      <b val="1"/>
      <color rgb="FFFFFFFF"/>
      <sz val="16"/>
    </font>
    <font>
      <name val="Arial"/>
      <b val="1"/>
      <color theme="1"/>
    </font>
    <font/>
    <font>
      <name val="Arial"/>
      <b val="1"/>
      <color rgb="FFFFFFFF"/>
      <sz val="10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F3F3F3"/>
      </right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3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165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vertical="bottom"/>
    </xf>
    <xf numFmtId="0" fontId="8" fillId="2" borderId="0" pivotButton="0" quotePrefix="0" xfId="0"/>
    <xf numFmtId="0" fontId="9" fillId="2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7" fillId="2" borderId="0" pivotButton="0" quotePrefix="0" xfId="0"/>
    <xf numFmtId="164" fontId="1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left"/>
    </xf>
    <xf numFmtId="0" fontId="7" fillId="4" borderId="0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5" borderId="0" applyAlignment="1" pivotButton="0" quotePrefix="0" xfId="0">
      <alignment horizontal="center"/>
    </xf>
    <xf numFmtId="0" fontId="7" fillId="5" borderId="2" applyAlignment="1" pivotButton="0" quotePrefix="0" xfId="0">
      <alignment horizontal="center"/>
    </xf>
    <xf numFmtId="164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vertical="bottom"/>
    </xf>
    <xf numFmtId="9" fontId="7" fillId="0" borderId="0" applyAlignment="1" pivotButton="0" quotePrefix="0" xfId="0">
      <alignment horizontal="center"/>
    </xf>
    <xf numFmtId="0" fontId="7" fillId="3" borderId="0" pivotButton="0" quotePrefix="0" xfId="0"/>
    <xf numFmtId="0" fontId="7" fillId="5" borderId="0" applyAlignment="1" pivotButton="0" quotePrefix="0" xfId="0">
      <alignment horizontal="center" vertical="bottom"/>
    </xf>
    <xf numFmtId="0" fontId="7" fillId="5" borderId="2" applyAlignment="1" pivotButton="0" quotePrefix="0" xfId="0">
      <alignment horizontal="center" vertical="bottom"/>
    </xf>
    <xf numFmtId="0" fontId="7" fillId="2" borderId="0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6" fillId="3" borderId="0" pivotButton="0" quotePrefix="0" xfId="0"/>
    <xf numFmtId="9" fontId="1" fillId="2" borderId="0" applyAlignment="1" pivotButton="0" quotePrefix="0" xfId="0">
      <alignment horizontal="center" vertical="bottom"/>
    </xf>
    <xf numFmtId="0" fontId="18" fillId="3" borderId="0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6" fillId="2" borderId="3" pivotButton="0" quotePrefix="0" xfId="0"/>
    <xf numFmtId="0" fontId="1" fillId="2" borderId="4" applyAlignment="1" pivotButton="0" quotePrefix="0" xfId="0">
      <alignment horizontal="right"/>
    </xf>
    <xf numFmtId="166" fontId="6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center" vertical="bottom"/>
    </xf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9" fontId="1" fillId="2" borderId="3" applyAlignment="1" pivotButton="0" quotePrefix="0" xfId="0">
      <alignment horizontal="center" vertical="bottom"/>
    </xf>
    <xf numFmtId="9" fontId="1" fillId="2" borderId="6" applyAlignment="1" pivotButton="0" quotePrefix="0" xfId="0">
      <alignment horizontal="center" vertical="bottom"/>
    </xf>
    <xf numFmtId="0" fontId="7" fillId="0" borderId="7" applyAlignment="1" pivotButton="0" quotePrefix="0" xfId="0">
      <alignment vertical="bottom"/>
    </xf>
    <xf numFmtId="0" fontId="7" fillId="5" borderId="5" applyAlignment="1" pivotButton="0" quotePrefix="0" xfId="0">
      <alignment horizontal="center"/>
    </xf>
    <xf numFmtId="0" fontId="7" fillId="5" borderId="6" applyAlignment="1" pivotButton="0" quotePrefix="0" xfId="0">
      <alignment horizontal="center"/>
    </xf>
    <xf numFmtId="1" fontId="16" fillId="4" borderId="0" applyAlignment="1" pivotButton="0" quotePrefix="0" xfId="0">
      <alignment horizontal="center" vertical="bottom"/>
    </xf>
    <xf numFmtId="1" fontId="16" fillId="4" borderId="2" applyAlignment="1" pivotButton="0" quotePrefix="0" xfId="0">
      <alignment horizontal="center" vertical="bottom"/>
    </xf>
    <xf numFmtId="0" fontId="7" fillId="5" borderId="7" applyAlignment="1" pivotButton="0" quotePrefix="0" xfId="0">
      <alignment horizontal="center"/>
    </xf>
    <xf numFmtId="0" fontId="7" fillId="5" borderId="7" applyAlignment="1" pivotButton="0" quotePrefix="0" xfId="0">
      <alignment horizontal="center" vertical="bottom"/>
    </xf>
    <xf numFmtId="0" fontId="7" fillId="0" borderId="8" applyAlignment="1" pivotButton="0" quotePrefix="0" xfId="0">
      <alignment vertical="bottom"/>
    </xf>
    <xf numFmtId="0" fontId="7" fillId="5" borderId="8" applyAlignment="1" pivotButton="0" quotePrefix="0" xfId="0">
      <alignment horizontal="center" vertical="bottom"/>
    </xf>
    <xf numFmtId="0" fontId="7" fillId="5" borderId="9" applyAlignment="1" pivotButton="0" quotePrefix="0" xfId="0">
      <alignment horizontal="center" vertical="bottom"/>
    </xf>
    <xf numFmtId="1" fontId="16" fillId="4" borderId="4" applyAlignment="1" pivotButton="0" quotePrefix="0" xfId="0">
      <alignment horizontal="center" vertical="bottom"/>
    </xf>
    <xf numFmtId="1" fontId="16" fillId="4" borderId="9" applyAlignment="1" pivotButton="0" quotePrefix="0" xfId="0">
      <alignment horizontal="center" vertical="bottom"/>
    </xf>
    <xf numFmtId="1" fontId="16" fillId="4" borderId="3" applyAlignment="1" pivotButton="0" quotePrefix="0" xfId="0">
      <alignment horizontal="center" vertical="bottom"/>
    </xf>
    <xf numFmtId="1" fontId="16" fillId="4" borderId="6" applyAlignment="1" pivotButton="0" quotePrefix="0" xfId="0">
      <alignment horizontal="center" vertical="bottom"/>
    </xf>
    <xf numFmtId="0" fontId="7" fillId="0" borderId="10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7" fillId="5" borderId="0" pivotButton="0" quotePrefix="0" xfId="0"/>
    <xf numFmtId="0" fontId="18" fillId="5" borderId="0" applyAlignment="1" pivotButton="0" quotePrefix="0" xfId="0">
      <alignment horizontal="center"/>
    </xf>
    <xf numFmtId="0" fontId="19" fillId="0" borderId="12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3" fontId="6" fillId="2" borderId="0" applyAlignment="1" pivotButton="0" quotePrefix="0" xfId="0">
      <alignment horizontal="center" vertical="center"/>
    </xf>
    <xf numFmtId="3" fontId="6" fillId="2" borderId="12" applyAlignment="1" pivotButton="0" quotePrefix="0" xfId="0">
      <alignment horizontal="center" vertical="center"/>
    </xf>
    <xf numFmtId="9" fontId="6" fillId="2" borderId="0" applyAlignment="1" pivotButton="0" quotePrefix="0" xfId="0">
      <alignment horizontal="center" vertical="center"/>
    </xf>
    <xf numFmtId="9" fontId="6" fillId="2" borderId="12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49" fontId="20" fillId="3" borderId="0" applyAlignment="1" pivotButton="0" quotePrefix="0" xfId="0">
      <alignment horizontal="left" vertical="center"/>
    </xf>
    <xf numFmtId="49" fontId="20" fillId="3" borderId="12" applyAlignment="1" pivotButton="0" quotePrefix="0" xfId="0">
      <alignment horizontal="left" vertical="center"/>
    </xf>
    <xf numFmtId="0" fontId="0" fillId="0" borderId="0" pivotButton="0" quotePrefix="0" xfId="0"/>
    <xf numFmtId="0" fontId="18" fillId="5" borderId="12" applyAlignment="1" pivotButton="0" quotePrefix="0" xfId="0">
      <alignment horizontal="center"/>
    </xf>
    <xf numFmtId="0" fontId="0" fillId="0" borderId="12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VTT x VTR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1"/>
          <order val="0"/>
          <tx>
            <strRef>
              <f>macro!$A$3</f>
            </strRef>
          </tx>
          <spPr>
            <a:solidFill>
              <a:srgbClr val="1C4587"/>
            </a:solidFill>
            <a:ln cmpd="sng">
              <a:noFill/>
              <a:prstDash val="solid"/>
            </a:ln>
          </spPr>
          <invertIfNegative val="0"/>
          <cat>
            <strRef>
              <f>macro!$B$2:$M$2</f>
            </strRef>
          </cat>
          <val>
            <numRef>
              <f>macro!$B$3:$M$3</f>
              <numCache/>
            </numRef>
          </val>
        </ser>
        <gapWidth val="150"/>
        <axId val="756917470"/>
        <axId val="1940370170"/>
      </barChart>
      <lineChart>
        <grouping val="standard"/>
        <varyColors val="0"/>
        <ser>
          <idx val="2"/>
          <order val="2"/>
          <tx>
            <strRef>
              <f>macro!$A$4</f>
            </strRef>
          </tx>
          <spPr>
            <a:ln cmpd="sng">
              <a:solidFill>
                <a:srgbClr val="FF9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macro!$B$2:$M$2</f>
            </strRef>
          </cat>
          <val>
            <numRef>
              <f>macro!$B$4:$M$4</f>
              <numCache/>
            </numRef>
          </val>
          <smooth val="0"/>
        </ser>
        <axId val="756917470"/>
        <axId val="1940370170"/>
      </lineChart>
      <catAx>
        <axId val="756917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40370170"/>
        <lblOffset val="100"/>
      </catAx>
      <valAx>
        <axId val="194037017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56917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447675</rowOff>
    </from>
    <ext cx="9420225" cy="2457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1000"/>
  <sheetViews>
    <sheetView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7.5" customHeight="1" s="98">
      <c r="A1" s="8" t="n"/>
      <c r="B1" s="9" t="inlineStr">
        <is>
          <t>PLANILHA DE TREINAMENTO</t>
        </is>
      </c>
    </row>
    <row r="2" ht="15.75" customHeight="1" s="98">
      <c r="B2" s="11" t="inlineStr">
        <is>
          <t>NOME</t>
        </is>
      </c>
      <c r="C2" s="12" t="inlineStr">
        <is>
          <t>Aluno Exemplo</t>
        </is>
      </c>
    </row>
    <row r="3" ht="15.75" customHeight="1" s="98">
      <c r="B3" s="11" t="inlineStr">
        <is>
          <t>OBJETIVO</t>
        </is>
      </c>
      <c r="C3" s="14" t="inlineStr">
        <is>
          <t>Exemplo fictício para teste do template</t>
        </is>
      </c>
    </row>
    <row r="4" ht="15.75" customHeight="1" s="98">
      <c r="A4" s="15" t="n"/>
      <c r="B4" s="16" t="n"/>
      <c r="C4" s="17" t="n"/>
      <c r="D4" s="19" t="n"/>
      <c r="E4" s="20" t="n"/>
      <c r="F4" s="21" t="n"/>
      <c r="G4" s="21" t="n"/>
    </row>
    <row r="5" ht="15.75" customHeight="1" s="98">
      <c r="A5" s="23" t="n"/>
      <c r="B5" s="25" t="inlineStr">
        <is>
          <t>SEGUNDA</t>
        </is>
      </c>
      <c r="C5" s="25" t="inlineStr">
        <is>
          <t>TERÇA</t>
        </is>
      </c>
      <c r="D5" s="25" t="inlineStr">
        <is>
          <t>QUARTA</t>
        </is>
      </c>
      <c r="E5" s="25" t="inlineStr">
        <is>
          <t>QUINTA</t>
        </is>
      </c>
      <c r="F5" s="25" t="inlineStr">
        <is>
          <t>SEXTA</t>
        </is>
      </c>
      <c r="G5" s="5" t="n"/>
    </row>
    <row r="6" ht="15.75" customHeight="1" s="98">
      <c r="A6" s="26" t="n"/>
      <c r="B6" s="27" t="inlineStr">
        <is>
          <t>T01</t>
        </is>
      </c>
      <c r="C6" s="27" t="n"/>
      <c r="D6" s="27" t="inlineStr">
        <is>
          <t>T02</t>
        </is>
      </c>
      <c r="E6" s="27" t="n"/>
      <c r="F6" s="27" t="inlineStr">
        <is>
          <t>T03</t>
        </is>
      </c>
      <c r="G6" s="5" t="n"/>
    </row>
    <row r="7" ht="15.75" customHeight="1" s="98">
      <c r="A7" s="26" t="n"/>
      <c r="B7" s="28" t="n"/>
      <c r="C7" s="28" t="n"/>
      <c r="D7" s="28" t="n"/>
      <c r="E7" s="28" t="n"/>
      <c r="F7" s="28" t="n"/>
      <c r="G7" s="28" t="n"/>
    </row>
    <row r="8" ht="15.75" customHeight="1" s="98">
      <c r="A8" s="29" t="inlineStr">
        <is>
          <t>OBS</t>
        </is>
      </c>
    </row>
    <row r="9" ht="15.75" customHeight="1" s="98">
      <c r="A9" s="30" t="inlineStr">
        <is>
          <t>Exemplo fictício: dados criados só para testar o layout.</t>
        </is>
      </c>
    </row>
    <row r="10" ht="15.75" customHeight="1" s="98"/>
    <row r="11" ht="15.75" customHeight="1" s="98">
      <c r="A11" s="29" t="inlineStr">
        <is>
          <t>AQC</t>
        </is>
      </c>
    </row>
    <row r="12" ht="15.75" customHeight="1" s="98">
      <c r="A12" s="2" t="n"/>
      <c r="B12" s="31" t="inlineStr">
        <is>
          <t>SETS</t>
        </is>
      </c>
      <c r="C12" s="31" t="inlineStr">
        <is>
          <t>REPS / TEMPO</t>
        </is>
      </c>
      <c r="D12" s="32" t="inlineStr">
        <is>
          <t>KG</t>
        </is>
      </c>
      <c r="E12" s="32" t="inlineStr">
        <is>
          <t>OBS</t>
        </is>
      </c>
    </row>
    <row r="13" ht="15.75" customHeight="1" s="98">
      <c r="A13" s="33" t="inlineStr">
        <is>
          <t>Mobilidade de quadril</t>
        </is>
      </c>
      <c r="B13" s="34" t="n">
        <v>2</v>
      </c>
      <c r="C13" s="34" t="inlineStr">
        <is>
          <t>10</t>
        </is>
      </c>
      <c r="D13" s="34" t="n"/>
      <c r="E13" s="35" t="inlineStr">
        <is>
          <t>https://www.youtube.com/watch?v=exemplo</t>
        </is>
      </c>
    </row>
    <row r="14" ht="15.75" customHeight="1" s="98">
      <c r="A14" s="36" t="inlineStr">
        <is>
          <t>Prancha</t>
        </is>
      </c>
      <c r="B14" s="37" t="n">
        <v>3</v>
      </c>
      <c r="C14" s="37" t="inlineStr">
        <is>
          <t>30s</t>
        </is>
      </c>
      <c r="D14" s="34" t="n"/>
      <c r="E14" s="35" t="n"/>
    </row>
    <row r="15" ht="15.75" customHeight="1" s="98">
      <c r="A15" s="33" t="inlineStr">
        <is>
          <t>Agachamento goblet</t>
        </is>
      </c>
      <c r="B15" s="34" t="n">
        <v>2</v>
      </c>
      <c r="C15" s="34" t="inlineStr">
        <is>
          <t>10</t>
        </is>
      </c>
      <c r="D15" s="34" t="n">
        <v>12</v>
      </c>
      <c r="E15" s="35" t="n"/>
    </row>
    <row r="16" ht="15.75" customHeight="1" s="98">
      <c r="A16" s="43">
        <f>'bloco 01'!C3</f>
        <v/>
      </c>
    </row>
    <row r="17" ht="15.75" customHeight="1" s="98">
      <c r="A17" s="44" t="inlineStr">
        <is>
          <t>SEMANA 01</t>
        </is>
      </c>
    </row>
    <row r="18" ht="15.75" customHeight="1" s="98">
      <c r="A18" s="29" t="inlineStr">
        <is>
          <t>TREINO 01</t>
        </is>
      </c>
    </row>
    <row r="19" ht="15.75" customHeight="1" s="98">
      <c r="A19" s="31" t="n"/>
      <c r="B19" s="31" t="inlineStr">
        <is>
          <t>SETS</t>
        </is>
      </c>
      <c r="C19" s="32" t="inlineStr">
        <is>
          <t>REPS</t>
        </is>
      </c>
      <c r="D19" s="32" t="inlineStr">
        <is>
          <t>KG</t>
        </is>
      </c>
      <c r="E19" s="32" t="inlineStr">
        <is>
          <t>%1RM / PSE</t>
        </is>
      </c>
      <c r="F19" s="32" t="inlineStr">
        <is>
          <t>OBS</t>
        </is>
      </c>
    </row>
    <row r="20" ht="15.75" customHeight="1" s="98">
      <c r="A20" s="14">
        <f>'bloco 01'!$B$6</f>
        <v/>
      </c>
      <c r="B20" s="46">
        <f>'bloco 01'!C6</f>
        <v/>
      </c>
      <c r="C20" s="46">
        <f>'bloco 01'!D6</f>
        <v/>
      </c>
      <c r="D20" s="46">
        <f>'bloco 01'!E6</f>
        <v/>
      </c>
      <c r="E20" s="45">
        <f>IFERROR(('bloco 01'!F6),"")</f>
        <v/>
      </c>
      <c r="F20" s="48">
        <f>'bloco 01'!G6</f>
        <v/>
      </c>
    </row>
    <row r="21" ht="15.75" customHeight="1" s="98">
      <c r="A21" s="14">
        <f>'bloco 01'!$B$7</f>
        <v/>
      </c>
      <c r="B21" s="46">
        <f>'bloco 01'!C7</f>
        <v/>
      </c>
      <c r="C21" s="46">
        <f>'bloco 01'!D7</f>
        <v/>
      </c>
      <c r="D21" s="46">
        <f>'bloco 01'!E7</f>
        <v/>
      </c>
      <c r="E21" s="45">
        <f>IFERROR(('bloco 01'!F7),"")</f>
        <v/>
      </c>
      <c r="F21" s="48">
        <f>'bloco 01'!G7</f>
        <v/>
      </c>
    </row>
    <row r="22" ht="15.75" customHeight="1" s="98">
      <c r="A22" s="14">
        <f>'bloco 01'!$B$8</f>
        <v/>
      </c>
      <c r="B22" s="46">
        <f>'bloco 01'!C8</f>
        <v/>
      </c>
      <c r="C22" s="46">
        <f>'bloco 01'!D8</f>
        <v/>
      </c>
      <c r="D22" s="46">
        <f>'bloco 01'!E8</f>
        <v/>
      </c>
      <c r="E22" s="45">
        <f>IFERROR(('bloco 01'!F8),"")</f>
        <v/>
      </c>
      <c r="F22" s="48">
        <f>'bloco 01'!G8</f>
        <v/>
      </c>
    </row>
    <row r="23" ht="15.75" customHeight="1" s="98">
      <c r="A23" s="14">
        <f>'bloco 01'!$B$9</f>
        <v/>
      </c>
      <c r="B23" s="46">
        <f>'bloco 01'!C9</f>
        <v/>
      </c>
      <c r="C23" s="46">
        <f>'bloco 01'!D9</f>
        <v/>
      </c>
      <c r="D23" s="46">
        <f>'bloco 01'!E9</f>
        <v/>
      </c>
      <c r="E23" s="45">
        <f>IFERROR(('bloco 01'!F9),"")</f>
        <v/>
      </c>
      <c r="F23" s="48">
        <f>'bloco 01'!G9</f>
        <v/>
      </c>
    </row>
    <row r="24" ht="15.75" customHeight="1" s="98">
      <c r="A24" s="14">
        <f>'bloco 01'!$B$10</f>
        <v/>
      </c>
      <c r="B24" s="46">
        <f>'bloco 01'!C10</f>
        <v/>
      </c>
      <c r="C24" s="46">
        <f>'bloco 01'!D10</f>
        <v/>
      </c>
      <c r="D24" s="46">
        <f>'bloco 01'!E10</f>
        <v/>
      </c>
      <c r="E24" s="45">
        <f>IFERROR(('bloco 01'!F10),"")</f>
        <v/>
      </c>
      <c r="F24" s="48">
        <f>'bloco 01'!G10</f>
        <v/>
      </c>
    </row>
    <row r="25" ht="15.75" customHeight="1" s="98">
      <c r="A25" s="14">
        <f>'bloco 01'!$B$11</f>
        <v/>
      </c>
      <c r="B25" s="46">
        <f>'bloco 01'!C11</f>
        <v/>
      </c>
      <c r="C25" s="46">
        <f>'bloco 01'!D11</f>
        <v/>
      </c>
      <c r="D25" s="46">
        <f>'bloco 01'!E11</f>
        <v/>
      </c>
      <c r="E25" s="45">
        <f>IFERROR(('bloco 01'!F11),"")</f>
        <v/>
      </c>
      <c r="F25" s="48">
        <f>'bloco 01'!G11</f>
        <v/>
      </c>
    </row>
    <row r="26" ht="15.75" customHeight="1" s="98">
      <c r="A26" s="14">
        <f>'bloco 01'!$B$12</f>
        <v/>
      </c>
      <c r="B26" s="46">
        <f>'bloco 01'!C12</f>
        <v/>
      </c>
      <c r="C26" s="46">
        <f>'bloco 01'!D12</f>
        <v/>
      </c>
      <c r="D26" s="46">
        <f>'bloco 01'!E12</f>
        <v/>
      </c>
      <c r="E26" s="45">
        <f>IFERROR(('bloco 01'!F12),"")</f>
        <v/>
      </c>
      <c r="F26" s="48">
        <f>'bloco 01'!G12</f>
        <v/>
      </c>
    </row>
    <row r="27" ht="15.75" customHeight="1" s="98">
      <c r="A27" s="14">
        <f>'bloco 01'!$B$13</f>
        <v/>
      </c>
      <c r="B27" s="46">
        <f>'bloco 01'!C13</f>
        <v/>
      </c>
      <c r="C27" s="46">
        <f>'bloco 01'!D13</f>
        <v/>
      </c>
      <c r="D27" s="46">
        <f>'bloco 01'!E13</f>
        <v/>
      </c>
      <c r="E27" s="45">
        <f>IFERROR(('bloco 01'!F13),"")</f>
        <v/>
      </c>
      <c r="F27" s="48">
        <f>'bloco 01'!G13</f>
        <v/>
      </c>
    </row>
    <row r="28" ht="15.75" customHeight="1" s="98">
      <c r="A28" s="14">
        <f>'bloco 01'!$B$14</f>
        <v/>
      </c>
      <c r="B28" s="46">
        <f>'bloco 01'!C14</f>
        <v/>
      </c>
      <c r="C28" s="46">
        <f>'bloco 01'!D14</f>
        <v/>
      </c>
      <c r="D28" s="46">
        <f>'bloco 01'!E14</f>
        <v/>
      </c>
      <c r="E28" s="45">
        <f>IFERROR(('bloco 01'!F14),"")</f>
        <v/>
      </c>
      <c r="F28" s="48">
        <f>'bloco 01'!G14</f>
        <v/>
      </c>
    </row>
    <row r="29" ht="15.75" customHeight="1" s="98">
      <c r="A29" s="14">
        <f>'bloco 01'!$B$15</f>
        <v/>
      </c>
      <c r="B29" s="46">
        <f>'bloco 01'!C15</f>
        <v/>
      </c>
      <c r="C29" s="46">
        <f>'bloco 01'!D15</f>
        <v/>
      </c>
      <c r="D29" s="46">
        <f>'bloco 01'!E15</f>
        <v/>
      </c>
      <c r="E29" s="45">
        <f>IFERROR(('bloco 01'!F15),"")</f>
        <v/>
      </c>
      <c r="F29" s="48">
        <f>'bloco 01'!G15</f>
        <v/>
      </c>
    </row>
    <row r="30" ht="15.75" customHeight="1" s="98">
      <c r="A30" s="29" t="inlineStr">
        <is>
          <t>TREINO 02</t>
        </is>
      </c>
    </row>
    <row r="31" ht="15.75" customHeight="1" s="98">
      <c r="A31" s="31" t="n"/>
      <c r="B31" s="31" t="inlineStr">
        <is>
          <t>SETS</t>
        </is>
      </c>
      <c r="C31" s="32" t="inlineStr">
        <is>
          <t>REPS</t>
        </is>
      </c>
      <c r="D31" s="32" t="inlineStr">
        <is>
          <t>KG</t>
        </is>
      </c>
      <c r="E31" s="32" t="inlineStr">
        <is>
          <t>%1RM / PSE</t>
        </is>
      </c>
      <c r="F31" s="32" t="inlineStr">
        <is>
          <t>OBS</t>
        </is>
      </c>
    </row>
    <row r="32" ht="15.75" customHeight="1" s="98">
      <c r="A32" s="14">
        <f>'bloco 01'!$B$21</f>
        <v/>
      </c>
      <c r="B32" s="46">
        <f>'bloco 01'!C21</f>
        <v/>
      </c>
      <c r="C32" s="46">
        <f>'bloco 01'!D21</f>
        <v/>
      </c>
      <c r="D32" s="46">
        <f>'bloco 01'!E21</f>
        <v/>
      </c>
      <c r="E32" s="45">
        <f>IFERROR(('bloco 01'!F21),"")</f>
        <v/>
      </c>
      <c r="F32" s="48">
        <f>'bloco 01'!G21</f>
        <v/>
      </c>
    </row>
    <row r="33" ht="15.75" customHeight="1" s="98">
      <c r="A33" s="14">
        <f>'bloco 01'!$B$22</f>
        <v/>
      </c>
      <c r="B33" s="46">
        <f>'bloco 01'!C22</f>
        <v/>
      </c>
      <c r="C33" s="46">
        <f>'bloco 01'!D22</f>
        <v/>
      </c>
      <c r="D33" s="46">
        <f>'bloco 01'!E22</f>
        <v/>
      </c>
      <c r="E33" s="45">
        <f>IFERROR(('bloco 01'!F22),"")</f>
        <v/>
      </c>
      <c r="F33" s="48">
        <f>'bloco 01'!G22</f>
        <v/>
      </c>
    </row>
    <row r="34" ht="15.75" customHeight="1" s="98">
      <c r="A34" s="14">
        <f>'bloco 01'!$B$23</f>
        <v/>
      </c>
      <c r="B34" s="46">
        <f>'bloco 01'!C23</f>
        <v/>
      </c>
      <c r="C34" s="46">
        <f>'bloco 01'!D23</f>
        <v/>
      </c>
      <c r="D34" s="46">
        <f>'bloco 01'!E23</f>
        <v/>
      </c>
      <c r="E34" s="45">
        <f>IFERROR(('bloco 01'!F23),"")</f>
        <v/>
      </c>
      <c r="F34" s="48">
        <f>'bloco 01'!G23</f>
        <v/>
      </c>
    </row>
    <row r="35" ht="15.75" customHeight="1" s="98">
      <c r="A35" s="14">
        <f>'bloco 01'!$B$24</f>
        <v/>
      </c>
      <c r="B35" s="46">
        <f>'bloco 01'!C24</f>
        <v/>
      </c>
      <c r="C35" s="46">
        <f>'bloco 01'!D24</f>
        <v/>
      </c>
      <c r="D35" s="46">
        <f>'bloco 01'!E24</f>
        <v/>
      </c>
      <c r="E35" s="45">
        <f>IFERROR(('bloco 01'!F24),"")</f>
        <v/>
      </c>
      <c r="F35" s="48">
        <f>'bloco 01'!G24</f>
        <v/>
      </c>
    </row>
    <row r="36" ht="15.75" customHeight="1" s="98">
      <c r="A36" s="14">
        <f>'bloco 01'!$B$25</f>
        <v/>
      </c>
      <c r="B36" s="46">
        <f>'bloco 01'!C25</f>
        <v/>
      </c>
      <c r="C36" s="46">
        <f>'bloco 01'!D25</f>
        <v/>
      </c>
      <c r="D36" s="46">
        <f>'bloco 01'!E25</f>
        <v/>
      </c>
      <c r="E36" s="45">
        <f>IFERROR(('bloco 01'!F25),"")</f>
        <v/>
      </c>
      <c r="F36" s="48">
        <f>'bloco 01'!G25</f>
        <v/>
      </c>
    </row>
    <row r="37" ht="15.75" customHeight="1" s="98">
      <c r="A37" s="14">
        <f>'bloco 01'!$B$26</f>
        <v/>
      </c>
      <c r="B37" s="46">
        <f>'bloco 01'!C26</f>
        <v/>
      </c>
      <c r="C37" s="46">
        <f>'bloco 01'!D26</f>
        <v/>
      </c>
      <c r="D37" s="46">
        <f>'bloco 01'!E26</f>
        <v/>
      </c>
      <c r="E37" s="45">
        <f>IFERROR(('bloco 01'!F26),"")</f>
        <v/>
      </c>
      <c r="F37" s="48">
        <f>'bloco 01'!G26</f>
        <v/>
      </c>
    </row>
    <row r="38" ht="15.75" customHeight="1" s="98">
      <c r="A38" s="14">
        <f>'bloco 01'!$B$27</f>
        <v/>
      </c>
      <c r="B38" s="46">
        <f>'bloco 01'!C27</f>
        <v/>
      </c>
      <c r="C38" s="46">
        <f>'bloco 01'!D27</f>
        <v/>
      </c>
      <c r="D38" s="46">
        <f>'bloco 01'!E27</f>
        <v/>
      </c>
      <c r="E38" s="45">
        <f>IFERROR(('bloco 01'!F27),"")</f>
        <v/>
      </c>
      <c r="F38" s="48">
        <f>'bloco 01'!G27</f>
        <v/>
      </c>
    </row>
    <row r="39" ht="15.75" customHeight="1" s="98">
      <c r="A39" s="14">
        <f>'bloco 01'!$B$28</f>
        <v/>
      </c>
      <c r="B39" s="46">
        <f>'bloco 01'!C28</f>
        <v/>
      </c>
      <c r="C39" s="46">
        <f>'bloco 01'!D28</f>
        <v/>
      </c>
      <c r="D39" s="46">
        <f>'bloco 01'!E28</f>
        <v/>
      </c>
      <c r="E39" s="45">
        <f>IFERROR(('bloco 01'!F28),"")</f>
        <v/>
      </c>
      <c r="F39" s="48">
        <f>'bloco 01'!G28</f>
        <v/>
      </c>
    </row>
    <row r="40" ht="15.75" customHeight="1" s="98">
      <c r="A40" s="14">
        <f>'bloco 01'!$B$29</f>
        <v/>
      </c>
      <c r="B40" s="46">
        <f>'bloco 01'!C29</f>
        <v/>
      </c>
      <c r="C40" s="46">
        <f>'bloco 01'!D29</f>
        <v/>
      </c>
      <c r="D40" s="46">
        <f>'bloco 01'!E29</f>
        <v/>
      </c>
      <c r="E40" s="45">
        <f>IFERROR(('bloco 01'!F29),"")</f>
        <v/>
      </c>
      <c r="F40" s="48">
        <f>'bloco 01'!G29</f>
        <v/>
      </c>
    </row>
    <row r="41" ht="15.75" customHeight="1" s="98">
      <c r="A41" s="14">
        <f>'bloco 01'!$B$30</f>
        <v/>
      </c>
      <c r="B41" s="46">
        <f>'bloco 01'!C30</f>
        <v/>
      </c>
      <c r="C41" s="46">
        <f>'bloco 01'!D30</f>
        <v/>
      </c>
      <c r="D41" s="46">
        <f>'bloco 01'!E30</f>
        <v/>
      </c>
      <c r="E41" s="45">
        <f>IFERROR(('bloco 01'!F30),"")</f>
        <v/>
      </c>
      <c r="F41" s="48">
        <f>'bloco 01'!G30</f>
        <v/>
      </c>
    </row>
    <row r="42" ht="15.75" customHeight="1" s="98">
      <c r="A42" s="29" t="inlineStr">
        <is>
          <t>TREINO 03</t>
        </is>
      </c>
    </row>
    <row r="43" ht="15.75" customHeight="1" s="98">
      <c r="A43" s="31" t="n"/>
      <c r="B43" s="31" t="inlineStr">
        <is>
          <t>SETS</t>
        </is>
      </c>
      <c r="C43" s="32" t="inlineStr">
        <is>
          <t>REPS</t>
        </is>
      </c>
      <c r="D43" s="32" t="inlineStr">
        <is>
          <t>KG</t>
        </is>
      </c>
      <c r="E43" s="32" t="inlineStr">
        <is>
          <t>%1RM / PSE</t>
        </is>
      </c>
      <c r="F43" s="32" t="inlineStr">
        <is>
          <t>OBS</t>
        </is>
      </c>
    </row>
    <row r="44" ht="15.75" customHeight="1" s="98">
      <c r="A44" s="14">
        <f>'bloco 01'!$B$36</f>
        <v/>
      </c>
      <c r="B44" s="46">
        <f>'bloco 01'!C36</f>
        <v/>
      </c>
      <c r="C44" s="46">
        <f>'bloco 01'!D36</f>
        <v/>
      </c>
      <c r="D44" s="46">
        <f>'bloco 01'!E36</f>
        <v/>
      </c>
      <c r="E44" s="45">
        <f>IFERROR(('bloco 01'!F36),"")</f>
        <v/>
      </c>
      <c r="F44" s="48">
        <f>'bloco 01'!G36</f>
        <v/>
      </c>
    </row>
    <row r="45" ht="15.75" customHeight="1" s="98">
      <c r="A45" s="14">
        <f>'bloco 01'!$B$37</f>
        <v/>
      </c>
      <c r="B45" s="46">
        <f>'bloco 01'!C37</f>
        <v/>
      </c>
      <c r="C45" s="46">
        <f>'bloco 01'!D37</f>
        <v/>
      </c>
      <c r="D45" s="46">
        <f>'bloco 01'!E37</f>
        <v/>
      </c>
      <c r="E45" s="45">
        <f>IFERROR(('bloco 01'!F37),"")</f>
        <v/>
      </c>
      <c r="F45" s="48">
        <f>'bloco 01'!G37</f>
        <v/>
      </c>
    </row>
    <row r="46" ht="15.75" customHeight="1" s="98">
      <c r="A46" s="14">
        <f>'bloco 01'!$B$38</f>
        <v/>
      </c>
      <c r="B46" s="46">
        <f>'bloco 01'!C38</f>
        <v/>
      </c>
      <c r="C46" s="46">
        <f>'bloco 01'!D38</f>
        <v/>
      </c>
      <c r="D46" s="46">
        <f>'bloco 01'!E38</f>
        <v/>
      </c>
      <c r="E46" s="45">
        <f>IFERROR(('bloco 01'!F38),"")</f>
        <v/>
      </c>
      <c r="F46" s="48">
        <f>'bloco 01'!G38</f>
        <v/>
      </c>
    </row>
    <row r="47" ht="15.75" customHeight="1" s="98">
      <c r="A47" s="14">
        <f>'bloco 01'!$B$39</f>
        <v/>
      </c>
      <c r="B47" s="46">
        <f>'bloco 01'!C39</f>
        <v/>
      </c>
      <c r="C47" s="46">
        <f>'bloco 01'!D39</f>
        <v/>
      </c>
      <c r="D47" s="46">
        <f>'bloco 01'!E39</f>
        <v/>
      </c>
      <c r="E47" s="45">
        <f>IFERROR(('bloco 01'!F39),"")</f>
        <v/>
      </c>
      <c r="F47" s="48">
        <f>'bloco 01'!G39</f>
        <v/>
      </c>
    </row>
    <row r="48" ht="15.75" customHeight="1" s="98">
      <c r="A48" s="14">
        <f>'bloco 01'!$B$40</f>
        <v/>
      </c>
      <c r="B48" s="46">
        <f>'bloco 01'!C40</f>
        <v/>
      </c>
      <c r="C48" s="46">
        <f>'bloco 01'!D40</f>
        <v/>
      </c>
      <c r="D48" s="46">
        <f>'bloco 01'!E40</f>
        <v/>
      </c>
      <c r="E48" s="45">
        <f>IFERROR(('bloco 01'!F40),"")</f>
        <v/>
      </c>
      <c r="F48" s="48">
        <f>'bloco 01'!G40</f>
        <v/>
      </c>
    </row>
    <row r="49" ht="15.75" customHeight="1" s="98">
      <c r="A49" s="14">
        <f>'bloco 01'!$B$41</f>
        <v/>
      </c>
      <c r="B49" s="46">
        <f>'bloco 01'!C41</f>
        <v/>
      </c>
      <c r="C49" s="46">
        <f>'bloco 01'!D41</f>
        <v/>
      </c>
      <c r="D49" s="46">
        <f>'bloco 01'!E41</f>
        <v/>
      </c>
      <c r="E49" s="45">
        <f>IFERROR(('bloco 01'!F41),"")</f>
        <v/>
      </c>
      <c r="F49" s="48">
        <f>'bloco 01'!G41</f>
        <v/>
      </c>
    </row>
    <row r="50" ht="15.75" customHeight="1" s="98">
      <c r="A50" s="14">
        <f>'bloco 01'!$B$42</f>
        <v/>
      </c>
      <c r="B50" s="46">
        <f>'bloco 01'!C42</f>
        <v/>
      </c>
      <c r="C50" s="46">
        <f>'bloco 01'!D42</f>
        <v/>
      </c>
      <c r="D50" s="46">
        <f>'bloco 01'!E42</f>
        <v/>
      </c>
      <c r="E50" s="45">
        <f>IFERROR(('bloco 01'!F42),"")</f>
        <v/>
      </c>
      <c r="F50" s="48">
        <f>'bloco 01'!G42</f>
        <v/>
      </c>
    </row>
    <row r="51" ht="15.75" customHeight="1" s="98">
      <c r="A51" s="14">
        <f>'bloco 01'!$B$43</f>
        <v/>
      </c>
      <c r="B51" s="46">
        <f>'bloco 01'!C43</f>
        <v/>
      </c>
      <c r="C51" s="46">
        <f>'bloco 01'!D43</f>
        <v/>
      </c>
      <c r="D51" s="46">
        <f>'bloco 01'!E43</f>
        <v/>
      </c>
      <c r="E51" s="45">
        <f>IFERROR(('bloco 01'!F43),"")</f>
        <v/>
      </c>
      <c r="F51" s="48">
        <f>'bloco 01'!G43</f>
        <v/>
      </c>
    </row>
    <row r="52" ht="15.75" customHeight="1" s="98">
      <c r="A52" s="14">
        <f>'bloco 01'!$B$44</f>
        <v/>
      </c>
      <c r="B52" s="46">
        <f>'bloco 01'!C44</f>
        <v/>
      </c>
      <c r="C52" s="46">
        <f>'bloco 01'!D44</f>
        <v/>
      </c>
      <c r="D52" s="46">
        <f>'bloco 01'!E44</f>
        <v/>
      </c>
      <c r="E52" s="45">
        <f>IFERROR(('bloco 01'!F44),"")</f>
        <v/>
      </c>
      <c r="F52" s="48">
        <f>'bloco 01'!G44</f>
        <v/>
      </c>
    </row>
    <row r="53" ht="15.75" customHeight="1" s="98">
      <c r="A53" s="14">
        <f>'bloco 01'!$B$45</f>
        <v/>
      </c>
      <c r="B53" s="46">
        <f>'bloco 01'!C45</f>
        <v/>
      </c>
      <c r="C53" s="46">
        <f>'bloco 01'!D45</f>
        <v/>
      </c>
      <c r="D53" s="46">
        <f>'bloco 01'!E45</f>
        <v/>
      </c>
      <c r="E53" s="45">
        <f>IFERROR(('bloco 01'!F45),"")</f>
        <v/>
      </c>
      <c r="F53" s="48">
        <f>'bloco 01'!G45</f>
        <v/>
      </c>
    </row>
    <row r="54" ht="15.75" customHeight="1" s="98">
      <c r="A54" s="43">
        <f>'bloco 01'!I3</f>
        <v/>
      </c>
    </row>
    <row r="55" ht="15.75" customHeight="1" s="98">
      <c r="A55" s="44" t="inlineStr">
        <is>
          <t>SEMANA 02</t>
        </is>
      </c>
    </row>
    <row r="56" ht="15.75" customHeight="1" s="98">
      <c r="A56" s="29" t="inlineStr">
        <is>
          <t>TREINO 01</t>
        </is>
      </c>
    </row>
    <row r="57" ht="15.75" customHeight="1" s="98">
      <c r="A57" s="31" t="n"/>
      <c r="B57" s="31" t="inlineStr">
        <is>
          <t>SETS</t>
        </is>
      </c>
      <c r="C57" s="32" t="inlineStr">
        <is>
          <t>REPS</t>
        </is>
      </c>
      <c r="D57" s="32" t="inlineStr">
        <is>
          <t>KG</t>
        </is>
      </c>
      <c r="E57" s="32" t="inlineStr">
        <is>
          <t>%1RM / PSE</t>
        </is>
      </c>
      <c r="F57" s="32" t="inlineStr">
        <is>
          <t>OBS</t>
        </is>
      </c>
    </row>
    <row r="58" ht="15.75" customHeight="1" s="98">
      <c r="A58" s="14">
        <f>'bloco 01'!$B$6</f>
        <v/>
      </c>
      <c r="B58" s="46">
        <f>'bloco 01'!I6</f>
        <v/>
      </c>
      <c r="C58" s="46">
        <f>'bloco 01'!J6</f>
        <v/>
      </c>
      <c r="D58" s="46">
        <f>'bloco 01'!K6</f>
        <v/>
      </c>
      <c r="E58" s="45">
        <f>IFERROR(('bloco 01'!L6),"")</f>
        <v/>
      </c>
      <c r="F58" s="48">
        <f>'bloco 01'!M6</f>
        <v/>
      </c>
    </row>
    <row r="59" ht="15.75" customHeight="1" s="98">
      <c r="A59" s="14">
        <f>'bloco 01'!$B$7</f>
        <v/>
      </c>
      <c r="B59" s="46">
        <f>'bloco 01'!I7</f>
        <v/>
      </c>
      <c r="C59" s="46">
        <f>'bloco 01'!J7</f>
        <v/>
      </c>
      <c r="D59" s="46">
        <f>'bloco 01'!K7</f>
        <v/>
      </c>
      <c r="E59" s="45">
        <f>IFERROR(('bloco 01'!L7),"")</f>
        <v/>
      </c>
      <c r="F59" s="48">
        <f>'bloco 01'!M7</f>
        <v/>
      </c>
    </row>
    <row r="60" ht="15.75" customHeight="1" s="98">
      <c r="A60" s="14">
        <f>'bloco 01'!$B$8</f>
        <v/>
      </c>
      <c r="B60" s="46">
        <f>'bloco 01'!I8</f>
        <v/>
      </c>
      <c r="C60" s="46">
        <f>'bloco 01'!J8</f>
        <v/>
      </c>
      <c r="D60" s="46">
        <f>'bloco 01'!K8</f>
        <v/>
      </c>
      <c r="E60" s="45">
        <f>IFERROR(('bloco 01'!L8),"")</f>
        <v/>
      </c>
      <c r="F60" s="48">
        <f>'bloco 01'!M8</f>
        <v/>
      </c>
    </row>
    <row r="61" ht="15.75" customHeight="1" s="98">
      <c r="A61" s="14">
        <f>'bloco 01'!$B$9</f>
        <v/>
      </c>
      <c r="B61" s="46">
        <f>'bloco 01'!I9</f>
        <v/>
      </c>
      <c r="C61" s="46">
        <f>'bloco 01'!J9</f>
        <v/>
      </c>
      <c r="D61" s="46">
        <f>'bloco 01'!K9</f>
        <v/>
      </c>
      <c r="E61" s="45">
        <f>IFERROR(('bloco 01'!L9),"")</f>
        <v/>
      </c>
      <c r="F61" s="48">
        <f>'bloco 01'!M9</f>
        <v/>
      </c>
    </row>
    <row r="62" ht="15.75" customHeight="1" s="98">
      <c r="A62" s="14">
        <f>'bloco 01'!$B$10</f>
        <v/>
      </c>
      <c r="B62" s="46">
        <f>'bloco 01'!I10</f>
        <v/>
      </c>
      <c r="C62" s="46">
        <f>'bloco 01'!J10</f>
        <v/>
      </c>
      <c r="D62" s="46">
        <f>'bloco 01'!K10</f>
        <v/>
      </c>
      <c r="E62" s="45">
        <f>IFERROR(('bloco 01'!L10),"")</f>
        <v/>
      </c>
      <c r="F62" s="48">
        <f>'bloco 01'!M10</f>
        <v/>
      </c>
    </row>
    <row r="63" ht="15.75" customHeight="1" s="98">
      <c r="A63" s="14">
        <f>'bloco 01'!$B$11</f>
        <v/>
      </c>
      <c r="B63" s="46">
        <f>'bloco 01'!I11</f>
        <v/>
      </c>
      <c r="C63" s="46">
        <f>'bloco 01'!J11</f>
        <v/>
      </c>
      <c r="D63" s="46">
        <f>'bloco 01'!K11</f>
        <v/>
      </c>
      <c r="E63" s="45">
        <f>IFERROR(('bloco 01'!L11),"")</f>
        <v/>
      </c>
      <c r="F63" s="48">
        <f>'bloco 01'!M11</f>
        <v/>
      </c>
    </row>
    <row r="64" ht="15.75" customHeight="1" s="98">
      <c r="A64" s="14">
        <f>'bloco 01'!$B$12</f>
        <v/>
      </c>
      <c r="B64" s="46">
        <f>'bloco 01'!I12</f>
        <v/>
      </c>
      <c r="C64" s="46">
        <f>'bloco 01'!J12</f>
        <v/>
      </c>
      <c r="D64" s="46">
        <f>'bloco 01'!K12</f>
        <v/>
      </c>
      <c r="E64" s="45">
        <f>IFERROR(('bloco 01'!L12),"")</f>
        <v/>
      </c>
      <c r="F64" s="48">
        <f>'bloco 01'!M12</f>
        <v/>
      </c>
    </row>
    <row r="65" ht="15.75" customHeight="1" s="98">
      <c r="A65" s="14">
        <f>'bloco 01'!$B$13</f>
        <v/>
      </c>
      <c r="B65" s="46">
        <f>'bloco 01'!I13</f>
        <v/>
      </c>
      <c r="C65" s="46">
        <f>'bloco 01'!J13</f>
        <v/>
      </c>
      <c r="D65" s="46">
        <f>'bloco 01'!K13</f>
        <v/>
      </c>
      <c r="E65" s="45">
        <f>IFERROR(('bloco 01'!L13),"")</f>
        <v/>
      </c>
      <c r="F65" s="48">
        <f>'bloco 01'!M13</f>
        <v/>
      </c>
    </row>
    <row r="66" ht="15.75" customHeight="1" s="98">
      <c r="A66" s="14">
        <f>'bloco 01'!$B$14</f>
        <v/>
      </c>
      <c r="B66" s="46">
        <f>'bloco 01'!I14</f>
        <v/>
      </c>
      <c r="C66" s="46">
        <f>'bloco 01'!J14</f>
        <v/>
      </c>
      <c r="D66" s="46">
        <f>'bloco 01'!K14</f>
        <v/>
      </c>
      <c r="E66" s="45">
        <f>IFERROR(('bloco 01'!L14),"")</f>
        <v/>
      </c>
      <c r="F66" s="48">
        <f>'bloco 01'!M14</f>
        <v/>
      </c>
    </row>
    <row r="67" ht="15.75" customHeight="1" s="98">
      <c r="A67" s="14">
        <f>'bloco 01'!$B$15</f>
        <v/>
      </c>
      <c r="B67" s="46">
        <f>'bloco 01'!I15</f>
        <v/>
      </c>
      <c r="C67" s="46">
        <f>'bloco 01'!J15</f>
        <v/>
      </c>
      <c r="D67" s="46">
        <f>'bloco 01'!K15</f>
        <v/>
      </c>
      <c r="E67" s="45">
        <f>IFERROR(('bloco 01'!L15),"")</f>
        <v/>
      </c>
      <c r="F67" s="48">
        <f>'bloco 01'!M15</f>
        <v/>
      </c>
    </row>
    <row r="68" ht="15.75" customHeight="1" s="98">
      <c r="A68" s="29" t="inlineStr">
        <is>
          <t>TREINO 02</t>
        </is>
      </c>
    </row>
    <row r="69" ht="15.75" customHeight="1" s="98">
      <c r="A69" s="31" t="n"/>
      <c r="B69" s="31" t="inlineStr">
        <is>
          <t>SETS</t>
        </is>
      </c>
      <c r="C69" s="32" t="inlineStr">
        <is>
          <t>REPS</t>
        </is>
      </c>
      <c r="D69" s="32" t="inlineStr">
        <is>
          <t>KG</t>
        </is>
      </c>
      <c r="E69" s="32" t="inlineStr">
        <is>
          <t>%1RM / PSE</t>
        </is>
      </c>
      <c r="F69" s="32" t="inlineStr">
        <is>
          <t>OBS</t>
        </is>
      </c>
    </row>
    <row r="70" ht="15.75" customHeight="1" s="98">
      <c r="A70" s="14">
        <f>'bloco 01'!$B$21</f>
        <v/>
      </c>
      <c r="B70" s="46">
        <f>'bloco 01'!I21</f>
        <v/>
      </c>
      <c r="C70" s="46">
        <f>'bloco 01'!J21</f>
        <v/>
      </c>
      <c r="D70" s="46">
        <f>'bloco 01'!K21</f>
        <v/>
      </c>
      <c r="E70" s="45">
        <f>IFERROR(('bloco 01'!L21),"")</f>
        <v/>
      </c>
      <c r="F70" s="48">
        <f>'bloco 01'!M21</f>
        <v/>
      </c>
    </row>
    <row r="71" ht="15.75" customHeight="1" s="98">
      <c r="A71" s="14">
        <f>'bloco 01'!$B$22</f>
        <v/>
      </c>
      <c r="B71" s="46">
        <f>'bloco 01'!I22</f>
        <v/>
      </c>
      <c r="C71" s="46">
        <f>'bloco 01'!J22</f>
        <v/>
      </c>
      <c r="D71" s="46">
        <f>'bloco 01'!K22</f>
        <v/>
      </c>
      <c r="E71" s="45">
        <f>IFERROR(('bloco 01'!L22),"")</f>
        <v/>
      </c>
      <c r="F71" s="48">
        <f>'bloco 01'!M22</f>
        <v/>
      </c>
    </row>
    <row r="72" ht="15.75" customHeight="1" s="98">
      <c r="A72" s="14">
        <f>'bloco 01'!$B$23</f>
        <v/>
      </c>
      <c r="B72" s="46">
        <f>'bloco 01'!I23</f>
        <v/>
      </c>
      <c r="C72" s="46">
        <f>'bloco 01'!J23</f>
        <v/>
      </c>
      <c r="D72" s="46">
        <f>'bloco 01'!K23</f>
        <v/>
      </c>
      <c r="E72" s="45">
        <f>IFERROR(('bloco 01'!L23),"")</f>
        <v/>
      </c>
      <c r="F72" s="48">
        <f>'bloco 01'!M23</f>
        <v/>
      </c>
    </row>
    <row r="73" ht="15.75" customHeight="1" s="98">
      <c r="A73" s="14">
        <f>'bloco 01'!$B$24</f>
        <v/>
      </c>
      <c r="B73" s="46">
        <f>'bloco 01'!I24</f>
        <v/>
      </c>
      <c r="C73" s="46">
        <f>'bloco 01'!J24</f>
        <v/>
      </c>
      <c r="D73" s="46">
        <f>'bloco 01'!K24</f>
        <v/>
      </c>
      <c r="E73" s="45">
        <f>IFERROR(('bloco 01'!L24),"")</f>
        <v/>
      </c>
      <c r="F73" s="48">
        <f>'bloco 01'!M24</f>
        <v/>
      </c>
    </row>
    <row r="74" ht="15.75" customHeight="1" s="98">
      <c r="A74" s="14">
        <f>'bloco 01'!$B$25</f>
        <v/>
      </c>
      <c r="B74" s="46">
        <f>'bloco 01'!I25</f>
        <v/>
      </c>
      <c r="C74" s="46">
        <f>'bloco 01'!J25</f>
        <v/>
      </c>
      <c r="D74" s="46">
        <f>'bloco 01'!K25</f>
        <v/>
      </c>
      <c r="E74" s="45">
        <f>IFERROR(('bloco 01'!L25),"")</f>
        <v/>
      </c>
      <c r="F74" s="48">
        <f>'bloco 01'!M25</f>
        <v/>
      </c>
    </row>
    <row r="75" ht="15.75" customHeight="1" s="98">
      <c r="A75" s="14">
        <f>'bloco 01'!$B$26</f>
        <v/>
      </c>
      <c r="B75" s="46">
        <f>'bloco 01'!I26</f>
        <v/>
      </c>
      <c r="C75" s="46">
        <f>'bloco 01'!J26</f>
        <v/>
      </c>
      <c r="D75" s="46">
        <f>'bloco 01'!K26</f>
        <v/>
      </c>
      <c r="E75" s="45">
        <f>IFERROR(('bloco 01'!L26),"")</f>
        <v/>
      </c>
      <c r="F75" s="48">
        <f>'bloco 01'!M26</f>
        <v/>
      </c>
    </row>
    <row r="76" ht="15.75" customHeight="1" s="98">
      <c r="A76" s="14">
        <f>'bloco 01'!$B$27</f>
        <v/>
      </c>
      <c r="B76" s="46">
        <f>'bloco 01'!I27</f>
        <v/>
      </c>
      <c r="C76" s="46">
        <f>'bloco 01'!J27</f>
        <v/>
      </c>
      <c r="D76" s="46">
        <f>'bloco 01'!K27</f>
        <v/>
      </c>
      <c r="E76" s="45">
        <f>IFERROR(('bloco 01'!L27),"")</f>
        <v/>
      </c>
      <c r="F76" s="48">
        <f>'bloco 01'!M27</f>
        <v/>
      </c>
    </row>
    <row r="77" ht="15.75" customHeight="1" s="98">
      <c r="A77" s="14">
        <f>'bloco 01'!$B$28</f>
        <v/>
      </c>
      <c r="B77" s="46">
        <f>'bloco 01'!I28</f>
        <v/>
      </c>
      <c r="C77" s="46">
        <f>'bloco 01'!J28</f>
        <v/>
      </c>
      <c r="D77" s="46">
        <f>'bloco 01'!K28</f>
        <v/>
      </c>
      <c r="E77" s="45">
        <f>IFERROR(('bloco 01'!L28),"")</f>
        <v/>
      </c>
      <c r="F77" s="48">
        <f>'bloco 01'!M28</f>
        <v/>
      </c>
    </row>
    <row r="78" ht="15.75" customHeight="1" s="98">
      <c r="A78" s="14">
        <f>'bloco 01'!$B$29</f>
        <v/>
      </c>
      <c r="B78" s="46">
        <f>'bloco 01'!I29</f>
        <v/>
      </c>
      <c r="C78" s="46">
        <f>'bloco 01'!J29</f>
        <v/>
      </c>
      <c r="D78" s="46">
        <f>'bloco 01'!K29</f>
        <v/>
      </c>
      <c r="E78" s="45">
        <f>IFERROR(('bloco 01'!L29),"")</f>
        <v/>
      </c>
      <c r="F78" s="48">
        <f>'bloco 01'!M29</f>
        <v/>
      </c>
    </row>
    <row r="79" ht="15.75" customHeight="1" s="98">
      <c r="A79" s="14">
        <f>'bloco 01'!$B$30</f>
        <v/>
      </c>
      <c r="B79" s="46">
        <f>'bloco 01'!I30</f>
        <v/>
      </c>
      <c r="C79" s="46">
        <f>'bloco 01'!J30</f>
        <v/>
      </c>
      <c r="D79" s="46">
        <f>'bloco 01'!K30</f>
        <v/>
      </c>
      <c r="E79" s="45">
        <f>IFERROR(('bloco 01'!L30),"")</f>
        <v/>
      </c>
      <c r="F79" s="48">
        <f>'bloco 01'!M30</f>
        <v/>
      </c>
    </row>
    <row r="80" ht="15.75" customHeight="1" s="98">
      <c r="A80" s="29" t="inlineStr">
        <is>
          <t>TREINO 03</t>
        </is>
      </c>
    </row>
    <row r="81" ht="15.75" customHeight="1" s="98">
      <c r="A81" s="31" t="n"/>
      <c r="B81" s="31" t="inlineStr">
        <is>
          <t>SETS</t>
        </is>
      </c>
      <c r="C81" s="32" t="inlineStr">
        <is>
          <t>REPS</t>
        </is>
      </c>
      <c r="D81" s="32" t="inlineStr">
        <is>
          <t>KG</t>
        </is>
      </c>
      <c r="E81" s="32" t="inlineStr">
        <is>
          <t>%1RM / PSE</t>
        </is>
      </c>
      <c r="F81" s="32" t="inlineStr">
        <is>
          <t>OBS</t>
        </is>
      </c>
    </row>
    <row r="82" ht="15.75" customHeight="1" s="98">
      <c r="A82" s="14">
        <f>'bloco 01'!$B$36</f>
        <v/>
      </c>
      <c r="B82" s="46">
        <f>'bloco 01'!I36</f>
        <v/>
      </c>
      <c r="C82" s="46">
        <f>'bloco 01'!J36</f>
        <v/>
      </c>
      <c r="D82" s="46">
        <f>'bloco 01'!K36</f>
        <v/>
      </c>
      <c r="E82" s="45">
        <f>IFERROR(('bloco 01'!L36),"")</f>
        <v/>
      </c>
      <c r="F82" s="48">
        <f>'bloco 01'!M36</f>
        <v/>
      </c>
    </row>
    <row r="83" ht="15.75" customHeight="1" s="98">
      <c r="A83" s="14">
        <f>'bloco 01'!$B$37</f>
        <v/>
      </c>
      <c r="B83" s="46">
        <f>'bloco 01'!I37</f>
        <v/>
      </c>
      <c r="C83" s="46">
        <f>'bloco 01'!J37</f>
        <v/>
      </c>
      <c r="D83" s="46">
        <f>'bloco 01'!K37</f>
        <v/>
      </c>
      <c r="E83" s="45">
        <f>IFERROR(('bloco 01'!L37),"")</f>
        <v/>
      </c>
      <c r="F83" s="48">
        <f>'bloco 01'!M37</f>
        <v/>
      </c>
    </row>
    <row r="84" ht="15.75" customHeight="1" s="98">
      <c r="A84" s="14">
        <f>'bloco 01'!$B$38</f>
        <v/>
      </c>
      <c r="B84" s="46">
        <f>'bloco 01'!I38</f>
        <v/>
      </c>
      <c r="C84" s="46">
        <f>'bloco 01'!J38</f>
        <v/>
      </c>
      <c r="D84" s="46">
        <f>'bloco 01'!K38</f>
        <v/>
      </c>
      <c r="E84" s="45">
        <f>IFERROR(('bloco 01'!L38),"")</f>
        <v/>
      </c>
      <c r="F84" s="48">
        <f>'bloco 01'!M38</f>
        <v/>
      </c>
    </row>
    <row r="85" ht="15.75" customHeight="1" s="98">
      <c r="A85" s="14">
        <f>'bloco 01'!$B$39</f>
        <v/>
      </c>
      <c r="B85" s="46">
        <f>'bloco 01'!I39</f>
        <v/>
      </c>
      <c r="C85" s="46">
        <f>'bloco 01'!J39</f>
        <v/>
      </c>
      <c r="D85" s="46">
        <f>'bloco 01'!K39</f>
        <v/>
      </c>
      <c r="E85" s="45">
        <f>IFERROR(('bloco 01'!L39),"")</f>
        <v/>
      </c>
      <c r="F85" s="48">
        <f>'bloco 01'!M39</f>
        <v/>
      </c>
    </row>
    <row r="86" ht="15.75" customHeight="1" s="98">
      <c r="A86" s="14">
        <f>'bloco 01'!$B$40</f>
        <v/>
      </c>
      <c r="B86" s="46">
        <f>'bloco 01'!I40</f>
        <v/>
      </c>
      <c r="C86" s="46">
        <f>'bloco 01'!J40</f>
        <v/>
      </c>
      <c r="D86" s="46">
        <f>'bloco 01'!K40</f>
        <v/>
      </c>
      <c r="E86" s="45">
        <f>IFERROR(('bloco 01'!L40),"")</f>
        <v/>
      </c>
      <c r="F86" s="48">
        <f>'bloco 01'!M40</f>
        <v/>
      </c>
    </row>
    <row r="87" ht="15.75" customHeight="1" s="98">
      <c r="A87" s="14">
        <f>'bloco 01'!$B$41</f>
        <v/>
      </c>
      <c r="B87" s="46">
        <f>'bloco 01'!I41</f>
        <v/>
      </c>
      <c r="C87" s="46">
        <f>'bloco 01'!J41</f>
        <v/>
      </c>
      <c r="D87" s="46">
        <f>'bloco 01'!K41</f>
        <v/>
      </c>
      <c r="E87" s="45">
        <f>IFERROR(('bloco 01'!L41),"")</f>
        <v/>
      </c>
      <c r="F87" s="48">
        <f>'bloco 01'!M41</f>
        <v/>
      </c>
    </row>
    <row r="88" ht="15.75" customHeight="1" s="98">
      <c r="A88" s="14">
        <f>'bloco 01'!$B$42</f>
        <v/>
      </c>
      <c r="B88" s="46">
        <f>'bloco 01'!I42</f>
        <v/>
      </c>
      <c r="C88" s="46">
        <f>'bloco 01'!J42</f>
        <v/>
      </c>
      <c r="D88" s="46">
        <f>'bloco 01'!K42</f>
        <v/>
      </c>
      <c r="E88" s="45">
        <f>IFERROR(('bloco 01'!L42),"")</f>
        <v/>
      </c>
      <c r="F88" s="48">
        <f>'bloco 01'!M42</f>
        <v/>
      </c>
    </row>
    <row r="89" ht="15.75" customHeight="1" s="98">
      <c r="A89" s="14">
        <f>'bloco 01'!$B$43</f>
        <v/>
      </c>
      <c r="B89" s="46">
        <f>'bloco 01'!I43</f>
        <v/>
      </c>
      <c r="C89" s="46">
        <f>'bloco 01'!J43</f>
        <v/>
      </c>
      <c r="D89" s="46">
        <f>'bloco 01'!K43</f>
        <v/>
      </c>
      <c r="E89" s="45">
        <f>IFERROR(('bloco 01'!L43),"")</f>
        <v/>
      </c>
      <c r="F89" s="48">
        <f>'bloco 01'!M43</f>
        <v/>
      </c>
    </row>
    <row r="90" ht="15.75" customHeight="1" s="98">
      <c r="A90" s="14">
        <f>'bloco 01'!$B$44</f>
        <v/>
      </c>
      <c r="B90" s="46">
        <f>'bloco 01'!I44</f>
        <v/>
      </c>
      <c r="C90" s="46">
        <f>'bloco 01'!J44</f>
        <v/>
      </c>
      <c r="D90" s="46">
        <f>'bloco 01'!K44</f>
        <v/>
      </c>
      <c r="E90" s="45">
        <f>IFERROR(('bloco 01'!L44),"")</f>
        <v/>
      </c>
      <c r="F90" s="48">
        <f>'bloco 01'!M44</f>
        <v/>
      </c>
    </row>
    <row r="91" ht="15.75" customHeight="1" s="98">
      <c r="A91" s="14">
        <f>'bloco 01'!$B$45</f>
        <v/>
      </c>
      <c r="B91" s="46">
        <f>'bloco 01'!I45</f>
        <v/>
      </c>
      <c r="C91" s="46">
        <f>'bloco 01'!J45</f>
        <v/>
      </c>
      <c r="D91" s="46">
        <f>'bloco 01'!K45</f>
        <v/>
      </c>
      <c r="E91" s="45">
        <f>IFERROR(('bloco 01'!L45),"")</f>
        <v/>
      </c>
      <c r="F91" s="48">
        <f>'bloco 01'!M45</f>
        <v/>
      </c>
    </row>
    <row r="92" ht="15.75" customHeight="1" s="98">
      <c r="A92" s="46" t="n"/>
    </row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>
      <c r="A109" s="43">
        <f>'bloco 01'!O3</f>
        <v/>
      </c>
    </row>
    <row r="110" ht="15.75" customHeight="1" s="98">
      <c r="A110" s="44" t="inlineStr">
        <is>
          <t>SEMANA 03</t>
        </is>
      </c>
    </row>
    <row r="111" ht="15.75" customHeight="1" s="98">
      <c r="A111" s="29" t="inlineStr">
        <is>
          <t>TREINO 01</t>
        </is>
      </c>
    </row>
    <row r="112" ht="15.75" customHeight="1" s="98">
      <c r="A112" s="31" t="n"/>
      <c r="B112" s="31" t="inlineStr">
        <is>
          <t>SETS</t>
        </is>
      </c>
      <c r="C112" s="32" t="inlineStr">
        <is>
          <t>REPS</t>
        </is>
      </c>
      <c r="D112" s="32" t="inlineStr">
        <is>
          <t>KG</t>
        </is>
      </c>
      <c r="E112" s="32" t="inlineStr">
        <is>
          <t>%1RM / PSE</t>
        </is>
      </c>
      <c r="F112" s="32" t="inlineStr">
        <is>
          <t>OBS</t>
        </is>
      </c>
    </row>
    <row r="113" ht="15.75" customHeight="1" s="98">
      <c r="A113" s="14">
        <f>'bloco 01'!$B$6</f>
        <v/>
      </c>
      <c r="B113" s="46">
        <f>'bloco 01'!O6</f>
        <v/>
      </c>
      <c r="C113" s="46">
        <f>'bloco 01'!P6</f>
        <v/>
      </c>
      <c r="D113" s="46">
        <f>'bloco 01'!Q6</f>
        <v/>
      </c>
      <c r="E113" s="45">
        <f>IFERROR(('bloco 01'!R6),"")</f>
        <v/>
      </c>
      <c r="F113" s="48">
        <f>'bloco 01'!S6</f>
        <v/>
      </c>
    </row>
    <row r="114" ht="15.75" customHeight="1" s="98">
      <c r="A114" s="14">
        <f>'bloco 01'!$B$7</f>
        <v/>
      </c>
      <c r="B114" s="46">
        <f>'bloco 01'!O7</f>
        <v/>
      </c>
      <c r="C114" s="46">
        <f>'bloco 01'!P7</f>
        <v/>
      </c>
      <c r="D114" s="46">
        <f>'bloco 01'!Q7</f>
        <v/>
      </c>
      <c r="E114" s="45">
        <f>IFERROR(('bloco 01'!R7),"")</f>
        <v/>
      </c>
      <c r="F114" s="48">
        <f>'bloco 01'!S7</f>
        <v/>
      </c>
    </row>
    <row r="115" ht="15.75" customHeight="1" s="98">
      <c r="A115" s="14">
        <f>'bloco 01'!$B$8</f>
        <v/>
      </c>
      <c r="B115" s="46">
        <f>'bloco 01'!O8</f>
        <v/>
      </c>
      <c r="C115" s="46">
        <f>'bloco 01'!P8</f>
        <v/>
      </c>
      <c r="D115" s="46">
        <f>'bloco 01'!Q8</f>
        <v/>
      </c>
      <c r="E115" s="45">
        <f>IFERROR(('bloco 01'!R8),"")</f>
        <v/>
      </c>
      <c r="F115" s="48">
        <f>'bloco 01'!S8</f>
        <v/>
      </c>
    </row>
    <row r="116" ht="15.75" customHeight="1" s="98">
      <c r="A116" s="14">
        <f>'bloco 01'!$B$9</f>
        <v/>
      </c>
      <c r="B116" s="46">
        <f>'bloco 01'!O9</f>
        <v/>
      </c>
      <c r="C116" s="46">
        <f>'bloco 01'!P9</f>
        <v/>
      </c>
      <c r="D116" s="46">
        <f>'bloco 01'!Q9</f>
        <v/>
      </c>
      <c r="E116" s="45">
        <f>IFERROR(('bloco 01'!R9),"")</f>
        <v/>
      </c>
      <c r="F116" s="48">
        <f>'bloco 01'!S9</f>
        <v/>
      </c>
    </row>
    <row r="117" ht="15.75" customHeight="1" s="98">
      <c r="A117" s="14">
        <f>'bloco 01'!$B$10</f>
        <v/>
      </c>
      <c r="B117" s="46">
        <f>'bloco 01'!O10</f>
        <v/>
      </c>
      <c r="C117" s="46">
        <f>'bloco 01'!P10</f>
        <v/>
      </c>
      <c r="D117" s="46">
        <f>'bloco 01'!Q10</f>
        <v/>
      </c>
      <c r="E117" s="45">
        <f>IFERROR(('bloco 01'!R10),"")</f>
        <v/>
      </c>
      <c r="F117" s="48">
        <f>'bloco 01'!S10</f>
        <v/>
      </c>
    </row>
    <row r="118" ht="15.75" customHeight="1" s="98">
      <c r="A118" s="14">
        <f>'bloco 01'!$B$11</f>
        <v/>
      </c>
      <c r="B118" s="46">
        <f>'bloco 01'!O11</f>
        <v/>
      </c>
      <c r="C118" s="46">
        <f>'bloco 01'!P11</f>
        <v/>
      </c>
      <c r="D118" s="46">
        <f>'bloco 01'!Q11</f>
        <v/>
      </c>
      <c r="E118" s="45">
        <f>IFERROR(('bloco 01'!R11),"")</f>
        <v/>
      </c>
      <c r="F118" s="48">
        <f>'bloco 01'!S11</f>
        <v/>
      </c>
    </row>
    <row r="119" ht="15.75" customHeight="1" s="98">
      <c r="A119" s="14">
        <f>'bloco 01'!$B$12</f>
        <v/>
      </c>
      <c r="B119" s="46">
        <f>'bloco 01'!O12</f>
        <v/>
      </c>
      <c r="C119" s="46">
        <f>'bloco 01'!P12</f>
        <v/>
      </c>
      <c r="D119" s="46">
        <f>'bloco 01'!Q12</f>
        <v/>
      </c>
      <c r="E119" s="45">
        <f>IFERROR(('bloco 01'!R12),"")</f>
        <v/>
      </c>
      <c r="F119" s="48">
        <f>'bloco 01'!S12</f>
        <v/>
      </c>
    </row>
    <row r="120" ht="15.75" customHeight="1" s="98">
      <c r="A120" s="14">
        <f>'bloco 01'!$B$13</f>
        <v/>
      </c>
      <c r="B120" s="46">
        <f>'bloco 01'!O13</f>
        <v/>
      </c>
      <c r="C120" s="46">
        <f>'bloco 01'!P13</f>
        <v/>
      </c>
      <c r="D120" s="46">
        <f>'bloco 01'!Q13</f>
        <v/>
      </c>
      <c r="E120" s="45">
        <f>IFERROR(('bloco 01'!R13),"")</f>
        <v/>
      </c>
      <c r="F120" s="48">
        <f>'bloco 01'!S13</f>
        <v/>
      </c>
    </row>
    <row r="121" ht="15.75" customHeight="1" s="98">
      <c r="A121" s="14">
        <f>'bloco 01'!$B$14</f>
        <v/>
      </c>
      <c r="B121" s="46">
        <f>'bloco 01'!O14</f>
        <v/>
      </c>
      <c r="C121" s="46">
        <f>'bloco 01'!P14</f>
        <v/>
      </c>
      <c r="D121" s="46">
        <f>'bloco 01'!Q14</f>
        <v/>
      </c>
      <c r="E121" s="45">
        <f>IFERROR(('bloco 01'!R14),"")</f>
        <v/>
      </c>
      <c r="F121" s="48">
        <f>'bloco 01'!S14</f>
        <v/>
      </c>
    </row>
    <row r="122" ht="15.75" customHeight="1" s="98">
      <c r="A122" s="14">
        <f>'bloco 01'!$B$15</f>
        <v/>
      </c>
      <c r="B122" s="46">
        <f>'bloco 01'!O15</f>
        <v/>
      </c>
      <c r="C122" s="46">
        <f>'bloco 01'!P15</f>
        <v/>
      </c>
      <c r="D122" s="46">
        <f>'bloco 01'!Q15</f>
        <v/>
      </c>
      <c r="E122" s="45">
        <f>IFERROR(('bloco 01'!R15),"")</f>
        <v/>
      </c>
      <c r="F122" s="48">
        <f>'bloco 01'!S15</f>
        <v/>
      </c>
    </row>
    <row r="123" ht="15.75" customHeight="1" s="98">
      <c r="A123" s="29" t="inlineStr">
        <is>
          <t>TREINO 02</t>
        </is>
      </c>
    </row>
    <row r="124" ht="15.75" customHeight="1" s="98">
      <c r="A124" s="31" t="n"/>
      <c r="B124" s="31" t="inlineStr">
        <is>
          <t>SETS</t>
        </is>
      </c>
      <c r="C124" s="32" t="inlineStr">
        <is>
          <t>REPS</t>
        </is>
      </c>
      <c r="D124" s="32" t="inlineStr">
        <is>
          <t>KG</t>
        </is>
      </c>
      <c r="E124" s="32" t="inlineStr">
        <is>
          <t>%1RM / PSE</t>
        </is>
      </c>
      <c r="F124" s="32" t="inlineStr">
        <is>
          <t>OBS</t>
        </is>
      </c>
    </row>
    <row r="125" ht="15.75" customHeight="1" s="98">
      <c r="A125" s="14">
        <f>'bloco 01'!$B$21</f>
        <v/>
      </c>
      <c r="B125" s="46">
        <f>'bloco 01'!O21</f>
        <v/>
      </c>
      <c r="C125" s="46">
        <f>'bloco 01'!P21</f>
        <v/>
      </c>
      <c r="D125" s="46">
        <f>'bloco 01'!Q21</f>
        <v/>
      </c>
      <c r="E125" s="45">
        <f>IFERROR(('bloco 01'!R21),"")</f>
        <v/>
      </c>
      <c r="F125" s="48">
        <f>'bloco 01'!S21</f>
        <v/>
      </c>
    </row>
    <row r="126" ht="15.75" customHeight="1" s="98">
      <c r="A126" s="14">
        <f>'bloco 01'!$B$22</f>
        <v/>
      </c>
      <c r="B126" s="46">
        <f>'bloco 01'!O22</f>
        <v/>
      </c>
      <c r="C126" s="46">
        <f>'bloco 01'!P22</f>
        <v/>
      </c>
      <c r="D126" s="46">
        <f>'bloco 01'!Q22</f>
        <v/>
      </c>
      <c r="E126" s="45">
        <f>IFERROR(('bloco 01'!R22),"")</f>
        <v/>
      </c>
      <c r="F126" s="48">
        <f>'bloco 01'!S22</f>
        <v/>
      </c>
    </row>
    <row r="127" ht="15.75" customHeight="1" s="98">
      <c r="A127" s="14">
        <f>'bloco 01'!$B$23</f>
        <v/>
      </c>
      <c r="B127" s="46">
        <f>'bloco 01'!O23</f>
        <v/>
      </c>
      <c r="C127" s="46">
        <f>'bloco 01'!P23</f>
        <v/>
      </c>
      <c r="D127" s="46">
        <f>'bloco 01'!Q23</f>
        <v/>
      </c>
      <c r="E127" s="45">
        <f>IFERROR(('bloco 01'!R23),"")</f>
        <v/>
      </c>
      <c r="F127" s="48">
        <f>'bloco 01'!S23</f>
        <v/>
      </c>
    </row>
    <row r="128" ht="15.75" customHeight="1" s="98">
      <c r="A128" s="14">
        <f>'bloco 01'!$B$24</f>
        <v/>
      </c>
      <c r="B128" s="46">
        <f>'bloco 01'!O24</f>
        <v/>
      </c>
      <c r="C128" s="46">
        <f>'bloco 01'!P24</f>
        <v/>
      </c>
      <c r="D128" s="46">
        <f>'bloco 01'!Q24</f>
        <v/>
      </c>
      <c r="E128" s="45">
        <f>IFERROR(('bloco 01'!R24),"")</f>
        <v/>
      </c>
      <c r="F128" s="48">
        <f>'bloco 01'!S24</f>
        <v/>
      </c>
    </row>
    <row r="129" ht="15.75" customHeight="1" s="98">
      <c r="A129" s="14">
        <f>'bloco 01'!$B$25</f>
        <v/>
      </c>
      <c r="B129" s="46">
        <f>'bloco 01'!O25</f>
        <v/>
      </c>
      <c r="C129" s="46">
        <f>'bloco 01'!P25</f>
        <v/>
      </c>
      <c r="D129" s="46">
        <f>'bloco 01'!Q25</f>
        <v/>
      </c>
      <c r="E129" s="45">
        <f>IFERROR(('bloco 01'!R25),"")</f>
        <v/>
      </c>
      <c r="F129" s="48">
        <f>'bloco 01'!S25</f>
        <v/>
      </c>
    </row>
    <row r="130" ht="15.75" customHeight="1" s="98">
      <c r="A130" s="14">
        <f>'bloco 01'!$B$26</f>
        <v/>
      </c>
      <c r="B130" s="46">
        <f>'bloco 01'!O26</f>
        <v/>
      </c>
      <c r="C130" s="46">
        <f>'bloco 01'!P26</f>
        <v/>
      </c>
      <c r="D130" s="46">
        <f>'bloco 01'!Q26</f>
        <v/>
      </c>
      <c r="E130" s="45">
        <f>IFERROR(('bloco 01'!R26),"")</f>
        <v/>
      </c>
      <c r="F130" s="48">
        <f>'bloco 01'!S26</f>
        <v/>
      </c>
    </row>
    <row r="131" ht="15.75" customHeight="1" s="98">
      <c r="A131" s="14">
        <f>'bloco 01'!$B$27</f>
        <v/>
      </c>
      <c r="B131" s="46">
        <f>'bloco 01'!O27</f>
        <v/>
      </c>
      <c r="C131" s="46">
        <f>'bloco 01'!P27</f>
        <v/>
      </c>
      <c r="D131" s="46">
        <f>'bloco 01'!Q27</f>
        <v/>
      </c>
      <c r="E131" s="45">
        <f>IFERROR(('bloco 01'!R27),"")</f>
        <v/>
      </c>
      <c r="F131" s="48">
        <f>'bloco 01'!S27</f>
        <v/>
      </c>
    </row>
    <row r="132" ht="15.75" customHeight="1" s="98">
      <c r="A132" s="14">
        <f>'bloco 01'!$B$28</f>
        <v/>
      </c>
      <c r="B132" s="46">
        <f>'bloco 01'!O28</f>
        <v/>
      </c>
      <c r="C132" s="46">
        <f>'bloco 01'!P28</f>
        <v/>
      </c>
      <c r="D132" s="46">
        <f>'bloco 01'!Q28</f>
        <v/>
      </c>
      <c r="E132" s="45">
        <f>IFERROR(('bloco 01'!R28),"")</f>
        <v/>
      </c>
      <c r="F132" s="48">
        <f>'bloco 01'!S28</f>
        <v/>
      </c>
    </row>
    <row r="133" ht="15.75" customHeight="1" s="98">
      <c r="A133" s="14">
        <f>'bloco 01'!$B$29</f>
        <v/>
      </c>
      <c r="B133" s="46">
        <f>'bloco 01'!O29</f>
        <v/>
      </c>
      <c r="C133" s="46">
        <f>'bloco 01'!P29</f>
        <v/>
      </c>
      <c r="D133" s="46">
        <f>'bloco 01'!Q29</f>
        <v/>
      </c>
      <c r="E133" s="45">
        <f>IFERROR(('bloco 01'!R29),"")</f>
        <v/>
      </c>
      <c r="F133" s="48">
        <f>'bloco 01'!S29</f>
        <v/>
      </c>
    </row>
    <row r="134" ht="15.75" customHeight="1" s="98">
      <c r="A134" s="14">
        <f>'bloco 01'!$B$30</f>
        <v/>
      </c>
      <c r="B134" s="46">
        <f>'bloco 01'!O30</f>
        <v/>
      </c>
      <c r="C134" s="46">
        <f>'bloco 01'!P30</f>
        <v/>
      </c>
      <c r="D134" s="46">
        <f>'bloco 01'!Q30</f>
        <v/>
      </c>
      <c r="E134" s="45">
        <f>IFERROR(('bloco 01'!R30),"")</f>
        <v/>
      </c>
      <c r="F134" s="48">
        <f>'bloco 01'!S30</f>
        <v/>
      </c>
    </row>
    <row r="135" ht="15.75" customHeight="1" s="98">
      <c r="A135" s="29" t="inlineStr">
        <is>
          <t>TREINO 03</t>
        </is>
      </c>
    </row>
    <row r="136" ht="15.75" customHeight="1" s="98">
      <c r="A136" s="31" t="n"/>
      <c r="B136" s="31" t="inlineStr">
        <is>
          <t>SETS</t>
        </is>
      </c>
      <c r="C136" s="32" t="inlineStr">
        <is>
          <t>REPS</t>
        </is>
      </c>
      <c r="D136" s="32" t="inlineStr">
        <is>
          <t>KG</t>
        </is>
      </c>
      <c r="E136" s="32" t="inlineStr">
        <is>
          <t>%1RM / PSE</t>
        </is>
      </c>
      <c r="F136" s="32" t="inlineStr">
        <is>
          <t>OBS</t>
        </is>
      </c>
    </row>
    <row r="137" ht="15.75" customHeight="1" s="98">
      <c r="A137" s="14">
        <f>'bloco 01'!$B$36</f>
        <v/>
      </c>
      <c r="B137" s="46">
        <f>'bloco 01'!O36</f>
        <v/>
      </c>
      <c r="C137" s="46">
        <f>'bloco 01'!P36</f>
        <v/>
      </c>
      <c r="D137" s="46">
        <f>'bloco 01'!Q36</f>
        <v/>
      </c>
      <c r="E137" s="45">
        <f>IFERROR(('bloco 01'!R36),"")</f>
        <v/>
      </c>
      <c r="F137" s="48">
        <f>'bloco 01'!S36</f>
        <v/>
      </c>
    </row>
    <row r="138" ht="15.75" customHeight="1" s="98">
      <c r="A138" s="14">
        <f>'bloco 01'!$B$37</f>
        <v/>
      </c>
      <c r="B138" s="46">
        <f>'bloco 01'!O37</f>
        <v/>
      </c>
      <c r="C138" s="46">
        <f>'bloco 01'!P37</f>
        <v/>
      </c>
      <c r="D138" s="46">
        <f>'bloco 01'!Q37</f>
        <v/>
      </c>
      <c r="E138" s="45">
        <f>IFERROR(('bloco 01'!R37),"")</f>
        <v/>
      </c>
      <c r="F138" s="48">
        <f>'bloco 01'!S37</f>
        <v/>
      </c>
    </row>
    <row r="139" ht="15.75" customHeight="1" s="98">
      <c r="A139" s="14">
        <f>'bloco 01'!$B$38</f>
        <v/>
      </c>
      <c r="B139" s="46">
        <f>'bloco 01'!O38</f>
        <v/>
      </c>
      <c r="C139" s="46">
        <f>'bloco 01'!P38</f>
        <v/>
      </c>
      <c r="D139" s="46">
        <f>'bloco 01'!Q38</f>
        <v/>
      </c>
      <c r="E139" s="45">
        <f>IFERROR(('bloco 01'!R38),"")</f>
        <v/>
      </c>
      <c r="F139" s="48">
        <f>'bloco 01'!S38</f>
        <v/>
      </c>
    </row>
    <row r="140" ht="15.75" customHeight="1" s="98">
      <c r="A140" s="14">
        <f>'bloco 01'!$B$39</f>
        <v/>
      </c>
      <c r="B140" s="46">
        <f>'bloco 01'!O39</f>
        <v/>
      </c>
      <c r="C140" s="46">
        <f>'bloco 01'!P39</f>
        <v/>
      </c>
      <c r="D140" s="46">
        <f>'bloco 01'!Q39</f>
        <v/>
      </c>
      <c r="E140" s="45">
        <f>IFERROR(('bloco 01'!R39),"")</f>
        <v/>
      </c>
      <c r="F140" s="48">
        <f>'bloco 01'!S39</f>
        <v/>
      </c>
    </row>
    <row r="141" ht="15.75" customHeight="1" s="98">
      <c r="A141" s="14">
        <f>'bloco 01'!$B$40</f>
        <v/>
      </c>
      <c r="B141" s="46">
        <f>'bloco 01'!O40</f>
        <v/>
      </c>
      <c r="C141" s="46">
        <f>'bloco 01'!P40</f>
        <v/>
      </c>
      <c r="D141" s="46">
        <f>'bloco 01'!Q40</f>
        <v/>
      </c>
      <c r="E141" s="45">
        <f>IFERROR(('bloco 01'!R40),"")</f>
        <v/>
      </c>
      <c r="F141" s="48">
        <f>'bloco 01'!S40</f>
        <v/>
      </c>
    </row>
    <row r="142" ht="15.75" customHeight="1" s="98">
      <c r="A142" s="14">
        <f>'bloco 01'!$B$41</f>
        <v/>
      </c>
      <c r="B142" s="46">
        <f>'bloco 01'!O41</f>
        <v/>
      </c>
      <c r="C142" s="46">
        <f>'bloco 01'!P41</f>
        <v/>
      </c>
      <c r="D142" s="46">
        <f>'bloco 01'!Q41</f>
        <v/>
      </c>
      <c r="E142" s="45">
        <f>IFERROR(('bloco 01'!R41),"")</f>
        <v/>
      </c>
      <c r="F142" s="48">
        <f>'bloco 01'!S41</f>
        <v/>
      </c>
    </row>
    <row r="143" ht="15.75" customHeight="1" s="98">
      <c r="A143" s="14">
        <f>'bloco 01'!$B$42</f>
        <v/>
      </c>
      <c r="B143" s="46">
        <f>'bloco 01'!O42</f>
        <v/>
      </c>
      <c r="C143" s="46">
        <f>'bloco 01'!P42</f>
        <v/>
      </c>
      <c r="D143" s="46">
        <f>'bloco 01'!Q42</f>
        <v/>
      </c>
      <c r="E143" s="45">
        <f>IFERROR(('bloco 01'!R42),"")</f>
        <v/>
      </c>
      <c r="F143" s="48">
        <f>'bloco 01'!S42</f>
        <v/>
      </c>
    </row>
    <row r="144" ht="15.75" customHeight="1" s="98">
      <c r="A144" s="14">
        <f>'bloco 01'!$B$43</f>
        <v/>
      </c>
      <c r="B144" s="46">
        <f>'bloco 01'!O43</f>
        <v/>
      </c>
      <c r="C144" s="46">
        <f>'bloco 01'!P43</f>
        <v/>
      </c>
      <c r="D144" s="46">
        <f>'bloco 01'!Q43</f>
        <v/>
      </c>
      <c r="E144" s="45">
        <f>IFERROR(('bloco 01'!R43),"")</f>
        <v/>
      </c>
      <c r="F144" s="48">
        <f>'bloco 01'!S43</f>
        <v/>
      </c>
    </row>
    <row r="145" ht="15.75" customHeight="1" s="98">
      <c r="A145" s="14">
        <f>'bloco 01'!$B$44</f>
        <v/>
      </c>
      <c r="B145" s="46">
        <f>'bloco 01'!O44</f>
        <v/>
      </c>
      <c r="C145" s="46">
        <f>'bloco 01'!P44</f>
        <v/>
      </c>
      <c r="D145" s="46">
        <f>'bloco 01'!Q44</f>
        <v/>
      </c>
      <c r="E145" s="45">
        <f>IFERROR(('bloco 01'!R44),"")</f>
        <v/>
      </c>
      <c r="F145" s="48">
        <f>'bloco 01'!S44</f>
        <v/>
      </c>
    </row>
    <row r="146" ht="15.75" customHeight="1" s="98">
      <c r="A146" s="14">
        <f>'bloco 01'!$B$45</f>
        <v/>
      </c>
      <c r="B146" s="46">
        <f>'bloco 01'!O45</f>
        <v/>
      </c>
      <c r="C146" s="46">
        <f>'bloco 01'!P45</f>
        <v/>
      </c>
      <c r="D146" s="46">
        <f>'bloco 01'!Q45</f>
        <v/>
      </c>
      <c r="E146" s="45">
        <f>IFERROR(('bloco 01'!R45),"")</f>
        <v/>
      </c>
      <c r="F146" s="48">
        <f>'bloco 01'!S45</f>
        <v/>
      </c>
    </row>
    <row r="147" ht="15.75" customHeight="1" s="98">
      <c r="A147" s="46" t="n"/>
    </row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>
      <c r="A164" s="43">
        <f>'bloco 01'!U3</f>
        <v/>
      </c>
    </row>
    <row r="165" ht="15.75" customHeight="1" s="98">
      <c r="A165" s="44" t="inlineStr">
        <is>
          <t>SEMANA 04</t>
        </is>
      </c>
    </row>
    <row r="166" ht="15.75" customHeight="1" s="98">
      <c r="A166" s="29" t="inlineStr">
        <is>
          <t>TREINO 01</t>
        </is>
      </c>
    </row>
    <row r="167" ht="15.75" customHeight="1" s="98">
      <c r="A167" s="31" t="n"/>
      <c r="B167" s="31" t="inlineStr">
        <is>
          <t>SETS</t>
        </is>
      </c>
      <c r="C167" s="32" t="inlineStr">
        <is>
          <t>REPS</t>
        </is>
      </c>
      <c r="D167" s="32" t="inlineStr">
        <is>
          <t>KG</t>
        </is>
      </c>
      <c r="E167" s="32" t="inlineStr">
        <is>
          <t>%1RM / PSE</t>
        </is>
      </c>
      <c r="F167" s="32" t="inlineStr">
        <is>
          <t>OBS</t>
        </is>
      </c>
    </row>
    <row r="168" ht="15.75" customHeight="1" s="98">
      <c r="A168" s="14">
        <f>'bloco 01'!$B$6</f>
        <v/>
      </c>
      <c r="B168" s="46">
        <f>'bloco 01'!U6</f>
        <v/>
      </c>
      <c r="C168" s="46">
        <f>'bloco 01'!V6</f>
        <v/>
      </c>
      <c r="D168" s="46">
        <f>'bloco 01'!W6</f>
        <v/>
      </c>
      <c r="E168" s="45">
        <f>IFERROR(('bloco 01'!X6),"")</f>
        <v/>
      </c>
      <c r="F168" s="48">
        <f>'bloco 01'!Y6</f>
        <v/>
      </c>
    </row>
    <row r="169" ht="15.75" customHeight="1" s="98">
      <c r="A169" s="14">
        <f>'bloco 01'!$B$7</f>
        <v/>
      </c>
      <c r="B169" s="46">
        <f>'bloco 01'!U7</f>
        <v/>
      </c>
      <c r="C169" s="46">
        <f>'bloco 01'!V7</f>
        <v/>
      </c>
      <c r="D169" s="46">
        <f>'bloco 01'!W7</f>
        <v/>
      </c>
      <c r="E169" s="45">
        <f>IFERROR(('bloco 01'!X7),"")</f>
        <v/>
      </c>
      <c r="F169" s="48">
        <f>'bloco 01'!Y7</f>
        <v/>
      </c>
    </row>
    <row r="170" ht="15.75" customHeight="1" s="98">
      <c r="A170" s="14">
        <f>'bloco 01'!$B$8</f>
        <v/>
      </c>
      <c r="B170" s="46">
        <f>'bloco 01'!U8</f>
        <v/>
      </c>
      <c r="C170" s="46">
        <f>'bloco 01'!V8</f>
        <v/>
      </c>
      <c r="D170" s="46">
        <f>'bloco 01'!W8</f>
        <v/>
      </c>
      <c r="E170" s="45">
        <f>IFERROR(('bloco 01'!X8),"")</f>
        <v/>
      </c>
      <c r="F170" s="48">
        <f>'bloco 01'!Y8</f>
        <v/>
      </c>
    </row>
    <row r="171" ht="15.75" customHeight="1" s="98">
      <c r="A171" s="14">
        <f>'bloco 01'!$B$9</f>
        <v/>
      </c>
      <c r="B171" s="46">
        <f>'bloco 01'!U9</f>
        <v/>
      </c>
      <c r="C171" s="46">
        <f>'bloco 01'!V9</f>
        <v/>
      </c>
      <c r="D171" s="46">
        <f>'bloco 01'!W9</f>
        <v/>
      </c>
      <c r="E171" s="45">
        <f>IFERROR(('bloco 01'!X9),"")</f>
        <v/>
      </c>
      <c r="F171" s="48">
        <f>'bloco 01'!Y9</f>
        <v/>
      </c>
    </row>
    <row r="172" ht="15.75" customHeight="1" s="98">
      <c r="A172" s="14">
        <f>'bloco 01'!$B$10</f>
        <v/>
      </c>
      <c r="B172" s="46">
        <f>'bloco 01'!U10</f>
        <v/>
      </c>
      <c r="C172" s="46">
        <f>'bloco 01'!V10</f>
        <v/>
      </c>
      <c r="D172" s="46">
        <f>'bloco 01'!W10</f>
        <v/>
      </c>
      <c r="E172" s="45">
        <f>IFERROR(('bloco 01'!X10),"")</f>
        <v/>
      </c>
      <c r="F172" s="48">
        <f>'bloco 01'!Y10</f>
        <v/>
      </c>
    </row>
    <row r="173" ht="15.75" customHeight="1" s="98">
      <c r="A173" s="14">
        <f>'bloco 01'!$B$11</f>
        <v/>
      </c>
      <c r="B173" s="46">
        <f>'bloco 01'!U11</f>
        <v/>
      </c>
      <c r="C173" s="46">
        <f>'bloco 01'!V11</f>
        <v/>
      </c>
      <c r="D173" s="46">
        <f>'bloco 01'!W11</f>
        <v/>
      </c>
      <c r="E173" s="45">
        <f>IFERROR(('bloco 01'!X11),"")</f>
        <v/>
      </c>
      <c r="F173" s="48">
        <f>'bloco 01'!Y11</f>
        <v/>
      </c>
    </row>
    <row r="174" ht="15.75" customHeight="1" s="98">
      <c r="A174" s="14">
        <f>'bloco 01'!$B$12</f>
        <v/>
      </c>
      <c r="B174" s="46">
        <f>'bloco 01'!U12</f>
        <v/>
      </c>
      <c r="C174" s="46">
        <f>'bloco 01'!V12</f>
        <v/>
      </c>
      <c r="D174" s="46">
        <f>'bloco 01'!W12</f>
        <v/>
      </c>
      <c r="E174" s="45">
        <f>IFERROR(('bloco 01'!X12),"")</f>
        <v/>
      </c>
      <c r="F174" s="48">
        <f>'bloco 01'!Y12</f>
        <v/>
      </c>
    </row>
    <row r="175" ht="15.75" customHeight="1" s="98">
      <c r="A175" s="14">
        <f>'bloco 01'!$B$13</f>
        <v/>
      </c>
      <c r="B175" s="46">
        <f>'bloco 01'!U13</f>
        <v/>
      </c>
      <c r="C175" s="46">
        <f>'bloco 01'!V13</f>
        <v/>
      </c>
      <c r="D175" s="46">
        <f>'bloco 01'!W13</f>
        <v/>
      </c>
      <c r="E175" s="45">
        <f>IFERROR(('bloco 01'!X13),"")</f>
        <v/>
      </c>
      <c r="F175" s="48">
        <f>'bloco 01'!Y13</f>
        <v/>
      </c>
    </row>
    <row r="176" ht="15.75" customHeight="1" s="98">
      <c r="A176" s="14">
        <f>'bloco 01'!$B$14</f>
        <v/>
      </c>
      <c r="B176" s="46">
        <f>'bloco 01'!U14</f>
        <v/>
      </c>
      <c r="C176" s="46">
        <f>'bloco 01'!V14</f>
        <v/>
      </c>
      <c r="D176" s="46">
        <f>'bloco 01'!W14</f>
        <v/>
      </c>
      <c r="E176" s="45">
        <f>IFERROR(('bloco 01'!X14),"")</f>
        <v/>
      </c>
      <c r="F176" s="48">
        <f>'bloco 01'!Y14</f>
        <v/>
      </c>
    </row>
    <row r="177" ht="15.75" customHeight="1" s="98">
      <c r="A177" s="14">
        <f>'bloco 01'!$B$15</f>
        <v/>
      </c>
      <c r="B177" s="46">
        <f>'bloco 01'!U15</f>
        <v/>
      </c>
      <c r="C177" s="46">
        <f>'bloco 01'!V15</f>
        <v/>
      </c>
      <c r="D177" s="46">
        <f>'bloco 01'!W15</f>
        <v/>
      </c>
      <c r="E177" s="45">
        <f>IFERROR(('bloco 01'!X15),"")</f>
        <v/>
      </c>
      <c r="F177" s="48">
        <f>'bloco 01'!Y15</f>
        <v/>
      </c>
    </row>
    <row r="178" ht="15.75" customHeight="1" s="98">
      <c r="A178" s="29" t="inlineStr">
        <is>
          <t>TREINO 02</t>
        </is>
      </c>
    </row>
    <row r="179" ht="15.75" customHeight="1" s="98">
      <c r="A179" s="31" t="n"/>
      <c r="B179" s="31" t="inlineStr">
        <is>
          <t>SETS</t>
        </is>
      </c>
      <c r="C179" s="32" t="inlineStr">
        <is>
          <t>REPS</t>
        </is>
      </c>
      <c r="D179" s="32" t="inlineStr">
        <is>
          <t>KG</t>
        </is>
      </c>
      <c r="E179" s="32" t="inlineStr">
        <is>
          <t>%1RM / PSE</t>
        </is>
      </c>
      <c r="F179" s="32" t="inlineStr">
        <is>
          <t>OBS</t>
        </is>
      </c>
    </row>
    <row r="180" ht="15.75" customHeight="1" s="98">
      <c r="A180" s="14">
        <f>'bloco 01'!$B$21</f>
        <v/>
      </c>
      <c r="B180" s="46">
        <f>'bloco 01'!U21</f>
        <v/>
      </c>
      <c r="C180" s="46">
        <f>'bloco 01'!V21</f>
        <v/>
      </c>
      <c r="D180" s="46">
        <f>'bloco 01'!W21</f>
        <v/>
      </c>
      <c r="E180" s="45">
        <f>IFERROR(('bloco 01'!X21),"")</f>
        <v/>
      </c>
      <c r="F180" s="48">
        <f>'bloco 01'!Y21</f>
        <v/>
      </c>
    </row>
    <row r="181" ht="15.75" customHeight="1" s="98">
      <c r="A181" s="14">
        <f>'bloco 01'!$B$22</f>
        <v/>
      </c>
      <c r="B181" s="46">
        <f>'bloco 01'!U22</f>
        <v/>
      </c>
      <c r="C181" s="46">
        <f>'bloco 01'!V22</f>
        <v/>
      </c>
      <c r="D181" s="46">
        <f>'bloco 01'!W22</f>
        <v/>
      </c>
      <c r="E181" s="45">
        <f>IFERROR(('bloco 01'!X22),"")</f>
        <v/>
      </c>
      <c r="F181" s="48">
        <f>'bloco 01'!Y22</f>
        <v/>
      </c>
    </row>
    <row r="182" ht="15.75" customHeight="1" s="98">
      <c r="A182" s="14">
        <f>'bloco 01'!$B$23</f>
        <v/>
      </c>
      <c r="B182" s="46">
        <f>'bloco 01'!U23</f>
        <v/>
      </c>
      <c r="C182" s="46">
        <f>'bloco 01'!V23</f>
        <v/>
      </c>
      <c r="D182" s="46">
        <f>'bloco 01'!W23</f>
        <v/>
      </c>
      <c r="E182" s="45">
        <f>IFERROR(('bloco 01'!X23),"")</f>
        <v/>
      </c>
      <c r="F182" s="48">
        <f>'bloco 01'!Y23</f>
        <v/>
      </c>
    </row>
    <row r="183" ht="15.75" customHeight="1" s="98">
      <c r="A183" s="14">
        <f>'bloco 01'!$B$24</f>
        <v/>
      </c>
      <c r="B183" s="46">
        <f>'bloco 01'!U24</f>
        <v/>
      </c>
      <c r="C183" s="46">
        <f>'bloco 01'!V24</f>
        <v/>
      </c>
      <c r="D183" s="46">
        <f>'bloco 01'!W24</f>
        <v/>
      </c>
      <c r="E183" s="45">
        <f>IFERROR(('bloco 01'!X24),"")</f>
        <v/>
      </c>
      <c r="F183" s="48">
        <f>'bloco 01'!Y24</f>
        <v/>
      </c>
    </row>
    <row r="184" ht="15.75" customHeight="1" s="98">
      <c r="A184" s="14">
        <f>'bloco 01'!$B$25</f>
        <v/>
      </c>
      <c r="B184" s="46">
        <f>'bloco 01'!U25</f>
        <v/>
      </c>
      <c r="C184" s="46">
        <f>'bloco 01'!V25</f>
        <v/>
      </c>
      <c r="D184" s="46">
        <f>'bloco 01'!W25</f>
        <v/>
      </c>
      <c r="E184" s="45">
        <f>IFERROR(('bloco 01'!X25),"")</f>
        <v/>
      </c>
      <c r="F184" s="48">
        <f>'bloco 01'!Y25</f>
        <v/>
      </c>
    </row>
    <row r="185" ht="15.75" customHeight="1" s="98">
      <c r="A185" s="14">
        <f>'bloco 01'!$B$26</f>
        <v/>
      </c>
      <c r="B185" s="46">
        <f>'bloco 01'!U26</f>
        <v/>
      </c>
      <c r="C185" s="46">
        <f>'bloco 01'!V26</f>
        <v/>
      </c>
      <c r="D185" s="46">
        <f>'bloco 01'!W26</f>
        <v/>
      </c>
      <c r="E185" s="45">
        <f>IFERROR(('bloco 01'!X26),"")</f>
        <v/>
      </c>
      <c r="F185" s="48">
        <f>'bloco 01'!Y26</f>
        <v/>
      </c>
    </row>
    <row r="186" ht="15.75" customHeight="1" s="98">
      <c r="A186" s="14">
        <f>'bloco 01'!$B$27</f>
        <v/>
      </c>
      <c r="B186" s="46">
        <f>'bloco 01'!U27</f>
        <v/>
      </c>
      <c r="C186" s="46">
        <f>'bloco 01'!V27</f>
        <v/>
      </c>
      <c r="D186" s="46">
        <f>'bloco 01'!W27</f>
        <v/>
      </c>
      <c r="E186" s="45">
        <f>IFERROR(('bloco 01'!X27),"")</f>
        <v/>
      </c>
      <c r="F186" s="48">
        <f>'bloco 01'!Y27</f>
        <v/>
      </c>
    </row>
    <row r="187" ht="15.75" customHeight="1" s="98">
      <c r="A187" s="14">
        <f>'bloco 01'!$B$28</f>
        <v/>
      </c>
      <c r="B187" s="46">
        <f>'bloco 01'!U28</f>
        <v/>
      </c>
      <c r="C187" s="46">
        <f>'bloco 01'!V28</f>
        <v/>
      </c>
      <c r="D187" s="46">
        <f>'bloco 01'!W28</f>
        <v/>
      </c>
      <c r="E187" s="45">
        <f>IFERROR(('bloco 01'!X28),"")</f>
        <v/>
      </c>
      <c r="F187" s="48">
        <f>'bloco 01'!Y28</f>
        <v/>
      </c>
    </row>
    <row r="188" ht="15.75" customHeight="1" s="98">
      <c r="A188" s="14">
        <f>'bloco 01'!$B$29</f>
        <v/>
      </c>
      <c r="B188" s="46">
        <f>'bloco 01'!U29</f>
        <v/>
      </c>
      <c r="C188" s="46">
        <f>'bloco 01'!V29</f>
        <v/>
      </c>
      <c r="D188" s="46">
        <f>'bloco 01'!W29</f>
        <v/>
      </c>
      <c r="E188" s="45">
        <f>IFERROR(('bloco 01'!X29),"")</f>
        <v/>
      </c>
      <c r="F188" s="48">
        <f>'bloco 01'!Y29</f>
        <v/>
      </c>
    </row>
    <row r="189" ht="15.75" customHeight="1" s="98">
      <c r="A189" s="14">
        <f>'bloco 01'!$B$30</f>
        <v/>
      </c>
      <c r="B189" s="46">
        <f>'bloco 01'!U30</f>
        <v/>
      </c>
      <c r="C189" s="46">
        <f>'bloco 01'!V30</f>
        <v/>
      </c>
      <c r="D189" s="46">
        <f>'bloco 01'!W30</f>
        <v/>
      </c>
      <c r="E189" s="45">
        <f>IFERROR(('bloco 01'!X30),"")</f>
        <v/>
      </c>
      <c r="F189" s="48">
        <f>'bloco 01'!Y30</f>
        <v/>
      </c>
    </row>
    <row r="190" ht="15.75" customHeight="1" s="98">
      <c r="A190" s="29" t="inlineStr">
        <is>
          <t>TREINO 03</t>
        </is>
      </c>
    </row>
    <row r="191" ht="15.75" customHeight="1" s="98">
      <c r="A191" s="31" t="n"/>
      <c r="B191" s="31" t="inlineStr">
        <is>
          <t>SETS</t>
        </is>
      </c>
      <c r="C191" s="32" t="inlineStr">
        <is>
          <t>REPS</t>
        </is>
      </c>
      <c r="D191" s="32" t="inlineStr">
        <is>
          <t>KG</t>
        </is>
      </c>
      <c r="E191" s="32" t="inlineStr">
        <is>
          <t>%1RM / PSE</t>
        </is>
      </c>
      <c r="F191" s="32" t="inlineStr">
        <is>
          <t>OBS</t>
        </is>
      </c>
    </row>
    <row r="192" ht="15.75" customHeight="1" s="98">
      <c r="A192" s="14">
        <f>'bloco 01'!$B$36</f>
        <v/>
      </c>
      <c r="B192" s="46">
        <f>'bloco 01'!U36</f>
        <v/>
      </c>
      <c r="C192" s="46">
        <f>'bloco 01'!V36</f>
        <v/>
      </c>
      <c r="D192" s="46">
        <f>'bloco 01'!W36</f>
        <v/>
      </c>
      <c r="E192" s="45">
        <f>IFERROR(('bloco 01'!X36),"")</f>
        <v/>
      </c>
      <c r="F192" s="48">
        <f>'bloco 01'!Y36</f>
        <v/>
      </c>
    </row>
    <row r="193" ht="15.75" customHeight="1" s="98">
      <c r="A193" s="14">
        <f>'bloco 01'!$B$37</f>
        <v/>
      </c>
      <c r="B193" s="46">
        <f>'bloco 01'!U37</f>
        <v/>
      </c>
      <c r="C193" s="46">
        <f>'bloco 01'!V37</f>
        <v/>
      </c>
      <c r="D193" s="46">
        <f>'bloco 01'!W37</f>
        <v/>
      </c>
      <c r="E193" s="45">
        <f>IFERROR(('bloco 01'!X37),"")</f>
        <v/>
      </c>
      <c r="F193" s="48">
        <f>'bloco 01'!Y37</f>
        <v/>
      </c>
    </row>
    <row r="194" ht="15.75" customHeight="1" s="98">
      <c r="A194" s="14">
        <f>'bloco 01'!$B$38</f>
        <v/>
      </c>
      <c r="B194" s="46">
        <f>'bloco 01'!U38</f>
        <v/>
      </c>
      <c r="C194" s="46">
        <f>'bloco 01'!V38</f>
        <v/>
      </c>
      <c r="D194" s="46">
        <f>'bloco 01'!W38</f>
        <v/>
      </c>
      <c r="E194" s="45">
        <f>IFERROR(('bloco 01'!X38),"")</f>
        <v/>
      </c>
      <c r="F194" s="48">
        <f>'bloco 01'!Y38</f>
        <v/>
      </c>
    </row>
    <row r="195" ht="15.75" customHeight="1" s="98">
      <c r="A195" s="14">
        <f>'bloco 01'!$B$39</f>
        <v/>
      </c>
      <c r="B195" s="46">
        <f>'bloco 01'!U39</f>
        <v/>
      </c>
      <c r="C195" s="46">
        <f>'bloco 01'!V39</f>
        <v/>
      </c>
      <c r="D195" s="46">
        <f>'bloco 01'!W39</f>
        <v/>
      </c>
      <c r="E195" s="45">
        <f>IFERROR(('bloco 01'!X39),"")</f>
        <v/>
      </c>
      <c r="F195" s="48">
        <f>'bloco 01'!Y39</f>
        <v/>
      </c>
    </row>
    <row r="196" ht="15.75" customHeight="1" s="98">
      <c r="A196" s="14">
        <f>'bloco 01'!$B$40</f>
        <v/>
      </c>
      <c r="B196" s="46">
        <f>'bloco 01'!U40</f>
        <v/>
      </c>
      <c r="C196" s="46">
        <f>'bloco 01'!V40</f>
        <v/>
      </c>
      <c r="D196" s="46">
        <f>'bloco 01'!W40</f>
        <v/>
      </c>
      <c r="E196" s="45">
        <f>IFERROR(('bloco 01'!X40),"")</f>
        <v/>
      </c>
      <c r="F196" s="48">
        <f>'bloco 01'!Y40</f>
        <v/>
      </c>
    </row>
    <row r="197" ht="15.75" customHeight="1" s="98">
      <c r="A197" s="14">
        <f>'bloco 01'!$B$41</f>
        <v/>
      </c>
      <c r="B197" s="46">
        <f>'bloco 01'!U41</f>
        <v/>
      </c>
      <c r="C197" s="46">
        <f>'bloco 01'!V41</f>
        <v/>
      </c>
      <c r="D197" s="46">
        <f>'bloco 01'!W41</f>
        <v/>
      </c>
      <c r="E197" s="45">
        <f>IFERROR(('bloco 01'!X41),"")</f>
        <v/>
      </c>
      <c r="F197" s="48">
        <f>'bloco 01'!Y41</f>
        <v/>
      </c>
    </row>
    <row r="198" ht="15.75" customHeight="1" s="98">
      <c r="A198" s="14">
        <f>'bloco 01'!$B$42</f>
        <v/>
      </c>
      <c r="B198" s="46">
        <f>'bloco 01'!U42</f>
        <v/>
      </c>
      <c r="C198" s="46">
        <f>'bloco 01'!V42</f>
        <v/>
      </c>
      <c r="D198" s="46">
        <f>'bloco 01'!W42</f>
        <v/>
      </c>
      <c r="E198" s="45">
        <f>IFERROR(('bloco 01'!X42),"")</f>
        <v/>
      </c>
      <c r="F198" s="48">
        <f>'bloco 01'!Y42</f>
        <v/>
      </c>
    </row>
    <row r="199" ht="15.75" customHeight="1" s="98">
      <c r="A199" s="14">
        <f>'bloco 01'!$B$43</f>
        <v/>
      </c>
      <c r="B199" s="46">
        <f>'bloco 01'!U43</f>
        <v/>
      </c>
      <c r="C199" s="46">
        <f>'bloco 01'!V43</f>
        <v/>
      </c>
      <c r="D199" s="46">
        <f>'bloco 01'!W43</f>
        <v/>
      </c>
      <c r="E199" s="45">
        <f>IFERROR(('bloco 01'!X43),"")</f>
        <v/>
      </c>
      <c r="F199" s="48">
        <f>'bloco 01'!Y43</f>
        <v/>
      </c>
    </row>
    <row r="200" ht="15.75" customHeight="1" s="98">
      <c r="A200" s="14">
        <f>'bloco 01'!$B$44</f>
        <v/>
      </c>
      <c r="B200" s="46">
        <f>'bloco 01'!U44</f>
        <v/>
      </c>
      <c r="C200" s="46">
        <f>'bloco 01'!V44</f>
        <v/>
      </c>
      <c r="D200" s="46">
        <f>'bloco 01'!W44</f>
        <v/>
      </c>
      <c r="E200" s="45">
        <f>IFERROR(('bloco 01'!X44),"")</f>
        <v/>
      </c>
      <c r="F200" s="48">
        <f>'bloco 01'!Y44</f>
        <v/>
      </c>
    </row>
    <row r="201" ht="15.75" customHeight="1" s="98">
      <c r="A201" s="14">
        <f>'bloco 01'!$B$45</f>
        <v/>
      </c>
      <c r="B201" s="46">
        <f>'bloco 01'!U45</f>
        <v/>
      </c>
      <c r="C201" s="46">
        <f>'bloco 01'!V45</f>
        <v/>
      </c>
      <c r="D201" s="46">
        <f>'bloco 01'!W45</f>
        <v/>
      </c>
      <c r="E201" s="45">
        <f>IFERROR(('bloco 01'!X45),"")</f>
        <v/>
      </c>
      <c r="F201" s="48">
        <f>'bloco 01'!Y45</f>
        <v/>
      </c>
    </row>
    <row r="202" ht="15.75" customHeight="1" s="98">
      <c r="A202" s="46" t="n"/>
    </row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</row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conditionalFormatting sqref="A1:A3">
    <cfRule type="notContainsBlanks" priority="1" dxfId="0">
      <formula>LEN(TRIM(A1))&gt;0</formula>
    </cfRule>
  </conditionalFormatting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12"/>
    <col width="9.5" customWidth="1" style="98" min="13" max="13"/>
    <col width="6.38" customWidth="1" style="98" min="14" max="18"/>
    <col width="9.5" customWidth="1" style="98" min="19" max="19"/>
    <col width="6.38" customWidth="1" style="98" min="20" max="24"/>
    <col width="9.5" customWidth="1" style="98" min="25" max="25"/>
    <col width="6.38" customWidth="1" style="98" min="26" max="26"/>
  </cols>
  <sheetData>
    <row r="1" ht="15.75" customHeight="1" s="98">
      <c r="A1" s="1" t="inlineStr">
        <is>
          <t>BLOCO 01</t>
        </is>
      </c>
      <c r="B1" s="2" t="n"/>
      <c r="C1" s="3" t="n"/>
      <c r="D1" s="4" t="n"/>
      <c r="E1" s="5" t="n"/>
      <c r="F1" s="5" t="n"/>
      <c r="G1" s="6" t="n"/>
      <c r="H1" s="7" t="n"/>
      <c r="I1" s="5" t="n"/>
      <c r="J1" s="5" t="n"/>
      <c r="K1" s="5" t="n"/>
      <c r="L1" s="1" t="n"/>
      <c r="M1" s="6" t="n"/>
      <c r="N1" s="1" t="n"/>
      <c r="O1" s="5" t="n"/>
      <c r="P1" s="5" t="n"/>
      <c r="Q1" s="5" t="n"/>
      <c r="R1" s="5" t="n"/>
      <c r="S1" s="6" t="n"/>
      <c r="T1" s="1" t="n"/>
      <c r="U1" s="5" t="n"/>
      <c r="V1" s="5" t="n"/>
      <c r="W1" s="5" t="n"/>
      <c r="X1" s="5" t="n"/>
      <c r="Y1" s="5" t="n"/>
      <c r="Z1" s="5" t="n"/>
    </row>
    <row r="2" ht="15.75" customHeight="1" s="98">
      <c r="A2" s="10" t="n"/>
      <c r="B2" s="10" t="n"/>
      <c r="C2" s="10" t="n"/>
      <c r="D2" s="10" t="n"/>
      <c r="H2" s="10" t="n"/>
      <c r="I2" s="10" t="n"/>
      <c r="J2" s="10" t="n"/>
      <c r="N2" s="10" t="n"/>
      <c r="O2" s="10" t="n"/>
      <c r="P2" s="10" t="n"/>
      <c r="T2" s="10" t="n"/>
      <c r="U2" s="10" t="n"/>
      <c r="V2" s="10" t="n"/>
      <c r="Z2" s="10" t="n"/>
    </row>
    <row r="3" ht="15.75" customHeight="1" s="98">
      <c r="A3" s="2" t="inlineStr">
        <is>
          <t>TREINO 01</t>
        </is>
      </c>
      <c r="B3" s="13" t="n"/>
      <c r="C3" s="22" t="n">
        <v>46027</v>
      </c>
      <c r="H3" s="24" t="n"/>
      <c r="I3" s="4" t="n">
        <v>46034</v>
      </c>
      <c r="N3" s="24" t="n"/>
      <c r="O3" s="22" t="n">
        <v>46041</v>
      </c>
      <c r="T3" s="24" t="n"/>
      <c r="U3" s="22" t="n">
        <v>46048</v>
      </c>
      <c r="Z3" s="10" t="n"/>
    </row>
    <row r="4" ht="15.75" customHeight="1" s="98">
      <c r="A4" s="2" t="n"/>
      <c r="B4" s="2" t="n"/>
      <c r="C4" s="5" t="inlineStr">
        <is>
          <t>SETS</t>
        </is>
      </c>
      <c r="D4" s="5" t="inlineStr">
        <is>
          <t>REPS</t>
        </is>
      </c>
      <c r="E4" s="5" t="inlineStr">
        <is>
          <t>KG</t>
        </is>
      </c>
      <c r="F4" s="5" t="inlineStr">
        <is>
          <t>%1RM</t>
        </is>
      </c>
      <c r="G4" s="5" t="inlineStr">
        <is>
          <t>OBS</t>
        </is>
      </c>
      <c r="H4" s="24" t="n"/>
      <c r="I4" s="5" t="inlineStr">
        <is>
          <t>SETS</t>
        </is>
      </c>
      <c r="J4" s="5" t="inlineStr">
        <is>
          <t>REPS</t>
        </is>
      </c>
      <c r="K4" s="5" t="inlineStr">
        <is>
          <t>KG</t>
        </is>
      </c>
      <c r="L4" s="5" t="inlineStr">
        <is>
          <t>%1RM</t>
        </is>
      </c>
      <c r="M4" s="5" t="inlineStr">
        <is>
          <t>OBS</t>
        </is>
      </c>
      <c r="N4" s="24" t="n"/>
      <c r="O4" s="5" t="inlineStr">
        <is>
          <t>SETS</t>
        </is>
      </c>
      <c r="P4" s="5" t="inlineStr">
        <is>
          <t>REPS</t>
        </is>
      </c>
      <c r="Q4" s="5" t="inlineStr">
        <is>
          <t>KG</t>
        </is>
      </c>
      <c r="R4" s="5" t="inlineStr">
        <is>
          <t>%1RM</t>
        </is>
      </c>
      <c r="S4" s="5" t="inlineStr">
        <is>
          <t>OBS</t>
        </is>
      </c>
      <c r="T4" s="24" t="n"/>
      <c r="U4" s="5" t="inlineStr">
        <is>
          <t>SETS</t>
        </is>
      </c>
      <c r="V4" s="5" t="inlineStr">
        <is>
          <t>REPS</t>
        </is>
      </c>
      <c r="W4" s="5" t="inlineStr">
        <is>
          <t>KG</t>
        </is>
      </c>
      <c r="X4" s="5" t="inlineStr">
        <is>
          <t>%1RM</t>
        </is>
      </c>
      <c r="Y4" s="5" t="inlineStr">
        <is>
          <t>OBS</t>
        </is>
      </c>
      <c r="Z4" s="24" t="n"/>
    </row>
    <row r="5" ht="15.75" customHeight="1" s="98">
      <c r="A5" s="2" t="n"/>
      <c r="B5" s="2" t="inlineStr">
        <is>
          <t>exercícios</t>
        </is>
      </c>
      <c r="C5" s="38" t="n"/>
      <c r="D5" s="5" t="n"/>
      <c r="E5" s="5" t="n"/>
      <c r="F5" s="5" t="inlineStr">
        <is>
          <t>pse</t>
        </is>
      </c>
      <c r="G5" s="5" t="n"/>
      <c r="H5" s="24" t="n"/>
      <c r="I5" s="38" t="n"/>
      <c r="J5" s="5" t="n"/>
      <c r="K5" s="5" t="n"/>
      <c r="L5" s="5" t="inlineStr">
        <is>
          <t>pse</t>
        </is>
      </c>
      <c r="M5" s="5" t="n"/>
      <c r="N5" s="24" t="n"/>
      <c r="O5" s="38" t="n"/>
      <c r="P5" s="5" t="n"/>
      <c r="Q5" s="5" t="n"/>
      <c r="R5" s="5" t="inlineStr">
        <is>
          <t>pse</t>
        </is>
      </c>
      <c r="S5" s="5" t="n"/>
      <c r="T5" s="24" t="n"/>
      <c r="U5" s="38" t="n"/>
      <c r="V5" s="5" t="n"/>
      <c r="W5" s="5" t="n"/>
      <c r="X5" s="5" t="inlineStr">
        <is>
          <t>pse</t>
        </is>
      </c>
      <c r="Y5" s="5" t="n"/>
      <c r="Z5" s="24" t="n"/>
    </row>
    <row r="6" ht="15.75" customHeight="1" s="98">
      <c r="A6" s="39" t="n"/>
      <c r="B6" s="40" t="inlineStr">
        <is>
          <t>Agachamento</t>
        </is>
      </c>
      <c r="C6" s="41" t="n">
        <v>3</v>
      </c>
      <c r="D6" s="41" t="n">
        <v>5</v>
      </c>
      <c r="E6" s="42" t="n">
        <v>60</v>
      </c>
      <c r="F6" s="45" t="n">
        <v>0.5333</v>
      </c>
      <c r="G6" s="45" t="inlineStr">
        <is>
          <t>aquecimento</t>
        </is>
      </c>
      <c r="H6" s="24" t="n"/>
      <c r="I6" s="41" t="n"/>
      <c r="J6" s="41" t="n"/>
      <c r="K6" s="42" t="n"/>
      <c r="L6" s="45">
        <f>IFERROR(__xludf.DUMMYFUNCTION("IFERROR(
$K6/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prs!$A$6:$D$12,
4,
FALSE
)
,"""")"),"")</f>
        <v/>
      </c>
      <c r="M6" s="45" t="n"/>
      <c r="N6" s="39" t="n"/>
      <c r="O6" s="41" t="n"/>
      <c r="P6" s="41" t="n"/>
      <c r="Q6" s="42" t="n"/>
      <c r="R6" s="45">
        <f>IFERROR(__xludf.DUMMYFUNCTION("IFERROR(
$Q6/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prs!$A$6:$D$12,
4,
FALSE
)
,"""")"),"")</f>
        <v/>
      </c>
      <c r="S6" s="45" t="n"/>
      <c r="T6" s="39" t="n"/>
      <c r="U6" s="41" t="n"/>
      <c r="V6" s="41" t="n"/>
      <c r="W6" s="42" t="n"/>
      <c r="X6" s="45">
        <f>IFERROR(__xludf.DUMMYFUNCTION("IFERROR(
$W6/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prs!$A$6:$D$12,
4,
FALSE
)
,"""")"),"")</f>
        <v/>
      </c>
      <c r="Y6" s="45" t="n"/>
      <c r="Z6" s="39" t="n"/>
    </row>
    <row r="7" ht="15.75" customHeight="1" s="98">
      <c r="A7" s="39" t="n"/>
      <c r="B7" s="40" t="inlineStr">
        <is>
          <t>Agachamento</t>
        </is>
      </c>
      <c r="C7" s="41" t="n">
        <v>4</v>
      </c>
      <c r="D7" s="41" t="n">
        <v>5</v>
      </c>
      <c r="E7" s="42" t="n">
        <v>85</v>
      </c>
      <c r="F7" s="45" t="n">
        <v>0.7554999999999999</v>
      </c>
      <c r="G7" s="45" t="inlineStr">
        <is>
          <t>principal</t>
        </is>
      </c>
      <c r="H7" s="24" t="n"/>
      <c r="I7" s="41" t="n"/>
      <c r="J7" s="41" t="n"/>
      <c r="K7" s="42" t="n"/>
      <c r="L7" s="45">
        <f>IFERROR(__xludf.DUMMYFUNCTION("IFERROR(
$K7/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prs!$A$6:$D$12,
4,
FALSE
)
,"""")"),"")</f>
        <v/>
      </c>
      <c r="M7" s="45" t="n"/>
      <c r="N7" s="39" t="n"/>
      <c r="O7" s="41" t="n"/>
      <c r="P7" s="41" t="n"/>
      <c r="Q7" s="42" t="n"/>
      <c r="R7" s="45">
        <f>IFERROR(__xludf.DUMMYFUNCTION("IFERROR(
$Q7/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prs!$A$6:$D$12,
4,
FALSE
)
,"""")"),"")</f>
        <v/>
      </c>
      <c r="S7" s="45" t="n"/>
      <c r="T7" s="39" t="n"/>
      <c r="U7" s="41" t="n"/>
      <c r="V7" s="41" t="n"/>
      <c r="W7" s="42" t="n"/>
      <c r="X7" s="45">
        <f>IFERROR(__xludf.DUMMYFUNCTION("IFERROR(
$W7/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prs!$A$6:$D$12,
4,
FALSE
)
,"""")"),"")</f>
        <v/>
      </c>
      <c r="Y7" s="45" t="n"/>
      <c r="Z7" s="39" t="n"/>
    </row>
    <row r="8" ht="15.75" customHeight="1" s="98">
      <c r="A8" s="39" t="n"/>
      <c r="B8" s="40" t="inlineStr">
        <is>
          <t>Supino</t>
        </is>
      </c>
      <c r="C8" s="41" t="n">
        <v>4</v>
      </c>
      <c r="D8" s="41" t="n">
        <v>6</v>
      </c>
      <c r="E8" s="42" t="n">
        <v>60</v>
      </c>
      <c r="F8" s="45" t="n">
        <v>0.7618</v>
      </c>
      <c r="G8" s="45" t="n"/>
      <c r="H8" s="24" t="n"/>
      <c r="I8" s="41" t="n"/>
      <c r="J8" s="41" t="n"/>
      <c r="K8" s="42" t="n"/>
      <c r="L8" s="45">
        <f>IFERROR(__xludf.DUMMYFUNCTION("IFERROR(
$K8/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prs!$A$6:$D$12,
4,
FALSE
)
,"""")"),"")</f>
        <v/>
      </c>
      <c r="M8" s="45" t="n"/>
      <c r="N8" s="39" t="n"/>
      <c r="O8" s="41" t="n"/>
      <c r="P8" s="41" t="n"/>
      <c r="Q8" s="42" t="n"/>
      <c r="R8" s="45">
        <f>IFERROR(__xludf.DUMMYFUNCTION("IFERROR(
$Q8/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prs!$A$6:$D$12,
4,
FALSE
)
,"""")"),"")</f>
        <v/>
      </c>
      <c r="S8" s="45" t="n"/>
      <c r="T8" s="39" t="n"/>
      <c r="U8" s="41" t="n"/>
      <c r="V8" s="41" t="n"/>
      <c r="W8" s="42" t="n"/>
      <c r="X8" s="45">
        <f>IFERROR(__xludf.DUMMYFUNCTION("IFERROR(
$W8/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prs!$A$6:$D$12,
4,
FALSE
)
,"""")"),"")</f>
        <v/>
      </c>
      <c r="Y8" s="45" t="n"/>
      <c r="Z8" s="39" t="n"/>
    </row>
    <row r="9" ht="15.75" customHeight="1" s="98">
      <c r="A9" s="39" t="n"/>
      <c r="B9" s="40" t="inlineStr">
        <is>
          <t>Remada curvada</t>
        </is>
      </c>
      <c r="C9" s="50" t="n">
        <v>3</v>
      </c>
      <c r="D9" s="50" t="n">
        <v>10</v>
      </c>
      <c r="E9" s="51" t="n">
        <v>40</v>
      </c>
      <c r="F9" s="45" t="n"/>
      <c r="G9" s="45" t="inlineStr">
        <is>
          <t>biset</t>
        </is>
      </c>
      <c r="H9" s="24" t="n"/>
      <c r="I9" s="50" t="n"/>
      <c r="J9" s="50" t="n"/>
      <c r="K9" s="51" t="n"/>
      <c r="L9" s="45">
        <f>IFERROR(__xludf.DUMMYFUNCTION("IFERROR(
$K9/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prs!$A$6:$D$12,
4,
FALSE
)
,"""")"),"")</f>
        <v/>
      </c>
      <c r="M9" s="45" t="n"/>
      <c r="N9" s="39" t="n"/>
      <c r="O9" s="50" t="n"/>
      <c r="P9" s="50" t="n"/>
      <c r="Q9" s="51" t="n"/>
      <c r="R9" s="45">
        <f>IFERROR(__xludf.DUMMYFUNCTION("IFERROR(
$Q9/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prs!$A$6:$D$12,
4,
FALSE
)
,"""")"),"")</f>
        <v/>
      </c>
      <c r="S9" s="45" t="n"/>
      <c r="T9" s="39" t="n"/>
      <c r="U9" s="50" t="n"/>
      <c r="V9" s="50" t="n"/>
      <c r="W9" s="51" t="n"/>
      <c r="X9" s="45">
        <f>IFERROR(__xludf.DUMMYFUNCTION("IFERROR(
$W9/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prs!$A$6:$D$12,
4,
FALSE
)
,"""")"),"")</f>
        <v/>
      </c>
      <c r="Y9" s="45" t="n"/>
      <c r="Z9" s="39" t="n"/>
    </row>
    <row r="10" ht="15.75" customHeight="1" s="98">
      <c r="A10" s="39" t="n"/>
      <c r="B10" s="40" t="inlineStr">
        <is>
          <t>Prancha lateral</t>
        </is>
      </c>
      <c r="C10" s="50" t="n">
        <v>3</v>
      </c>
      <c r="D10" s="50" t="inlineStr">
        <is>
          <t>30s</t>
        </is>
      </c>
      <c r="E10" s="51" t="n"/>
      <c r="F10" s="45" t="n"/>
      <c r="G10" s="45" t="inlineStr">
        <is>
          <t>biset</t>
        </is>
      </c>
      <c r="H10" s="24" t="n"/>
      <c r="I10" s="50" t="n"/>
      <c r="J10" s="50" t="n"/>
      <c r="K10" s="51" t="n"/>
      <c r="L10" s="45">
        <f>IFERROR(__xludf.DUMMYFUNCTION("IFERROR(
$K10/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prs!$A$6:$D$12,
4,
FALSE
)
,"""")"),"")</f>
        <v/>
      </c>
      <c r="M10" s="45" t="n"/>
      <c r="N10" s="39" t="n"/>
      <c r="O10" s="50" t="n"/>
      <c r="P10" s="50" t="n"/>
      <c r="Q10" s="51" t="n"/>
      <c r="R10" s="45">
        <f>IFERROR(__xludf.DUMMYFUNCTION("IFERROR(
$Q10/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prs!$A$6:$D$12,
4,
FALSE
)
,"""")"),"")</f>
        <v/>
      </c>
      <c r="S10" s="45" t="n"/>
      <c r="T10" s="39" t="n"/>
      <c r="U10" s="50" t="n"/>
      <c r="V10" s="50" t="n"/>
      <c r="W10" s="51" t="n"/>
      <c r="X10" s="45">
        <f>IFERROR(__xludf.DUMMYFUNCTION("IFERROR(
$W10/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prs!$A$6:$D$12,
4,
FALSE
)
,"""")"),"")</f>
        <v/>
      </c>
      <c r="Y10" s="45" t="n"/>
      <c r="Z10" s="39" t="n"/>
    </row>
    <row r="11" ht="15.75" customHeight="1" s="98">
      <c r="A11" s="39" t="n"/>
      <c r="B11" s="40" t="n"/>
      <c r="C11" s="50" t="n"/>
      <c r="D11" s="50" t="n"/>
      <c r="E11" s="51" t="n"/>
      <c r="F11" s="45">
        <f>IFERROR(__xludf.DUMMYFUNCTION("IFERROR(
$E11/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prs!$A$6:$D$12,
4,
FALSE
)
,"""")"),"")</f>
        <v/>
      </c>
      <c r="G11" s="45" t="n"/>
      <c r="H11" s="24" t="n"/>
      <c r="I11" s="50" t="n"/>
      <c r="J11" s="50" t="n"/>
      <c r="K11" s="51" t="n"/>
      <c r="L11" s="45">
        <f>IFERROR(__xludf.DUMMYFUNCTION("IFERROR(
$K11/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prs!$A$6:$D$12,
4,
FALSE
)
,"""")"),"")</f>
        <v/>
      </c>
      <c r="M11" s="45" t="n"/>
      <c r="N11" s="39" t="n"/>
      <c r="O11" s="50" t="n"/>
      <c r="P11" s="50" t="n"/>
      <c r="Q11" s="51" t="n"/>
      <c r="R11" s="45">
        <f>IFERROR(__xludf.DUMMYFUNCTION("IFERROR(
$Q11/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prs!$A$6:$D$12,
4,
FALSE
)
,"""")"),"")</f>
        <v/>
      </c>
      <c r="S11" s="45" t="n"/>
      <c r="T11" s="39" t="n"/>
      <c r="U11" s="50" t="n"/>
      <c r="V11" s="50" t="n"/>
      <c r="W11" s="51" t="n"/>
      <c r="X11" s="45">
        <f>IFERROR(__xludf.DUMMYFUNCTION("IFERROR(
$W11/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prs!$A$6:$D$12,
4,
FALSE
)
,"""")"),"")</f>
        <v/>
      </c>
      <c r="Y11" s="45" t="n"/>
      <c r="Z11" s="39" t="n"/>
    </row>
    <row r="12" ht="15.75" customHeight="1" s="98">
      <c r="A12" s="39" t="n"/>
      <c r="B12" s="40" t="n"/>
      <c r="C12" s="50" t="n"/>
      <c r="D12" s="50" t="n"/>
      <c r="E12" s="51" t="n"/>
      <c r="F12" s="45">
        <f>IFERROR(__xludf.DUMMYFUNCTION("IFERROR(
$E12/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prs!$A$6:$D$12,
4,
FALSE
)
,"""")"),"")</f>
        <v/>
      </c>
      <c r="G12" s="45" t="n"/>
      <c r="H12" s="24" t="n"/>
      <c r="I12" s="50" t="n"/>
      <c r="J12" s="50" t="n"/>
      <c r="K12" s="51" t="n"/>
      <c r="L12" s="45">
        <f>IFERROR(__xludf.DUMMYFUNCTION("IFERROR(
$K12/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prs!$A$6:$D$12,
4,
FALSE
)
,"""")"),"")</f>
        <v/>
      </c>
      <c r="M12" s="45" t="n"/>
      <c r="N12" s="39" t="n"/>
      <c r="O12" s="50" t="n"/>
      <c r="P12" s="50" t="n"/>
      <c r="Q12" s="51" t="n"/>
      <c r="R12" s="45">
        <f>IFERROR(__xludf.DUMMYFUNCTION("IFERROR(
$Q12/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prs!$A$6:$D$12,
4,
FALSE
)
,"""")"),"")</f>
        <v/>
      </c>
      <c r="S12" s="45" t="n"/>
      <c r="T12" s="39" t="n"/>
      <c r="U12" s="50" t="n"/>
      <c r="V12" s="50" t="n"/>
      <c r="W12" s="51" t="n"/>
      <c r="X12" s="45">
        <f>IFERROR(__xludf.DUMMYFUNCTION("IFERROR(
$W12/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prs!$A$6:$D$12,
4,
FALSE
)
,"""")"),"")</f>
        <v/>
      </c>
      <c r="Y12" s="45" t="n"/>
      <c r="Z12" s="39" t="n"/>
    </row>
    <row r="13" ht="15.75" customHeight="1" s="98">
      <c r="A13" s="39" t="n"/>
      <c r="B13" s="40" t="n"/>
      <c r="C13" s="50" t="n"/>
      <c r="D13" s="50" t="n"/>
      <c r="E13" s="51" t="n"/>
      <c r="F13" s="45">
        <f>IFERROR(__xludf.DUMMYFUNCTION("IFERROR(
$E13/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prs!$A$6:$D$12,
4,
FALSE
)
,"""")"),"")</f>
        <v/>
      </c>
      <c r="G13" s="45" t="n"/>
      <c r="H13" s="24" t="n"/>
      <c r="I13" s="50" t="n"/>
      <c r="J13" s="50" t="n"/>
      <c r="K13" s="51" t="n"/>
      <c r="L13" s="45">
        <f>IFERROR(__xludf.DUMMYFUNCTION("IFERROR(
$K13/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prs!$A$6:$D$12,
4,
FALSE
)
,"""")"),"")</f>
        <v/>
      </c>
      <c r="M13" s="45" t="n"/>
      <c r="N13" s="39" t="n"/>
      <c r="O13" s="50" t="n"/>
      <c r="P13" s="50" t="n"/>
      <c r="Q13" s="51" t="n"/>
      <c r="R13" s="45">
        <f>IFERROR(__xludf.DUMMYFUNCTION("IFERROR(
$Q13/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prs!$A$6:$D$12,
4,
FALSE
)
,"""")"),"")</f>
        <v/>
      </c>
      <c r="S13" s="45" t="n"/>
      <c r="T13" s="39" t="n"/>
      <c r="U13" s="50" t="n"/>
      <c r="V13" s="50" t="n"/>
      <c r="W13" s="51" t="n"/>
      <c r="X13" s="45">
        <f>IFERROR(__xludf.DUMMYFUNCTION("IFERROR(
$W13/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prs!$A$6:$D$12,
4,
FALSE
)
,"""")"),"")</f>
        <v/>
      </c>
      <c r="Y13" s="45" t="n"/>
      <c r="Z13" s="39" t="n"/>
    </row>
    <row r="14" ht="15.75" customHeight="1" s="98">
      <c r="A14" s="39" t="n"/>
      <c r="B14" s="40" t="n"/>
      <c r="C14" s="50" t="n"/>
      <c r="D14" s="50" t="n"/>
      <c r="E14" s="51" t="n"/>
      <c r="F14" s="45">
        <f>IFERROR(__xludf.DUMMYFUNCTION("IFERROR(
$E14/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prs!$A$6:$D$12,
4,
FALSE
)
,"""")"),"")</f>
        <v/>
      </c>
      <c r="G14" s="45" t="n"/>
      <c r="H14" s="24" t="n"/>
      <c r="I14" s="50" t="n"/>
      <c r="J14" s="50" t="n"/>
      <c r="K14" s="51" t="n"/>
      <c r="L14" s="45">
        <f>IFERROR(__xludf.DUMMYFUNCTION("IFERROR(
$K14/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prs!$A$6:$D$12,
4,
FALSE
)
,"""")"),"")</f>
        <v/>
      </c>
      <c r="M14" s="45" t="n"/>
      <c r="N14" s="39" t="n"/>
      <c r="O14" s="50" t="n"/>
      <c r="P14" s="50" t="n"/>
      <c r="Q14" s="51" t="n"/>
      <c r="R14" s="45">
        <f>IFERROR(__xludf.DUMMYFUNCTION("IFERROR(
$Q14/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prs!$A$6:$D$12,
4,
FALSE
)
,"""")"),"")</f>
        <v/>
      </c>
      <c r="S14" s="45" t="n"/>
      <c r="T14" s="39" t="n"/>
      <c r="U14" s="50" t="n"/>
      <c r="V14" s="50" t="n"/>
      <c r="W14" s="51" t="n"/>
      <c r="X14" s="45">
        <f>IFERROR(__xludf.DUMMYFUNCTION("IFERROR(
$W14/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prs!$A$6:$D$12,
4,
FALSE
)
,"""")"),"")</f>
        <v/>
      </c>
      <c r="Y14" s="45" t="n"/>
      <c r="Z14" s="39" t="n"/>
    </row>
    <row r="15" ht="15.75" customHeight="1" s="98">
      <c r="A15" s="39" t="n"/>
      <c r="B15" s="40" t="n"/>
      <c r="C15" s="50" t="n"/>
      <c r="D15" s="50" t="n"/>
      <c r="E15" s="51" t="n"/>
      <c r="F15" s="45">
        <f>IFERROR(__xludf.DUMMYFUNCTION("IFERROR(
$E15/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prs!$A$6:$D$12,
4,
FALSE
)
,"""")"),"")</f>
        <v/>
      </c>
      <c r="G15" s="45" t="n"/>
      <c r="H15" s="24" t="n"/>
      <c r="I15" s="50" t="n"/>
      <c r="J15" s="50" t="n"/>
      <c r="K15" s="51" t="n"/>
      <c r="L15" s="45">
        <f>IFERROR(__xludf.DUMMYFUNCTION("IFERROR(
$K15/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prs!$A$6:$D$12,
4,
FALSE
)
,"""")"),"")</f>
        <v/>
      </c>
      <c r="M15" s="45" t="n"/>
      <c r="N15" s="39" t="n"/>
      <c r="O15" s="50" t="n"/>
      <c r="P15" s="50" t="n"/>
      <c r="Q15" s="51" t="n"/>
      <c r="R15" s="45">
        <f>IFERROR(__xludf.DUMMYFUNCTION("IFERROR(
$Q15/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prs!$A$6:$D$12,
4,
FALSE
)
,"""")"),"")</f>
        <v/>
      </c>
      <c r="S15" s="45" t="n"/>
      <c r="T15" s="39" t="n"/>
      <c r="U15" s="50" t="n"/>
      <c r="V15" s="50" t="n"/>
      <c r="W15" s="51" t="n"/>
      <c r="X15" s="45">
        <f>IFERROR(__xludf.DUMMYFUNCTION("IFERROR(
$W15/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prs!$A$6:$D$12,
4,
FALSE
)
,"""")"),"")</f>
        <v/>
      </c>
      <c r="Y15" s="45" t="n"/>
      <c r="Z15" s="39" t="n"/>
    </row>
    <row r="16" ht="15.75" customHeight="1" s="98">
      <c r="A16" s="31" t="n"/>
      <c r="B16" s="52" t="n"/>
      <c r="C16" s="32" t="inlineStr">
        <is>
          <t>SEMANA 01</t>
        </is>
      </c>
      <c r="H16" s="24" t="n"/>
      <c r="I16" s="32" t="inlineStr">
        <is>
          <t>SEMANA 02</t>
        </is>
      </c>
      <c r="N16" s="24" t="n"/>
      <c r="O16" s="32" t="inlineStr">
        <is>
          <t>SEMANA 03</t>
        </is>
      </c>
      <c r="T16" s="24" t="n"/>
      <c r="U16" s="32" t="inlineStr">
        <is>
          <t>SEMANA 04</t>
        </is>
      </c>
      <c r="Z16" s="24" t="n"/>
    </row>
    <row r="17" ht="15.75" customHeight="1" s="98">
      <c r="A17" s="47" t="n"/>
      <c r="B17" s="47" t="n"/>
      <c r="C17" s="47" t="n"/>
      <c r="D17" s="47" t="n"/>
      <c r="H17" s="47" t="n"/>
      <c r="I17" s="47" t="n"/>
      <c r="J17" s="47" t="n"/>
      <c r="N17" s="47" t="n"/>
      <c r="O17" s="47" t="n"/>
      <c r="P17" s="47" t="n"/>
      <c r="T17" s="47" t="n"/>
      <c r="U17" s="47" t="n"/>
      <c r="V17" s="47" t="n"/>
      <c r="Z17" s="47" t="n"/>
    </row>
    <row r="18" ht="15.75" customHeight="1" s="98">
      <c r="A18" s="31" t="inlineStr">
        <is>
          <t>TREINO 02</t>
        </is>
      </c>
      <c r="B18" s="13" t="n"/>
      <c r="C18" s="22" t="n"/>
      <c r="H18" s="24" t="n"/>
      <c r="I18" s="4" t="n"/>
      <c r="N18" s="24" t="n"/>
      <c r="O18" s="22" t="n"/>
      <c r="T18" s="24" t="n"/>
      <c r="U18" s="22" t="n"/>
      <c r="Z18" s="47" t="n"/>
    </row>
    <row r="19" ht="15.75" customHeight="1" s="98">
      <c r="A19" s="31" t="n"/>
      <c r="B19" s="52" t="n"/>
      <c r="C19" s="5" t="inlineStr">
        <is>
          <t>SETS</t>
        </is>
      </c>
      <c r="D19" s="5" t="inlineStr">
        <is>
          <t>REPS</t>
        </is>
      </c>
      <c r="E19" s="5" t="inlineStr">
        <is>
          <t>KG</t>
        </is>
      </c>
      <c r="F19" s="5" t="inlineStr">
        <is>
          <t>%1RM</t>
        </is>
      </c>
      <c r="G19" s="5" t="inlineStr">
        <is>
          <t>OBS</t>
        </is>
      </c>
      <c r="H19" s="24" t="n"/>
      <c r="I19" s="5" t="inlineStr">
        <is>
          <t>SETS</t>
        </is>
      </c>
      <c r="J19" s="5" t="inlineStr">
        <is>
          <t>REPS</t>
        </is>
      </c>
      <c r="K19" s="5" t="inlineStr">
        <is>
          <t>KG</t>
        </is>
      </c>
      <c r="L19" s="5" t="inlineStr">
        <is>
          <t>%1RM</t>
        </is>
      </c>
      <c r="M19" s="5" t="inlineStr">
        <is>
          <t>OBS</t>
        </is>
      </c>
      <c r="N19" s="24" t="n"/>
      <c r="O19" s="5" t="inlineStr">
        <is>
          <t>SETS</t>
        </is>
      </c>
      <c r="P19" s="5" t="inlineStr">
        <is>
          <t>REPS</t>
        </is>
      </c>
      <c r="Q19" s="5" t="inlineStr">
        <is>
          <t>KG</t>
        </is>
      </c>
      <c r="R19" s="5" t="inlineStr">
        <is>
          <t>%1RM</t>
        </is>
      </c>
      <c r="S19" s="5" t="inlineStr">
        <is>
          <t>OBS</t>
        </is>
      </c>
      <c r="T19" s="24" t="n"/>
      <c r="U19" s="5" t="inlineStr">
        <is>
          <t>SETS</t>
        </is>
      </c>
      <c r="V19" s="5" t="inlineStr">
        <is>
          <t>REPS</t>
        </is>
      </c>
      <c r="W19" s="5" t="inlineStr">
        <is>
          <t>KG</t>
        </is>
      </c>
      <c r="X19" s="5" t="inlineStr">
        <is>
          <t>%1RM</t>
        </is>
      </c>
      <c r="Y19" s="5" t="inlineStr">
        <is>
          <t>OBS</t>
        </is>
      </c>
      <c r="Z19" s="47" t="n"/>
    </row>
    <row r="20" ht="15.75" customHeight="1" s="98">
      <c r="A20" s="2" t="n"/>
      <c r="B20" s="2" t="inlineStr">
        <is>
          <t>exercícios</t>
        </is>
      </c>
      <c r="C20" s="38" t="n"/>
      <c r="D20" s="5" t="n"/>
      <c r="E20" s="5" t="n"/>
      <c r="F20" s="5" t="inlineStr">
        <is>
          <t>pse</t>
        </is>
      </c>
      <c r="G20" s="5" t="n"/>
      <c r="H20" s="24" t="n"/>
      <c r="I20" s="38" t="n"/>
      <c r="J20" s="5" t="n"/>
      <c r="K20" s="5" t="n"/>
      <c r="L20" s="5" t="inlineStr">
        <is>
          <t>pse</t>
        </is>
      </c>
      <c r="M20" s="5" t="n"/>
      <c r="N20" s="24" t="n"/>
      <c r="O20" s="38" t="n"/>
      <c r="P20" s="5" t="n"/>
      <c r="Q20" s="5" t="n"/>
      <c r="R20" s="5" t="inlineStr">
        <is>
          <t>pse</t>
        </is>
      </c>
      <c r="S20" s="5" t="n"/>
      <c r="T20" s="24" t="n"/>
      <c r="U20" s="38" t="n"/>
      <c r="V20" s="5" t="n"/>
      <c r="W20" s="5" t="n"/>
      <c r="X20" s="5" t="inlineStr">
        <is>
          <t>pse</t>
        </is>
      </c>
      <c r="Y20" s="5" t="n"/>
      <c r="Z20" s="47" t="n"/>
    </row>
    <row r="21" ht="15.75" customHeight="1" s="98">
      <c r="A21" s="49" t="n"/>
      <c r="B21" s="40" t="inlineStr">
        <is>
          <t>Arranco</t>
        </is>
      </c>
      <c r="C21" s="41" t="n">
        <v>5</v>
      </c>
      <c r="D21" s="41" t="n">
        <v>3</v>
      </c>
      <c r="E21" s="42" t="n">
        <v>35</v>
      </c>
      <c r="F21" s="45" t="n">
        <v>0.6611</v>
      </c>
      <c r="G21" s="45" t="inlineStr">
        <is>
          <t>gravar</t>
        </is>
      </c>
      <c r="H21" s="47" t="n"/>
      <c r="I21" s="41" t="n"/>
      <c r="J21" s="41" t="n"/>
      <c r="K21" s="42" t="n"/>
      <c r="L21" s="45">
        <f>IFERROR(__xludf.DUMMYFUNCTION("IFERROR(
$K21/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prs!$A$6:$D$12,
4,
FALSE
)
,"""")"),"")</f>
        <v/>
      </c>
      <c r="M21" s="45" t="n"/>
      <c r="N21" s="49" t="n"/>
      <c r="O21" s="41" t="n"/>
      <c r="P21" s="41" t="n"/>
      <c r="Q21" s="42" t="n"/>
      <c r="R21" s="45">
        <f>IFERROR(__xludf.DUMMYFUNCTION("IFERROR(
$Q21/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prs!$A$6:$D$12,
4,
FALSE
)
,"""")"),"")</f>
        <v/>
      </c>
      <c r="S21" s="45" t="n"/>
      <c r="T21" s="49" t="n"/>
      <c r="U21" s="41" t="n"/>
      <c r="V21" s="41" t="n"/>
      <c r="W21" s="42" t="n"/>
      <c r="X21" s="45">
        <f>IFERROR(__xludf.DUMMYFUNCTION("IFERROR(
$W21/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prs!$A$6:$D$12,
4,
FALSE
)
,"""")"),"")</f>
        <v/>
      </c>
      <c r="Y21" s="45" t="n"/>
      <c r="Z21" s="49" t="n"/>
    </row>
    <row r="22" ht="15.75" customHeight="1" s="98">
      <c r="A22" s="49" t="n"/>
      <c r="B22" s="53" t="inlineStr">
        <is>
          <t>Levantamento terra</t>
        </is>
      </c>
      <c r="C22" s="41" t="n">
        <v>4</v>
      </c>
      <c r="D22" s="41" t="n">
        <v>4</v>
      </c>
      <c r="E22" s="42" t="n">
        <v>100</v>
      </c>
      <c r="F22" s="45" t="n">
        <v>0.7265</v>
      </c>
      <c r="G22" s="45" t="n"/>
      <c r="H22" s="47" t="n"/>
      <c r="I22" s="41" t="n"/>
      <c r="J22" s="41" t="n"/>
      <c r="K22" s="42" t="n"/>
      <c r="L22" s="45">
        <f>IFERROR(__xludf.DUMMYFUNCTION("IFERROR(
$K22/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prs!$A$6:$D$12,
4,
FALSE
)
,"""")"),"")</f>
        <v/>
      </c>
      <c r="M22" s="45" t="n"/>
      <c r="N22" s="49" t="n"/>
      <c r="O22" s="41" t="n"/>
      <c r="P22" s="41" t="n"/>
      <c r="Q22" s="42" t="n"/>
      <c r="R22" s="45">
        <f>IFERROR(__xludf.DUMMYFUNCTION("IFERROR(
$Q22/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prs!$A$6:$D$12,
4,
FALSE
)
,"""")"),"")</f>
        <v/>
      </c>
      <c r="S22" s="45" t="n"/>
      <c r="T22" s="49" t="n"/>
      <c r="U22" s="41" t="n"/>
      <c r="V22" s="41" t="n"/>
      <c r="W22" s="42" t="n"/>
      <c r="X22" s="45">
        <f>IFERROR(__xludf.DUMMYFUNCTION("IFERROR(
$W22/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prs!$A$6:$D$12,
4,
FALSE
)
,"""")"),"")</f>
        <v/>
      </c>
      <c r="Y22" s="45" t="n"/>
      <c r="Z22" s="49" t="n"/>
    </row>
    <row r="23" ht="15.75" customHeight="1" s="98">
      <c r="A23" s="49" t="n"/>
      <c r="B23" s="53" t="inlineStr">
        <is>
          <t>Desenvolvimento com halteres</t>
        </is>
      </c>
      <c r="C23" s="41" t="n">
        <v>3</v>
      </c>
      <c r="D23" s="41" t="inlineStr">
        <is>
          <t>8 - 12</t>
        </is>
      </c>
      <c r="E23" s="42" t="n">
        <v>14</v>
      </c>
      <c r="F23" s="45" t="n"/>
      <c r="G23" s="45" t="n"/>
      <c r="H23" s="47" t="n"/>
      <c r="I23" s="41" t="n"/>
      <c r="J23" s="41" t="n"/>
      <c r="K23" s="42" t="n"/>
      <c r="L23" s="45">
        <f>IFERROR(__xludf.DUMMYFUNCTION("IFERROR(
$K23/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prs!$A$6:$D$12,
4,
FALSE
)
,"""")"),"")</f>
        <v/>
      </c>
      <c r="M23" s="45" t="n"/>
      <c r="N23" s="49" t="n"/>
      <c r="O23" s="41" t="n"/>
      <c r="P23" s="41" t="n"/>
      <c r="Q23" s="42" t="n"/>
      <c r="R23" s="45">
        <f>IFERROR(__xludf.DUMMYFUNCTION("IFERROR(
$Q23/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prs!$A$6:$D$12,
4,
FALSE
)
,"""")"),"")</f>
        <v/>
      </c>
      <c r="S23" s="45" t="n"/>
      <c r="T23" s="49" t="n"/>
      <c r="U23" s="41" t="n"/>
      <c r="V23" s="41" t="n"/>
      <c r="W23" s="42" t="n"/>
      <c r="X23" s="45">
        <f>IFERROR(__xludf.DUMMYFUNCTION("IFERROR(
$W23/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prs!$A$6:$D$12,
4,
FALSE
)
,"""")"),"")</f>
        <v/>
      </c>
      <c r="Y23" s="45" t="n"/>
      <c r="Z23" s="49" t="n"/>
    </row>
    <row r="24" ht="15.75" customHeight="1" s="98">
      <c r="A24" s="49" t="n"/>
      <c r="B24" s="53" t="inlineStr">
        <is>
          <t>Afundo</t>
        </is>
      </c>
      <c r="C24" s="50" t="n">
        <v>3</v>
      </c>
      <c r="D24" s="50" t="n">
        <v>10</v>
      </c>
      <c r="E24" s="51" t="n">
        <v>20</v>
      </c>
      <c r="F24" s="45" t="n"/>
      <c r="G24" s="45" t="n"/>
      <c r="H24" s="47" t="n"/>
      <c r="I24" s="50" t="n"/>
      <c r="J24" s="50" t="n"/>
      <c r="K24" s="51" t="n"/>
      <c r="L24" s="45">
        <f>IFERROR(__xludf.DUMMYFUNCTION("IFERROR(
$K24/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prs!$A$6:$D$12,
4,
FALSE
)
,"""")"),"")</f>
        <v/>
      </c>
      <c r="M24" s="45" t="n"/>
      <c r="N24" s="49" t="n"/>
      <c r="O24" s="50" t="n"/>
      <c r="P24" s="50" t="n"/>
      <c r="Q24" s="51" t="n"/>
      <c r="R24" s="45">
        <f>IFERROR(__xludf.DUMMYFUNCTION("IFERROR(
$Q24/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prs!$A$6:$D$12,
4,
FALSE
)
,"""")"),"")</f>
        <v/>
      </c>
      <c r="S24" s="45" t="n"/>
      <c r="T24" s="49" t="n"/>
      <c r="U24" s="50" t="n"/>
      <c r="V24" s="50" t="n"/>
      <c r="W24" s="51" t="n"/>
      <c r="X24" s="45">
        <f>IFERROR(__xludf.DUMMYFUNCTION("IFERROR(
$W24/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prs!$A$6:$D$12,
4,
FALSE
)
,"""")"),"")</f>
        <v/>
      </c>
      <c r="Y24" s="45" t="n"/>
      <c r="Z24" s="49" t="n"/>
    </row>
    <row r="25" ht="15.75" customHeight="1" s="98">
      <c r="A25" s="49" t="n"/>
      <c r="B25" s="53" t="n"/>
      <c r="C25" s="50" t="n"/>
      <c r="D25" s="50" t="n"/>
      <c r="E25" s="51" t="n"/>
      <c r="F25" s="45">
        <f>IFERROR(__xludf.DUMMYFUNCTION("IFERROR(
$E25/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prs!$A$6:$D$12,
4,
FALSE
)
,"""")"),"")</f>
        <v/>
      </c>
      <c r="G25" s="45" t="n"/>
      <c r="H25" s="47" t="n"/>
      <c r="I25" s="50" t="n"/>
      <c r="J25" s="50" t="n"/>
      <c r="K25" s="51" t="n"/>
      <c r="L25" s="45">
        <f>IFERROR(__xludf.DUMMYFUNCTION("IFERROR(
$K25/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prs!$A$6:$D$12,
4,
FALSE
)
,"""")"),"")</f>
        <v/>
      </c>
      <c r="M25" s="45" t="n"/>
      <c r="N25" s="49" t="n"/>
      <c r="O25" s="50" t="n"/>
      <c r="P25" s="50" t="n"/>
      <c r="Q25" s="51" t="n"/>
      <c r="R25" s="45">
        <f>IFERROR(__xludf.DUMMYFUNCTION("IFERROR(
$Q25/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prs!$A$6:$D$12,
4,
FALSE
)
,"""")"),"")</f>
        <v/>
      </c>
      <c r="S25" s="45" t="n"/>
      <c r="T25" s="49" t="n"/>
      <c r="U25" s="50" t="n"/>
      <c r="V25" s="50" t="n"/>
      <c r="W25" s="51" t="n"/>
      <c r="X25" s="45">
        <f>IFERROR(__xludf.DUMMYFUNCTION("IFERROR(
$W25/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prs!$A$6:$D$12,
4,
FALSE
)
,"""")"),"")</f>
        <v/>
      </c>
      <c r="Y25" s="45" t="n"/>
      <c r="Z25" s="49" t="n"/>
    </row>
    <row r="26" ht="15.75" customHeight="1" s="98">
      <c r="A26" s="49" t="n"/>
      <c r="B26" s="53" t="n"/>
      <c r="C26" s="50" t="n"/>
      <c r="D26" s="50" t="n"/>
      <c r="E26" s="51" t="n"/>
      <c r="F26" s="45">
        <f>IFERROR(__xludf.DUMMYFUNCTION("IFERROR(
$E26/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prs!$A$6:$D$12,
4,
FALSE
)
,"""")"),"")</f>
        <v/>
      </c>
      <c r="G26" s="45" t="n"/>
      <c r="H26" s="47" t="n"/>
      <c r="I26" s="50" t="n"/>
      <c r="J26" s="50" t="n"/>
      <c r="K26" s="51" t="n"/>
      <c r="L26" s="45">
        <f>IFERROR(__xludf.DUMMYFUNCTION("IFERROR(
$K26/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prs!$A$6:$D$12,
4,
FALSE
)
,"""")"),"")</f>
        <v/>
      </c>
      <c r="M26" s="45" t="n"/>
      <c r="N26" s="49" t="n"/>
      <c r="O26" s="50" t="n"/>
      <c r="P26" s="50" t="n"/>
      <c r="Q26" s="51" t="n"/>
      <c r="R26" s="45">
        <f>IFERROR(__xludf.DUMMYFUNCTION("IFERROR(
$Q26/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prs!$A$6:$D$12,
4,
FALSE
)
,"""")"),"")</f>
        <v/>
      </c>
      <c r="S26" s="45" t="n"/>
      <c r="T26" s="49" t="n"/>
      <c r="U26" s="50" t="n"/>
      <c r="V26" s="50" t="n"/>
      <c r="W26" s="51" t="n"/>
      <c r="X26" s="45">
        <f>IFERROR(__xludf.DUMMYFUNCTION("IFERROR(
$W26/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prs!$A$6:$D$12,
4,
FALSE
)
,"""")"),"")</f>
        <v/>
      </c>
      <c r="Y26" s="45" t="n"/>
      <c r="Z26" s="49" t="n"/>
    </row>
    <row r="27" ht="15.75" customHeight="1" s="98">
      <c r="A27" s="49" t="n"/>
      <c r="B27" s="53" t="n"/>
      <c r="C27" s="50" t="n"/>
      <c r="D27" s="50" t="n"/>
      <c r="E27" s="51" t="n"/>
      <c r="F27" s="45">
        <f>IFERROR(__xludf.DUMMYFUNCTION("IFERROR(
$E27/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prs!$A$6:$D$12,
4,
FALSE
)
,"""")"),"")</f>
        <v/>
      </c>
      <c r="G27" s="45" t="n"/>
      <c r="H27" s="47" t="n"/>
      <c r="I27" s="50" t="n"/>
      <c r="J27" s="50" t="n"/>
      <c r="K27" s="51" t="n"/>
      <c r="L27" s="45">
        <f>IFERROR(__xludf.DUMMYFUNCTION("IFERROR(
$K27/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prs!$A$6:$D$12,
4,
FALSE
)
,"""")"),"")</f>
        <v/>
      </c>
      <c r="M27" s="45" t="n"/>
      <c r="N27" s="49" t="n"/>
      <c r="O27" s="50" t="n"/>
      <c r="P27" s="50" t="n"/>
      <c r="Q27" s="51" t="n"/>
      <c r="R27" s="45">
        <f>IFERROR(__xludf.DUMMYFUNCTION("IFERROR(
$Q27/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prs!$A$6:$D$12,
4,
FALSE
)
,"""")"),"")</f>
        <v/>
      </c>
      <c r="S27" s="45" t="n"/>
      <c r="T27" s="49" t="n"/>
      <c r="U27" s="50" t="n"/>
      <c r="V27" s="50" t="n"/>
      <c r="W27" s="51" t="n"/>
      <c r="X27" s="45">
        <f>IFERROR(__xludf.DUMMYFUNCTION("IFERROR(
$W27/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prs!$A$6:$D$12,
4,
FALSE
)
,"""")"),"")</f>
        <v/>
      </c>
      <c r="Y27" s="45" t="n"/>
      <c r="Z27" s="49" t="n"/>
    </row>
    <row r="28" ht="15.75" customHeight="1" s="98">
      <c r="A28" s="49" t="n"/>
      <c r="B28" s="53" t="n"/>
      <c r="C28" s="50" t="n"/>
      <c r="D28" s="50" t="n"/>
      <c r="E28" s="51" t="n"/>
      <c r="F28" s="45">
        <f>IFERROR(__xludf.DUMMYFUNCTION("IFERROR(
$E28/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prs!$A$6:$D$12,
4,
FALSE
)
,"""")"),"")</f>
        <v/>
      </c>
      <c r="G28" s="45" t="n"/>
      <c r="H28" s="47" t="n"/>
      <c r="I28" s="50" t="n"/>
      <c r="J28" s="50" t="n"/>
      <c r="K28" s="51" t="n"/>
      <c r="L28" s="45">
        <f>IFERROR(__xludf.DUMMYFUNCTION("IFERROR(
$K28/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prs!$A$6:$D$12,
4,
FALSE
)
,"""")"),"")</f>
        <v/>
      </c>
      <c r="M28" s="45" t="n"/>
      <c r="N28" s="49" t="n"/>
      <c r="O28" s="50" t="n"/>
      <c r="P28" s="50" t="n"/>
      <c r="Q28" s="51" t="n"/>
      <c r="R28" s="45">
        <f>IFERROR(__xludf.DUMMYFUNCTION("IFERROR(
$Q28/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prs!$A$6:$D$12,
4,
FALSE
)
,"""")"),"")</f>
        <v/>
      </c>
      <c r="S28" s="45" t="n"/>
      <c r="T28" s="49" t="n"/>
      <c r="U28" s="50" t="n"/>
      <c r="V28" s="50" t="n"/>
      <c r="W28" s="51" t="n"/>
      <c r="X28" s="45">
        <f>IFERROR(__xludf.DUMMYFUNCTION("IFERROR(
$W28/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prs!$A$6:$D$12,
4,
FALSE
)
,"""")"),"")</f>
        <v/>
      </c>
      <c r="Y28" s="45" t="n"/>
      <c r="Z28" s="49" t="n"/>
    </row>
    <row r="29" ht="15.75" customHeight="1" s="98">
      <c r="A29" s="49" t="n"/>
      <c r="B29" s="53" t="n"/>
      <c r="C29" s="50" t="n"/>
      <c r="D29" s="50" t="n"/>
      <c r="E29" s="51" t="n"/>
      <c r="F29" s="45">
        <f>IFERROR(__xludf.DUMMYFUNCTION("IFERROR(
$E29/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prs!$A$6:$D$12,
4,
FALSE
)
,"""")"),"")</f>
        <v/>
      </c>
      <c r="G29" s="45" t="n"/>
      <c r="H29" s="47" t="n"/>
      <c r="I29" s="50" t="n"/>
      <c r="J29" s="50" t="n"/>
      <c r="K29" s="51" t="n"/>
      <c r="L29" s="45">
        <f>IFERROR(__xludf.DUMMYFUNCTION("IFERROR(
$K29/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prs!$A$6:$D$12,
4,
FALSE
)
,"""")"),"")</f>
        <v/>
      </c>
      <c r="M29" s="45" t="n"/>
      <c r="N29" s="49" t="n"/>
      <c r="O29" s="50" t="n"/>
      <c r="P29" s="50" t="n"/>
      <c r="Q29" s="51" t="n"/>
      <c r="R29" s="45">
        <f>IFERROR(__xludf.DUMMYFUNCTION("IFERROR(
$Q29/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prs!$A$6:$D$12,
4,
FALSE
)
,"""")"),"")</f>
        <v/>
      </c>
      <c r="S29" s="45" t="n"/>
      <c r="T29" s="49" t="n"/>
      <c r="U29" s="50" t="n"/>
      <c r="V29" s="50" t="n"/>
      <c r="W29" s="51" t="n"/>
      <c r="X29" s="45">
        <f>IFERROR(__xludf.DUMMYFUNCTION("IFERROR(
$W29/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prs!$A$6:$D$12,
4,
FALSE
)
,"""")"),"")</f>
        <v/>
      </c>
      <c r="Y29" s="45" t="n"/>
      <c r="Z29" s="49" t="n"/>
    </row>
    <row r="30" ht="15.75" customHeight="1" s="98">
      <c r="A30" s="49" t="n"/>
      <c r="B30" s="53" t="n"/>
      <c r="C30" s="50" t="n"/>
      <c r="D30" s="50" t="n"/>
      <c r="E30" s="51" t="n"/>
      <c r="F30" s="45">
        <f>IFERROR(__xludf.DUMMYFUNCTION("IFERROR(
$E30/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prs!$A$6:$D$12,
4,
FALSE
)
,"""")"),"")</f>
        <v/>
      </c>
      <c r="G30" s="45" t="n"/>
      <c r="H30" s="47" t="n"/>
      <c r="I30" s="50" t="n"/>
      <c r="J30" s="50" t="n"/>
      <c r="K30" s="51" t="n"/>
      <c r="L30" s="45">
        <f>IFERROR(__xludf.DUMMYFUNCTION("IFERROR(
$K30/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prs!$A$6:$D$12,
4,
FALSE
)
,"""")"),"")</f>
        <v/>
      </c>
      <c r="M30" s="45" t="n"/>
      <c r="N30" s="49" t="n"/>
      <c r="O30" s="50" t="n"/>
      <c r="P30" s="50" t="n"/>
      <c r="Q30" s="51" t="n"/>
      <c r="R30" s="45">
        <f>IFERROR(__xludf.DUMMYFUNCTION("IFERROR(
$Q30/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prs!$A$6:$D$12,
4,
FALSE
)
,"""")"),"")</f>
        <v/>
      </c>
      <c r="S30" s="45" t="n"/>
      <c r="T30" s="49" t="n"/>
      <c r="U30" s="50" t="n"/>
      <c r="V30" s="50" t="n"/>
      <c r="W30" s="51" t="n"/>
      <c r="X30" s="45">
        <f>IFERROR(__xludf.DUMMYFUNCTION("IFERROR(
$W30/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prs!$A$6:$D$12,
4,
FALSE
)
,"""")"),"")</f>
        <v/>
      </c>
      <c r="Y30" s="45" t="n"/>
      <c r="Z30" s="49" t="n"/>
    </row>
    <row r="31" ht="15.75" customHeight="1" s="98">
      <c r="A31" s="52" t="n"/>
      <c r="B31" s="52" t="n"/>
      <c r="C31" s="32" t="inlineStr">
        <is>
          <t>SEMANA 01</t>
        </is>
      </c>
      <c r="H31" s="24" t="n"/>
      <c r="I31" s="32" t="inlineStr">
        <is>
          <t>SEMANA 02</t>
        </is>
      </c>
      <c r="N31" s="24" t="n"/>
      <c r="O31" s="32" t="inlineStr">
        <is>
          <t>SEMANA 03</t>
        </is>
      </c>
      <c r="T31" s="24" t="n"/>
      <c r="U31" s="32" t="inlineStr">
        <is>
          <t>SEMANA 04</t>
        </is>
      </c>
      <c r="Z31" s="47" t="n"/>
    </row>
    <row r="32" ht="15.75" customHeight="1" s="98">
      <c r="A32" s="10" t="n"/>
      <c r="B32" s="54" t="n"/>
      <c r="C32" s="10" t="n"/>
      <c r="D32" s="10" t="n"/>
      <c r="H32" s="10" t="n"/>
      <c r="I32" s="10" t="n"/>
      <c r="J32" s="10" t="n"/>
      <c r="N32" s="10" t="n"/>
      <c r="O32" s="10" t="n"/>
      <c r="P32" s="10" t="n"/>
      <c r="T32" s="10" t="n"/>
      <c r="U32" s="10" t="n"/>
      <c r="V32" s="10" t="n"/>
      <c r="Z32" s="10" t="n"/>
    </row>
    <row r="33" ht="15.75" customHeight="1" s="98">
      <c r="A33" s="2" t="inlineStr">
        <is>
          <t>TREINO 03</t>
        </is>
      </c>
      <c r="B33" s="13" t="n"/>
      <c r="C33" s="32" t="n"/>
      <c r="H33" s="24" t="n"/>
      <c r="I33" s="32" t="n"/>
      <c r="N33" s="24" t="n"/>
      <c r="O33" s="32" t="n"/>
      <c r="T33" s="24" t="n"/>
      <c r="U33" s="32" t="n"/>
      <c r="Z33" s="10" t="n"/>
    </row>
    <row r="34" ht="15.75" customHeight="1" s="98">
      <c r="A34" s="2" t="n"/>
      <c r="B34" s="2" t="n"/>
      <c r="C34" s="5" t="inlineStr">
        <is>
          <t>SETS</t>
        </is>
      </c>
      <c r="D34" s="5" t="inlineStr">
        <is>
          <t>REPS</t>
        </is>
      </c>
      <c r="E34" s="5" t="inlineStr">
        <is>
          <t>KG</t>
        </is>
      </c>
      <c r="F34" s="5" t="inlineStr">
        <is>
          <t>%1RM</t>
        </is>
      </c>
      <c r="G34" s="5" t="inlineStr">
        <is>
          <t>OBS</t>
        </is>
      </c>
      <c r="H34" s="24" t="n"/>
      <c r="I34" s="5" t="inlineStr">
        <is>
          <t>SETS</t>
        </is>
      </c>
      <c r="J34" s="5" t="inlineStr">
        <is>
          <t>REPS</t>
        </is>
      </c>
      <c r="K34" s="5" t="inlineStr">
        <is>
          <t>KG</t>
        </is>
      </c>
      <c r="L34" s="5" t="inlineStr">
        <is>
          <t>%1RM</t>
        </is>
      </c>
      <c r="M34" s="5" t="inlineStr">
        <is>
          <t>OBS</t>
        </is>
      </c>
      <c r="N34" s="24" t="n"/>
      <c r="O34" s="5" t="inlineStr">
        <is>
          <t>SETS</t>
        </is>
      </c>
      <c r="P34" s="5" t="inlineStr">
        <is>
          <t>REPS</t>
        </is>
      </c>
      <c r="Q34" s="5" t="inlineStr">
        <is>
          <t>KG</t>
        </is>
      </c>
      <c r="R34" s="5" t="inlineStr">
        <is>
          <t>%1RM</t>
        </is>
      </c>
      <c r="S34" s="5" t="inlineStr">
        <is>
          <t>OBS</t>
        </is>
      </c>
      <c r="T34" s="24" t="n"/>
      <c r="U34" s="5" t="inlineStr">
        <is>
          <t>SETS</t>
        </is>
      </c>
      <c r="V34" s="5" t="inlineStr">
        <is>
          <t>REPS</t>
        </is>
      </c>
      <c r="W34" s="5" t="inlineStr">
        <is>
          <t>KG</t>
        </is>
      </c>
      <c r="X34" s="5" t="inlineStr">
        <is>
          <t>%1RM</t>
        </is>
      </c>
      <c r="Y34" s="5" t="inlineStr">
        <is>
          <t>OBS</t>
        </is>
      </c>
      <c r="Z34" s="24" t="n"/>
    </row>
    <row r="35" ht="15.75" customHeight="1" s="98">
      <c r="A35" s="2" t="n"/>
      <c r="B35" s="2" t="inlineStr">
        <is>
          <t>exercícios</t>
        </is>
      </c>
      <c r="C35" s="38" t="n"/>
      <c r="D35" s="5" t="n"/>
      <c r="E35" s="5" t="n"/>
      <c r="F35" s="5" t="inlineStr">
        <is>
          <t>pse</t>
        </is>
      </c>
      <c r="G35" s="5" t="n"/>
      <c r="H35" s="24" t="n"/>
      <c r="I35" s="38" t="n"/>
      <c r="J35" s="5" t="n"/>
      <c r="K35" s="5" t="n"/>
      <c r="L35" s="5" t="inlineStr">
        <is>
          <t>pse</t>
        </is>
      </c>
      <c r="M35" s="5" t="n"/>
      <c r="N35" s="24" t="n"/>
      <c r="O35" s="38" t="n"/>
      <c r="P35" s="5" t="n"/>
      <c r="Q35" s="5" t="n"/>
      <c r="R35" s="5" t="inlineStr">
        <is>
          <t>pse</t>
        </is>
      </c>
      <c r="S35" s="5" t="n"/>
      <c r="T35" s="24" t="n"/>
      <c r="U35" s="38" t="n"/>
      <c r="V35" s="5" t="n"/>
      <c r="W35" s="5" t="n"/>
      <c r="X35" s="5" t="inlineStr">
        <is>
          <t>pse</t>
        </is>
      </c>
      <c r="Y35" s="5" t="n"/>
      <c r="Z35" s="24" t="n"/>
    </row>
    <row r="36" ht="15.75" customHeight="1" s="98">
      <c r="A36" s="39" t="n"/>
      <c r="B36" s="40" t="inlineStr">
        <is>
          <t>Agachamento frontal</t>
        </is>
      </c>
      <c r="C36" s="41" t="n">
        <v>4</v>
      </c>
      <c r="D36" s="41" t="n">
        <v>5</v>
      </c>
      <c r="E36" s="42" t="n">
        <v>60</v>
      </c>
      <c r="F36" s="45" t="n">
        <v>0.5333</v>
      </c>
      <c r="G36" s="45" t="n"/>
      <c r="H36" s="24" t="n"/>
      <c r="I36" s="41" t="n"/>
      <c r="J36" s="41" t="n"/>
      <c r="K36" s="42" t="n"/>
      <c r="L36" s="45">
        <f>IFERROR(__xludf.DUMMYFUNCTION("IFERROR(
$K36/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prs!$A$6:$D$12,
4,
FALSE
)
,"""")"),"")</f>
        <v/>
      </c>
      <c r="M36" s="45" t="n"/>
      <c r="N36" s="39" t="n"/>
      <c r="O36" s="41" t="n"/>
      <c r="P36" s="41" t="n"/>
      <c r="Q36" s="42" t="n"/>
      <c r="R36" s="45">
        <f>IFERROR(__xludf.DUMMYFUNCTION("IFERROR(
$Q36/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prs!$A$6:$D$12,
4,
FALSE
)
,"""")"),"")</f>
        <v/>
      </c>
      <c r="S36" s="45" t="n"/>
      <c r="T36" s="39" t="n"/>
      <c r="U36" s="41" t="n"/>
      <c r="V36" s="41" t="n"/>
      <c r="W36" s="42" t="n"/>
      <c r="X36" s="45">
        <f>IFERROR(__xludf.DUMMYFUNCTION("IFERROR(
$W36/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prs!$A$6:$D$12,
4,
FALSE
)
,"""")"),"")</f>
        <v/>
      </c>
      <c r="Y36" s="45" t="n"/>
      <c r="Z36" s="39" t="n"/>
    </row>
    <row r="37" ht="15.75" customHeight="1" s="98">
      <c r="A37" s="39" t="n"/>
      <c r="B37" s="40" t="inlineStr">
        <is>
          <t>Supino inclinado</t>
        </is>
      </c>
      <c r="C37" s="41" t="n">
        <v>3</v>
      </c>
      <c r="D37" s="41" t="n">
        <v>8</v>
      </c>
      <c r="E37" s="42" t="n">
        <v>50</v>
      </c>
      <c r="F37" s="45" t="n">
        <v>0.6349</v>
      </c>
      <c r="G37" s="45" t="n"/>
      <c r="H37" s="24" t="n"/>
      <c r="I37" s="41" t="n"/>
      <c r="J37" s="41" t="n"/>
      <c r="K37" s="42" t="n"/>
      <c r="L37" s="45">
        <f>IFERROR(__xludf.DUMMYFUNCTION("IFERROR(
$K37/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prs!$A$6:$D$12,
4,
FALSE
)
,"""")"),"")</f>
        <v/>
      </c>
      <c r="M37" s="45" t="n"/>
      <c r="N37" s="39" t="n"/>
      <c r="O37" s="41" t="n"/>
      <c r="P37" s="41" t="n"/>
      <c r="Q37" s="42" t="n"/>
      <c r="R37" s="45">
        <f>IFERROR(__xludf.DUMMYFUNCTION("IFERROR(
$Q37/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prs!$A$6:$D$12,
4,
FALSE
)
,"""")"),"")</f>
        <v/>
      </c>
      <c r="S37" s="45" t="n"/>
      <c r="T37" s="39" t="n"/>
      <c r="U37" s="41" t="n"/>
      <c r="V37" s="41" t="n"/>
      <c r="W37" s="42" t="n"/>
      <c r="X37" s="45">
        <f>IFERROR(__xludf.DUMMYFUNCTION("IFERROR(
$W37/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prs!$A$6:$D$12,
4,
FALSE
)
,"""")"),"")</f>
        <v/>
      </c>
      <c r="Y37" s="45" t="n"/>
      <c r="Z37" s="39" t="n"/>
    </row>
    <row r="38" ht="15.75" customHeight="1" s="98">
      <c r="A38" s="39" t="n"/>
      <c r="B38" s="40" t="inlineStr">
        <is>
          <t>Barra fixa</t>
        </is>
      </c>
      <c r="C38" s="41" t="n">
        <v>3</v>
      </c>
      <c r="D38" s="41" t="inlineStr">
        <is>
          <t>AMRAP</t>
        </is>
      </c>
      <c r="E38" s="42" t="n"/>
      <c r="F38" s="45" t="n"/>
      <c r="G38" s="45" t="inlineStr">
        <is>
          <t>amrap</t>
        </is>
      </c>
      <c r="H38" s="24" t="n"/>
      <c r="I38" s="41" t="n"/>
      <c r="J38" s="41" t="n"/>
      <c r="K38" s="42" t="n"/>
      <c r="L38" s="45">
        <f>IFERROR(__xludf.DUMMYFUNCTION("IFERROR(
$K38/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prs!$A$6:$D$12,
4,
FALSE
)
,"""")"),"")</f>
        <v/>
      </c>
      <c r="M38" s="45" t="n"/>
      <c r="N38" s="39" t="n"/>
      <c r="O38" s="41" t="n"/>
      <c r="P38" s="41" t="n"/>
      <c r="Q38" s="42" t="n"/>
      <c r="R38" s="45">
        <f>IFERROR(__xludf.DUMMYFUNCTION("IFERROR(
$Q38/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prs!$A$6:$D$12,
4,
FALSE
)
,"""")"),"")</f>
        <v/>
      </c>
      <c r="S38" s="45" t="n"/>
      <c r="T38" s="39" t="n"/>
      <c r="U38" s="41" t="n"/>
      <c r="V38" s="41" t="n"/>
      <c r="W38" s="42" t="n"/>
      <c r="X38" s="45">
        <f>IFERROR(__xludf.DUMMYFUNCTION("IFERROR(
$W38/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prs!$A$6:$D$12,
4,
FALSE
)
,"""")"),"")</f>
        <v/>
      </c>
      <c r="Y38" s="45" t="n"/>
      <c r="Z38" s="39" t="n"/>
    </row>
    <row r="39" ht="15.75" customHeight="1" s="98">
      <c r="A39" s="39" t="n"/>
      <c r="B39" s="40" t="inlineStr">
        <is>
          <t>Elevação pélvica</t>
        </is>
      </c>
      <c r="C39" s="50" t="n">
        <v>3</v>
      </c>
      <c r="D39" s="50" t="n">
        <v>12</v>
      </c>
      <c r="E39" s="51" t="n">
        <v>60</v>
      </c>
      <c r="F39" s="45" t="n"/>
      <c r="G39" s="45" t="n"/>
      <c r="H39" s="24" t="n"/>
      <c r="I39" s="50" t="n"/>
      <c r="J39" s="50" t="n"/>
      <c r="K39" s="51" t="n"/>
      <c r="L39" s="45">
        <f>IFERROR(__xludf.DUMMYFUNCTION("IFERROR(
$K39/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prs!$A$6:$D$12,
4,
FALSE
)
,"""")"),"")</f>
        <v/>
      </c>
      <c r="M39" s="45" t="n"/>
      <c r="N39" s="39" t="n"/>
      <c r="O39" s="50" t="n"/>
      <c r="P39" s="50" t="n"/>
      <c r="Q39" s="51" t="n"/>
      <c r="R39" s="45">
        <f>IFERROR(__xludf.DUMMYFUNCTION("IFERROR(
$Q39/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prs!$A$6:$D$12,
4,
FALSE
)
,"""")"),"")</f>
        <v/>
      </c>
      <c r="S39" s="45" t="n"/>
      <c r="T39" s="39" t="n"/>
      <c r="U39" s="50" t="n"/>
      <c r="V39" s="50" t="n"/>
      <c r="W39" s="51" t="n"/>
      <c r="X39" s="45">
        <f>IFERROR(__xludf.DUMMYFUNCTION("IFERROR(
$W39/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prs!$A$6:$D$12,
4,
FALSE
)
,"""")"),"")</f>
        <v/>
      </c>
      <c r="Y39" s="45" t="n"/>
      <c r="Z39" s="39" t="n"/>
    </row>
    <row r="40" ht="15.75" customHeight="1" s="98">
      <c r="A40" s="39" t="n"/>
      <c r="B40" s="40" t="n"/>
      <c r="C40" s="50" t="n"/>
      <c r="D40" s="50" t="n"/>
      <c r="E40" s="51" t="n"/>
      <c r="F40" s="45">
        <f>IFERROR(__xludf.DUMMYFUNCTION("IFERROR(
$E40/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prs!$A$6:$D$12,
4,
FALSE
)
,"""")"),"")</f>
        <v/>
      </c>
      <c r="G40" s="45" t="n"/>
      <c r="H40" s="24" t="n"/>
      <c r="I40" s="50" t="n"/>
      <c r="J40" s="50" t="n"/>
      <c r="K40" s="51" t="n"/>
      <c r="L40" s="45">
        <f>IFERROR(__xludf.DUMMYFUNCTION("IFERROR(
$K40/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prs!$A$6:$D$12,
4,
FALSE
)
,"""")"),"")</f>
        <v/>
      </c>
      <c r="M40" s="45" t="n"/>
      <c r="N40" s="39" t="n"/>
      <c r="O40" s="50" t="n"/>
      <c r="P40" s="50" t="n"/>
      <c r="Q40" s="51" t="n"/>
      <c r="R40" s="45">
        <f>IFERROR(__xludf.DUMMYFUNCTION("IFERROR(
$Q40/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prs!$A$6:$D$12,
4,
FALSE
)
,"""")"),"")</f>
        <v/>
      </c>
      <c r="S40" s="45" t="n"/>
      <c r="T40" s="39" t="n"/>
      <c r="U40" s="50" t="n"/>
      <c r="V40" s="50" t="n"/>
      <c r="W40" s="51" t="n"/>
      <c r="X40" s="45">
        <f>IFERROR(__xludf.DUMMYFUNCTION("IFERROR(
$W40/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prs!$A$6:$D$12,
4,
FALSE
)
,"""")"),"")</f>
        <v/>
      </c>
      <c r="Y40" s="45" t="n"/>
      <c r="Z40" s="39" t="n"/>
    </row>
    <row r="41" ht="15.75" customHeight="1" s="98">
      <c r="A41" s="39" t="n"/>
      <c r="B41" s="40" t="n"/>
      <c r="C41" s="50" t="n"/>
      <c r="D41" s="50" t="n"/>
      <c r="E41" s="51" t="n"/>
      <c r="F41" s="45">
        <f>IFERROR(__xludf.DUMMYFUNCTION("IFERROR(
$E41/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prs!$A$6:$D$12,
4,
FALSE
)
,"""")"),"")</f>
        <v/>
      </c>
      <c r="G41" s="45" t="n"/>
      <c r="H41" s="24" t="n"/>
      <c r="I41" s="50" t="n"/>
      <c r="J41" s="50" t="n"/>
      <c r="K41" s="51" t="n"/>
      <c r="L41" s="45">
        <f>IFERROR(__xludf.DUMMYFUNCTION("IFERROR(
$K41/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prs!$A$6:$D$12,
4,
FALSE
)
,"""")"),"")</f>
        <v/>
      </c>
      <c r="M41" s="45" t="n"/>
      <c r="N41" s="39" t="n"/>
      <c r="O41" s="50" t="n"/>
      <c r="P41" s="50" t="n"/>
      <c r="Q41" s="51" t="n"/>
      <c r="R41" s="45">
        <f>IFERROR(__xludf.DUMMYFUNCTION("IFERROR(
$Q41/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prs!$A$6:$D$12,
4,
FALSE
)
,"""")"),"")</f>
        <v/>
      </c>
      <c r="S41" s="45" t="n"/>
      <c r="T41" s="39" t="n"/>
      <c r="U41" s="50" t="n"/>
      <c r="V41" s="50" t="n"/>
      <c r="W41" s="51" t="n"/>
      <c r="X41" s="45">
        <f>IFERROR(__xludf.DUMMYFUNCTION("IFERROR(
$W41/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prs!$A$6:$D$12,
4,
FALSE
)
,"""")"),"")</f>
        <v/>
      </c>
      <c r="Y41" s="45" t="n"/>
      <c r="Z41" s="39" t="n"/>
    </row>
    <row r="42" ht="15.75" customHeight="1" s="98">
      <c r="A42" s="39" t="n"/>
      <c r="B42" s="40" t="n"/>
      <c r="C42" s="50" t="n"/>
      <c r="D42" s="50" t="n"/>
      <c r="E42" s="51" t="n"/>
      <c r="F42" s="45">
        <f>IFERROR(__xludf.DUMMYFUNCTION("IFERROR(
$E42/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prs!$A$6:$D$12,
4,
FALSE
)
,"""")"),"")</f>
        <v/>
      </c>
      <c r="G42" s="45" t="n"/>
      <c r="H42" s="24" t="n"/>
      <c r="I42" s="50" t="n"/>
      <c r="J42" s="50" t="n"/>
      <c r="K42" s="51" t="n"/>
      <c r="L42" s="45">
        <f>IFERROR(__xludf.DUMMYFUNCTION("IFERROR(
$K42/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prs!$A$6:$D$12,
4,
FALSE
)
,"""")"),"")</f>
        <v/>
      </c>
      <c r="M42" s="45" t="n"/>
      <c r="N42" s="39" t="n"/>
      <c r="O42" s="50" t="n"/>
      <c r="P42" s="50" t="n"/>
      <c r="Q42" s="51" t="n"/>
      <c r="R42" s="45">
        <f>IFERROR(__xludf.DUMMYFUNCTION("IFERROR(
$Q42/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prs!$A$6:$D$12,
4,
FALSE
)
,"""")"),"")</f>
        <v/>
      </c>
      <c r="S42" s="45" t="n"/>
      <c r="T42" s="39" t="n"/>
      <c r="U42" s="50" t="n"/>
      <c r="V42" s="50" t="n"/>
      <c r="W42" s="51" t="n"/>
      <c r="X42" s="45">
        <f>IFERROR(__xludf.DUMMYFUNCTION("IFERROR(
$W42/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prs!$A$6:$D$12,
4,
FALSE
)
,"""")"),"")</f>
        <v/>
      </c>
      <c r="Y42" s="45" t="n"/>
      <c r="Z42" s="39" t="n"/>
    </row>
    <row r="43" ht="15.75" customHeight="1" s="98">
      <c r="A43" s="39" t="n"/>
      <c r="B43" s="40" t="n"/>
      <c r="C43" s="50" t="n"/>
      <c r="D43" s="50" t="n"/>
      <c r="E43" s="51" t="n"/>
      <c r="F43" s="45">
        <f>IFERROR(__xludf.DUMMYFUNCTION("IFERROR(
$E43/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prs!$A$6:$D$12,
4,
FALSE
)
,"""")"),"")</f>
        <v/>
      </c>
      <c r="G43" s="45" t="n"/>
      <c r="H43" s="24" t="n"/>
      <c r="I43" s="50" t="n"/>
      <c r="J43" s="50" t="n"/>
      <c r="K43" s="51" t="n"/>
      <c r="L43" s="45">
        <f>IFERROR(__xludf.DUMMYFUNCTION("IFERROR(
$K43/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prs!$A$6:$D$12,
4,
FALSE
)
,"""")"),"")</f>
        <v/>
      </c>
      <c r="M43" s="45" t="n"/>
      <c r="N43" s="39" t="n"/>
      <c r="O43" s="50" t="n"/>
      <c r="P43" s="50" t="n"/>
      <c r="Q43" s="51" t="n"/>
      <c r="R43" s="45">
        <f>IFERROR(__xludf.DUMMYFUNCTION("IFERROR(
$Q43/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prs!$A$6:$D$12,
4,
FALSE
)
,"""")"),"")</f>
        <v/>
      </c>
      <c r="S43" s="45" t="n"/>
      <c r="T43" s="39" t="n"/>
      <c r="U43" s="50" t="n"/>
      <c r="V43" s="50" t="n"/>
      <c r="W43" s="51" t="n"/>
      <c r="X43" s="45">
        <f>IFERROR(__xludf.DUMMYFUNCTION("IFERROR(
$W43/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prs!$A$6:$D$12,
4,
FALSE
)
,"""")"),"")</f>
        <v/>
      </c>
      <c r="Y43" s="45" t="n"/>
      <c r="Z43" s="39" t="n"/>
    </row>
    <row r="44" ht="15.75" customHeight="1" s="98">
      <c r="A44" s="39" t="n"/>
      <c r="B44" s="40" t="n"/>
      <c r="C44" s="50" t="n"/>
      <c r="D44" s="50" t="n"/>
      <c r="E44" s="51" t="n"/>
      <c r="F44" s="45">
        <f>IFERROR(__xludf.DUMMYFUNCTION("IFERROR(
$E44/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prs!$A$6:$D$12,
4,
FALSE
)
,"""")"),"")</f>
        <v/>
      </c>
      <c r="G44" s="45" t="n"/>
      <c r="H44" s="24" t="n"/>
      <c r="I44" s="50" t="n"/>
      <c r="J44" s="50" t="n"/>
      <c r="K44" s="51" t="n"/>
      <c r="L44" s="45">
        <f>IFERROR(__xludf.DUMMYFUNCTION("IFERROR(
$K44/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prs!$A$6:$D$12,
4,
FALSE
)
,"""")"),"")</f>
        <v/>
      </c>
      <c r="M44" s="45" t="n"/>
      <c r="N44" s="39" t="n"/>
      <c r="O44" s="50" t="n"/>
      <c r="P44" s="50" t="n"/>
      <c r="Q44" s="51" t="n"/>
      <c r="R44" s="45">
        <f>IFERROR(__xludf.DUMMYFUNCTION("IFERROR(
$Q44/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prs!$A$6:$D$12,
4,
FALSE
)
,"""")"),"")</f>
        <v/>
      </c>
      <c r="S44" s="45" t="n"/>
      <c r="T44" s="39" t="n"/>
      <c r="U44" s="50" t="n"/>
      <c r="V44" s="50" t="n"/>
      <c r="W44" s="51" t="n"/>
      <c r="X44" s="45">
        <f>IFERROR(__xludf.DUMMYFUNCTION("IFERROR(
$W44/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prs!$A$6:$D$12,
4,
FALSE
)
,"""")"),"")</f>
        <v/>
      </c>
      <c r="Y44" s="45" t="n"/>
      <c r="Z44" s="39" t="n"/>
    </row>
    <row r="45" ht="15.75" customHeight="1" s="98">
      <c r="A45" s="39" t="n"/>
      <c r="B45" s="40" t="n"/>
      <c r="C45" s="50" t="n"/>
      <c r="D45" s="50" t="n"/>
      <c r="E45" s="51" t="n"/>
      <c r="F45" s="45">
        <f>IFERROR(__xludf.DUMMYFUNCTION("IFERROR(
$E45/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prs!$A$6:$D$12,
4,
FALSE
)
,"""")"),"")</f>
        <v/>
      </c>
      <c r="G45" s="45" t="n"/>
      <c r="H45" s="24" t="n"/>
      <c r="I45" s="50" t="n"/>
      <c r="J45" s="50" t="n"/>
      <c r="K45" s="51" t="n"/>
      <c r="L45" s="45">
        <f>IFERROR(__xludf.DUMMYFUNCTION("IFERROR(
$K45/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prs!$A$6:$D$12,
4,
FALSE
)
,"""")"),"")</f>
        <v/>
      </c>
      <c r="M45" s="45" t="n"/>
      <c r="N45" s="39" t="n"/>
      <c r="O45" s="50" t="n"/>
      <c r="P45" s="50" t="n"/>
      <c r="Q45" s="51" t="n"/>
      <c r="R45" s="45">
        <f>IFERROR(__xludf.DUMMYFUNCTION("IFERROR(
$Q45/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prs!$A$6:$D$12,
4,
FALSE
)
,"""")"),"")</f>
        <v/>
      </c>
      <c r="S45" s="45" t="n"/>
      <c r="T45" s="39" t="n"/>
      <c r="U45" s="50" t="n"/>
      <c r="V45" s="50" t="n"/>
      <c r="W45" s="51" t="n"/>
      <c r="X45" s="45">
        <f>IFERROR(__xludf.DUMMYFUNCTION("IFERROR(
$W45/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prs!$A$6:$D$12,
4,
FALSE
)
,"""")"),"")</f>
        <v/>
      </c>
      <c r="Y45" s="45" t="n"/>
      <c r="Z45" s="39" t="n"/>
    </row>
    <row r="46" ht="15.75" customHeight="1" s="98">
      <c r="A46" s="31" t="n"/>
      <c r="B46" s="52" t="n"/>
      <c r="C46" s="32" t="inlineStr">
        <is>
          <t>SEMANA 01</t>
        </is>
      </c>
      <c r="H46" s="24" t="n"/>
      <c r="I46" s="32" t="inlineStr">
        <is>
          <t>SEMANA 02</t>
        </is>
      </c>
      <c r="N46" s="24" t="n"/>
      <c r="O46" s="32" t="inlineStr">
        <is>
          <t>SEMANA 03</t>
        </is>
      </c>
      <c r="T46" s="24" t="n"/>
      <c r="U46" s="32" t="inlineStr">
        <is>
          <t>SEMANA 04</t>
        </is>
      </c>
      <c r="Z46" s="24" t="n"/>
    </row>
    <row r="47" ht="15.75" customHeight="1" s="98">
      <c r="A47" s="47" t="n"/>
      <c r="B47" s="47" t="n"/>
      <c r="C47" s="47" t="n"/>
      <c r="D47" s="47" t="n"/>
      <c r="H47" s="47" t="n"/>
      <c r="I47" s="47" t="n"/>
      <c r="J47" s="47" t="n"/>
      <c r="N47" s="47" t="n"/>
      <c r="O47" s="47" t="n"/>
      <c r="P47" s="47" t="n"/>
      <c r="T47" s="47" t="n"/>
      <c r="U47" s="47" t="n"/>
      <c r="V47" s="47" t="n"/>
      <c r="Z47" s="47" t="n"/>
    </row>
    <row r="48" ht="15.75" customHeight="1" s="9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 s="98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 s="98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 s="98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 s="98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 s="98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 s="98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 s="98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 s="98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 s="98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 s="9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 s="98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 s="98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 s="98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 s="98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 s="98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 s="98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 s="98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 s="98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 s="98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5.75" customHeight="1" s="9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5.75" customHeight="1" s="98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5.75" customHeight="1" s="98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5.75" customHeight="1" s="98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5.75" customHeight="1" s="98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5.75" customHeight="1" s="98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5.75" customHeight="1" s="98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5.75" customHeight="1" s="98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5.75" customHeight="1" s="98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5.75" customHeight="1" s="98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5.75" customHeight="1" s="9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5.75" customHeight="1" s="98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5.75" customHeight="1" s="98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5.75" customHeight="1" s="98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5.75" customHeight="1" s="98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5.75" customHeight="1" s="98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5.75" customHeight="1" s="98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5.75" customHeight="1" s="98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5.75" customHeight="1" s="98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5.75" customHeight="1" s="98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5.75" customHeight="1" s="9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5.75" customHeight="1" s="98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5.75" customHeight="1" s="98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5.75" customHeight="1" s="98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5.75" customHeight="1" s="98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5.75" customHeight="1" s="98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5.75" customHeight="1" s="98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5.75" customHeight="1" s="98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5.75" customHeight="1" s="98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5.75" customHeight="1" s="98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5.75" customHeight="1" s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5.75" customHeight="1" s="98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5.75" customHeight="1" s="98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5.75" customHeight="1" s="98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5.75" customHeight="1" s="98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5.75" customHeight="1" s="98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5.75" customHeight="1" s="98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5.75" customHeight="1" s="98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5.75" customHeight="1" s="98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5.75" customHeight="1" s="98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5.75" customHeight="1" s="9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5.75" customHeight="1" s="98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5.75" customHeight="1" s="98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5.75" customHeight="1" s="98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5.75" customHeight="1" s="98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5.75" customHeight="1" s="98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5.75" customHeight="1" s="98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5.75" customHeight="1" s="98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5.75" customHeight="1" s="98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5.75" customHeight="1" s="98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5.75" customHeight="1" s="9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5.75" customHeight="1" s="98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5.75" customHeight="1" s="98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5.75" customHeight="1" s="98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5.75" customHeight="1" s="98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5.75" customHeight="1" s="98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5.75" customHeight="1" s="98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5.75" customHeight="1" s="98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5.75" customHeight="1" s="98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5.75" customHeight="1" s="98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5.75" customHeight="1" s="9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5.75" customHeight="1" s="98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5.75" customHeight="1" s="98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5.75" customHeight="1" s="98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5.75" customHeight="1" s="98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5.75" customHeight="1" s="98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5.75" customHeight="1" s="98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5.75" customHeight="1" s="98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5.75" customHeight="1" s="98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5.75" customHeight="1" s="98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5.75" customHeight="1" s="9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5.75" customHeight="1" s="98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5.75" customHeight="1" s="98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5.75" customHeight="1" s="98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5.75" customHeight="1" s="98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5.75" customHeight="1" s="98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5.75" customHeight="1" s="98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5.75" customHeight="1" s="98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5.75" customHeight="1" s="98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5.75" customHeight="1" s="98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5.75" customHeight="1" s="9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5.75" customHeight="1" s="98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5.75" customHeight="1" s="98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5.75" customHeight="1" s="98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5.75" customHeight="1" s="98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5.75" customHeight="1" s="98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5.75" customHeight="1" s="98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5.75" customHeight="1" s="98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5.75" customHeight="1" s="98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5.75" customHeight="1" s="98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5.75" customHeight="1" s="9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5.75" customHeight="1" s="98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5.75" customHeight="1" s="98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5.75" customHeight="1" s="98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5.75" customHeight="1" s="98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5.75" customHeight="1" s="98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5.75" customHeight="1" s="98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5.75" customHeight="1" s="98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5.75" customHeight="1" s="98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5.75" customHeight="1" s="98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5.75" customHeight="1" s="9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5.75" customHeight="1" s="98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5.75" customHeight="1" s="98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5.75" customHeight="1" s="98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5.75" customHeight="1" s="98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5.75" customHeight="1" s="98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5.75" customHeight="1" s="98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5.75" customHeight="1" s="98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5.75" customHeight="1" s="98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5.75" customHeight="1" s="98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5.75" customHeight="1" s="9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5.75" customHeight="1" s="98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5.75" customHeight="1" s="98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5.75" customHeight="1" s="98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5.75" customHeight="1" s="98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5.75" customHeight="1" s="98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5.75" customHeight="1" s="98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5.75" customHeight="1" s="98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5.75" customHeight="1" s="98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5.75" customHeight="1" s="98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5.75" customHeight="1" s="9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5.75" customHeight="1" s="98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5.75" customHeight="1" s="98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5.75" customHeight="1" s="98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5.75" customHeight="1" s="98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5.75" customHeight="1" s="98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5.75" customHeight="1" s="98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5.75" customHeight="1" s="98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5.75" customHeight="1" s="98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5.75" customHeight="1" s="98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5.75" customHeight="1" s="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5.75" customHeight="1" s="98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5.75" customHeight="1" s="98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5.75" customHeight="1" s="98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5.75" customHeight="1" s="98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5.75" customHeight="1" s="98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5.75" customHeight="1" s="98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5.75" customHeight="1" s="98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5.75" customHeight="1" s="98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5.75" customHeight="1" s="98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5.75" customHeight="1" s="9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5.75" customHeight="1" s="98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5.75" customHeight="1" s="98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5.75" customHeight="1" s="98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5.75" customHeight="1" s="98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5.75" customHeight="1" s="98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5.75" customHeight="1" s="98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5.75" customHeight="1" s="98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5.75" customHeight="1" s="98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5.75" customHeight="1" s="98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5.75" customHeight="1" s="9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mergeCells count="40">
    <mergeCell ref="V32:Y32"/>
    <mergeCell ref="U31:Y31"/>
    <mergeCell ref="P47:S47"/>
    <mergeCell ref="O3:S3"/>
    <mergeCell ref="C18:G18"/>
    <mergeCell ref="J47:M47"/>
    <mergeCell ref="C33:G33"/>
    <mergeCell ref="I46:M46"/>
    <mergeCell ref="O33:S33"/>
    <mergeCell ref="J2:M2"/>
    <mergeCell ref="U46:Y46"/>
    <mergeCell ref="O18:S18"/>
    <mergeCell ref="V47:Y47"/>
    <mergeCell ref="J17:M17"/>
    <mergeCell ref="C16:G16"/>
    <mergeCell ref="I16:M16"/>
    <mergeCell ref="V2:Y2"/>
    <mergeCell ref="V17:Y17"/>
    <mergeCell ref="U16:Y16"/>
    <mergeCell ref="C31:G31"/>
    <mergeCell ref="O31:S31"/>
    <mergeCell ref="I18:M18"/>
    <mergeCell ref="I3:M3"/>
    <mergeCell ref="O16:S16"/>
    <mergeCell ref="C46:G46"/>
    <mergeCell ref="U3:Y3"/>
    <mergeCell ref="O46:S46"/>
    <mergeCell ref="I33:M33"/>
    <mergeCell ref="U33:Y33"/>
    <mergeCell ref="D2:G2"/>
    <mergeCell ref="U18:Y18"/>
    <mergeCell ref="P2:S2"/>
    <mergeCell ref="D32:G32"/>
    <mergeCell ref="D17:G17"/>
    <mergeCell ref="D47:G47"/>
    <mergeCell ref="P17:S17"/>
    <mergeCell ref="J32:M32"/>
    <mergeCell ref="P32:S32"/>
    <mergeCell ref="I31:M31"/>
    <mergeCell ref="C3:G3"/>
  </mergeCells>
  <conditionalFormatting sqref="B6:B15 B21 B36:B45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G1000"/>
  <sheetViews>
    <sheetView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7.5" customHeight="1" s="98">
      <c r="A1" s="8" t="n"/>
      <c r="B1" s="9" t="inlineStr">
        <is>
          <t>PLANILHA DE TREINAMENTO</t>
        </is>
      </c>
    </row>
    <row r="2" ht="15.75" customHeight="1" s="98">
      <c r="B2" s="11" t="inlineStr">
        <is>
          <t>NOME</t>
        </is>
      </c>
      <c r="C2" s="18">
        <f>'aluno 01'!C2</f>
        <v/>
      </c>
    </row>
    <row r="3" ht="15.75" customHeight="1" s="98">
      <c r="B3" s="11" t="inlineStr">
        <is>
          <t>OBJETIVO</t>
        </is>
      </c>
      <c r="C3" s="18">
        <f>'aluno 01'!C3</f>
        <v/>
      </c>
    </row>
    <row r="4" ht="15.75" customHeight="1" s="98">
      <c r="A4" s="15" t="n"/>
      <c r="B4" s="16" t="n"/>
      <c r="C4" s="17" t="n"/>
      <c r="D4" s="19" t="n"/>
      <c r="E4" s="20" t="n"/>
      <c r="F4" s="21" t="n"/>
      <c r="G4" s="21" t="n"/>
    </row>
    <row r="5" ht="15.75" customHeight="1" s="98">
      <c r="A5" s="23" t="n"/>
      <c r="B5" s="25" t="inlineStr">
        <is>
          <t>SEGUNDA</t>
        </is>
      </c>
      <c r="C5" s="25" t="inlineStr">
        <is>
          <t>TERÇA</t>
        </is>
      </c>
      <c r="D5" s="25" t="inlineStr">
        <is>
          <t>QUARTA</t>
        </is>
      </c>
      <c r="E5" s="25" t="inlineStr">
        <is>
          <t>QUINTA</t>
        </is>
      </c>
      <c r="F5" s="25" t="inlineStr">
        <is>
          <t>SEXTA</t>
        </is>
      </c>
      <c r="G5" s="5" t="n"/>
    </row>
    <row r="6" ht="15.75" customHeight="1" s="98">
      <c r="A6" s="26" t="n"/>
      <c r="B6" s="27">
        <f>'aluno 01'!B6</f>
        <v/>
      </c>
      <c r="C6" s="27">
        <f>'aluno 01'!C6</f>
        <v/>
      </c>
      <c r="D6" s="27">
        <f>'aluno 01'!D6</f>
        <v/>
      </c>
      <c r="E6" s="27">
        <f>'aluno 01'!E6</f>
        <v/>
      </c>
      <c r="F6" s="27">
        <f>'aluno 01'!F6</f>
        <v/>
      </c>
      <c r="G6" s="5" t="n"/>
    </row>
    <row r="7" ht="15.75" customHeight="1" s="98">
      <c r="A7" s="26" t="n"/>
      <c r="B7" s="28" t="n"/>
      <c r="C7" s="28" t="n"/>
      <c r="D7" s="28" t="n"/>
      <c r="E7" s="28" t="n"/>
      <c r="F7" s="28" t="n"/>
      <c r="G7" s="28" t="n"/>
    </row>
    <row r="8" ht="15.75" customHeight="1" s="98">
      <c r="A8" s="29" t="inlineStr">
        <is>
          <t>OBS</t>
        </is>
      </c>
    </row>
    <row r="9" ht="15.75" customHeight="1" s="98">
      <c r="A9" s="35">
        <f>'aluno 01'!A9</f>
        <v/>
      </c>
    </row>
    <row r="10" ht="15.75" customHeight="1" s="98"/>
    <row r="11" ht="15.75" customHeight="1" s="98">
      <c r="A11" s="29" t="inlineStr">
        <is>
          <t>AQC</t>
        </is>
      </c>
    </row>
    <row r="12" ht="15.75" customHeight="1" s="98">
      <c r="A12" s="2" t="n"/>
      <c r="B12" s="31" t="inlineStr">
        <is>
          <t>SETS</t>
        </is>
      </c>
      <c r="C12" s="31" t="inlineStr">
        <is>
          <t>REPS / TEMPO</t>
        </is>
      </c>
      <c r="D12" s="32" t="inlineStr">
        <is>
          <t>KG</t>
        </is>
      </c>
      <c r="E12" s="32" t="inlineStr">
        <is>
          <t>OBS</t>
        </is>
      </c>
    </row>
    <row r="13" ht="15.75" customHeight="1" s="98">
      <c r="A13" s="33" t="n"/>
      <c r="B13" s="34" t="n"/>
      <c r="C13" s="34" t="n"/>
      <c r="D13" s="34" t="n"/>
      <c r="E13" s="35" t="n"/>
    </row>
    <row r="14" ht="15.75" customHeight="1" s="98">
      <c r="A14" s="36" t="n"/>
      <c r="B14" s="37" t="n"/>
      <c r="C14" s="37" t="n"/>
      <c r="D14" s="34" t="n"/>
      <c r="E14" s="35" t="n"/>
    </row>
    <row r="15" ht="15.75" customHeight="1" s="98">
      <c r="A15" s="33" t="n"/>
      <c r="B15" s="34" t="n"/>
      <c r="C15" s="34" t="n"/>
      <c r="D15" s="34" t="n"/>
      <c r="E15" s="35" t="n"/>
    </row>
    <row r="16" ht="15.75" customHeight="1" s="98">
      <c r="A16" s="43">
        <f>'bloco 02'!C3</f>
        <v/>
      </c>
    </row>
    <row r="17" ht="15.75" customHeight="1" s="98">
      <c r="A17" s="44" t="inlineStr">
        <is>
          <t>SEMANA 01</t>
        </is>
      </c>
    </row>
    <row r="18" ht="15.75" customHeight="1" s="98">
      <c r="A18" s="29" t="inlineStr">
        <is>
          <t>TREINO 01</t>
        </is>
      </c>
    </row>
    <row r="19" ht="15.75" customHeight="1" s="98">
      <c r="A19" s="31" t="n"/>
      <c r="B19" s="31" t="inlineStr">
        <is>
          <t>SETS</t>
        </is>
      </c>
      <c r="C19" s="32" t="inlineStr">
        <is>
          <t>REPS</t>
        </is>
      </c>
      <c r="D19" s="32" t="inlineStr">
        <is>
          <t>KG</t>
        </is>
      </c>
      <c r="E19" s="32" t="inlineStr">
        <is>
          <t>%1RM / PSE</t>
        </is>
      </c>
      <c r="F19" s="32" t="inlineStr">
        <is>
          <t>OBS</t>
        </is>
      </c>
    </row>
    <row r="20" ht="15.75" customHeight="1" s="98">
      <c r="A20" s="14">
        <f>'bloco 02'!$B6</f>
        <v/>
      </c>
      <c r="B20" s="46">
        <f>'bloco 02'!C6</f>
        <v/>
      </c>
      <c r="C20" s="46">
        <f>'bloco 02'!D6</f>
        <v/>
      </c>
      <c r="D20" s="46">
        <f>'bloco 02'!E6</f>
        <v/>
      </c>
      <c r="E20" s="45">
        <f>IFERROR(('bloco 02'!F6),"")</f>
        <v/>
      </c>
      <c r="F20" s="48">
        <f>'bloco 02'!G6</f>
        <v/>
      </c>
    </row>
    <row r="21" ht="15.75" customHeight="1" s="98">
      <c r="A21" s="14">
        <f>'bloco 02'!$B7</f>
        <v/>
      </c>
      <c r="B21" s="46">
        <f>'bloco 02'!C7</f>
        <v/>
      </c>
      <c r="C21" s="46">
        <f>'bloco 02'!D7</f>
        <v/>
      </c>
      <c r="D21" s="46">
        <f>'bloco 02'!E7</f>
        <v/>
      </c>
      <c r="E21" s="45">
        <f>IFERROR(('bloco 02'!F7),"")</f>
        <v/>
      </c>
      <c r="F21" s="48">
        <f>'bloco 02'!G7</f>
        <v/>
      </c>
    </row>
    <row r="22" ht="15.75" customHeight="1" s="98">
      <c r="A22" s="14">
        <f>'bloco 02'!$B8</f>
        <v/>
      </c>
      <c r="B22" s="46">
        <f>'bloco 02'!C8</f>
        <v/>
      </c>
      <c r="C22" s="46">
        <f>'bloco 02'!D8</f>
        <v/>
      </c>
      <c r="D22" s="46">
        <f>'bloco 02'!E8</f>
        <v/>
      </c>
      <c r="E22" s="45">
        <f>IFERROR(('bloco 02'!F8),"")</f>
        <v/>
      </c>
      <c r="F22" s="48">
        <f>'bloco 02'!G8</f>
        <v/>
      </c>
    </row>
    <row r="23" ht="15.75" customHeight="1" s="98">
      <c r="A23" s="14">
        <f>'bloco 02'!$B9</f>
        <v/>
      </c>
      <c r="B23" s="46">
        <f>'bloco 02'!C9</f>
        <v/>
      </c>
      <c r="C23" s="46">
        <f>'bloco 02'!D9</f>
        <v/>
      </c>
      <c r="D23" s="46">
        <f>'bloco 02'!E9</f>
        <v/>
      </c>
      <c r="E23" s="45">
        <f>IFERROR(('bloco 02'!F9),"")</f>
        <v/>
      </c>
      <c r="F23" s="48">
        <f>'bloco 02'!G9</f>
        <v/>
      </c>
    </row>
    <row r="24" ht="15.75" customHeight="1" s="98">
      <c r="A24" s="14">
        <f>'bloco 02'!$B10</f>
        <v/>
      </c>
      <c r="B24" s="46">
        <f>'bloco 02'!C10</f>
        <v/>
      </c>
      <c r="C24" s="46">
        <f>'bloco 02'!D10</f>
        <v/>
      </c>
      <c r="D24" s="46">
        <f>'bloco 02'!E10</f>
        <v/>
      </c>
      <c r="E24" s="45">
        <f>IFERROR(('bloco 02'!F10),"")</f>
        <v/>
      </c>
      <c r="F24" s="48">
        <f>'bloco 02'!G10</f>
        <v/>
      </c>
    </row>
    <row r="25" ht="15.75" customHeight="1" s="98">
      <c r="A25" s="14">
        <f>'bloco 02'!$B11</f>
        <v/>
      </c>
      <c r="B25" s="46">
        <f>'bloco 02'!C11</f>
        <v/>
      </c>
      <c r="C25" s="46">
        <f>'bloco 02'!D11</f>
        <v/>
      </c>
      <c r="D25" s="46">
        <f>'bloco 02'!E11</f>
        <v/>
      </c>
      <c r="E25" s="45">
        <f>IFERROR(('bloco 02'!F11),"")</f>
        <v/>
      </c>
      <c r="F25" s="48">
        <f>'bloco 02'!G11</f>
        <v/>
      </c>
    </row>
    <row r="26" ht="15.75" customHeight="1" s="98">
      <c r="A26" s="14">
        <f>'bloco 02'!$B12</f>
        <v/>
      </c>
      <c r="B26" s="46">
        <f>'bloco 02'!C12</f>
        <v/>
      </c>
      <c r="C26" s="46">
        <f>'bloco 02'!D12</f>
        <v/>
      </c>
      <c r="D26" s="46">
        <f>'bloco 02'!E12</f>
        <v/>
      </c>
      <c r="E26" s="45">
        <f>IFERROR(('bloco 02'!F12),"")</f>
        <v/>
      </c>
      <c r="F26" s="48">
        <f>'bloco 02'!G12</f>
        <v/>
      </c>
    </row>
    <row r="27" ht="15.75" customHeight="1" s="98">
      <c r="A27" s="14">
        <f>'bloco 02'!$B13</f>
        <v/>
      </c>
      <c r="B27" s="46">
        <f>'bloco 02'!C13</f>
        <v/>
      </c>
      <c r="C27" s="46">
        <f>'bloco 02'!D13</f>
        <v/>
      </c>
      <c r="D27" s="46">
        <f>'bloco 02'!E13</f>
        <v/>
      </c>
      <c r="E27" s="45">
        <f>IFERROR(('bloco 02'!F13),"")</f>
        <v/>
      </c>
      <c r="F27" s="48">
        <f>'bloco 02'!G13</f>
        <v/>
      </c>
    </row>
    <row r="28" ht="15.75" customHeight="1" s="98">
      <c r="A28" s="14">
        <f>'bloco 02'!$B14</f>
        <v/>
      </c>
      <c r="B28" s="46">
        <f>'bloco 02'!C14</f>
        <v/>
      </c>
      <c r="C28" s="46">
        <f>'bloco 02'!D14</f>
        <v/>
      </c>
      <c r="D28" s="46">
        <f>'bloco 02'!E14</f>
        <v/>
      </c>
      <c r="E28" s="45">
        <f>IFERROR(('bloco 02'!F14),"")</f>
        <v/>
      </c>
      <c r="F28" s="48">
        <f>'bloco 02'!G14</f>
        <v/>
      </c>
    </row>
    <row r="29" ht="15.75" customHeight="1" s="98">
      <c r="A29" s="14">
        <f>'bloco 02'!$B15</f>
        <v/>
      </c>
      <c r="B29" s="46">
        <f>'bloco 02'!C15</f>
        <v/>
      </c>
      <c r="C29" s="46">
        <f>'bloco 02'!D15</f>
        <v/>
      </c>
      <c r="D29" s="46">
        <f>'bloco 02'!E15</f>
        <v/>
      </c>
      <c r="E29" s="45">
        <f>IFERROR(('bloco 02'!F15),"")</f>
        <v/>
      </c>
      <c r="F29" s="48">
        <f>'bloco 02'!G15</f>
        <v/>
      </c>
    </row>
    <row r="30" ht="15.75" customHeight="1" s="98">
      <c r="A30" s="29" t="inlineStr">
        <is>
          <t>TREINO 02</t>
        </is>
      </c>
    </row>
    <row r="31" ht="15.75" customHeight="1" s="98">
      <c r="A31" s="31" t="n"/>
      <c r="B31" s="31" t="inlineStr">
        <is>
          <t>SETS</t>
        </is>
      </c>
      <c r="C31" s="32" t="inlineStr">
        <is>
          <t>REPS</t>
        </is>
      </c>
      <c r="D31" s="32" t="inlineStr">
        <is>
          <t>KG</t>
        </is>
      </c>
      <c r="E31" s="32" t="inlineStr">
        <is>
          <t>%1RM / PSE</t>
        </is>
      </c>
      <c r="F31" s="32" t="inlineStr">
        <is>
          <t>OBS</t>
        </is>
      </c>
    </row>
    <row r="32" ht="15.75" customHeight="1" s="98">
      <c r="A32" s="14">
        <f>'bloco 02'!$B21</f>
        <v/>
      </c>
      <c r="B32" s="46">
        <f>'bloco 02'!C21</f>
        <v/>
      </c>
      <c r="C32" s="46">
        <f>'bloco 02'!D21</f>
        <v/>
      </c>
      <c r="D32" s="46">
        <f>'bloco 02'!E21</f>
        <v/>
      </c>
      <c r="E32" s="45">
        <f>IFERROR(('bloco 02'!F21),"")</f>
        <v/>
      </c>
      <c r="F32" s="48">
        <f>'bloco 02'!G21</f>
        <v/>
      </c>
    </row>
    <row r="33" ht="15.75" customHeight="1" s="98">
      <c r="A33" s="14">
        <f>'bloco 02'!$B22</f>
        <v/>
      </c>
      <c r="B33" s="46">
        <f>'bloco 02'!C22</f>
        <v/>
      </c>
      <c r="C33" s="46">
        <f>'bloco 02'!D22</f>
        <v/>
      </c>
      <c r="D33" s="46">
        <f>'bloco 02'!E22</f>
        <v/>
      </c>
      <c r="E33" s="45">
        <f>IFERROR(('bloco 02'!F22),"")</f>
        <v/>
      </c>
      <c r="F33" s="48">
        <f>'bloco 02'!G22</f>
        <v/>
      </c>
    </row>
    <row r="34" ht="15.75" customHeight="1" s="98">
      <c r="A34" s="14">
        <f>'bloco 02'!$B23</f>
        <v/>
      </c>
      <c r="B34" s="46">
        <f>'bloco 02'!C23</f>
        <v/>
      </c>
      <c r="C34" s="46">
        <f>'bloco 02'!D23</f>
        <v/>
      </c>
      <c r="D34" s="46">
        <f>'bloco 02'!E23</f>
        <v/>
      </c>
      <c r="E34" s="45">
        <f>IFERROR(('bloco 02'!F23),"")</f>
        <v/>
      </c>
      <c r="F34" s="48">
        <f>'bloco 02'!G23</f>
        <v/>
      </c>
    </row>
    <row r="35" ht="15.75" customHeight="1" s="98">
      <c r="A35" s="14">
        <f>'bloco 02'!$B24</f>
        <v/>
      </c>
      <c r="B35" s="46">
        <f>'bloco 02'!C24</f>
        <v/>
      </c>
      <c r="C35" s="46">
        <f>'bloco 02'!D24</f>
        <v/>
      </c>
      <c r="D35" s="46">
        <f>'bloco 02'!E24</f>
        <v/>
      </c>
      <c r="E35" s="45">
        <f>IFERROR(('bloco 02'!F24),"")</f>
        <v/>
      </c>
      <c r="F35" s="48">
        <f>'bloco 02'!G24</f>
        <v/>
      </c>
    </row>
    <row r="36" ht="15.75" customHeight="1" s="98">
      <c r="A36" s="14">
        <f>'bloco 02'!$B25</f>
        <v/>
      </c>
      <c r="B36" s="46">
        <f>'bloco 02'!C25</f>
        <v/>
      </c>
      <c r="C36" s="46">
        <f>'bloco 02'!D25</f>
        <v/>
      </c>
      <c r="D36" s="46">
        <f>'bloco 02'!E25</f>
        <v/>
      </c>
      <c r="E36" s="45">
        <f>IFERROR(('bloco 02'!F25),"")</f>
        <v/>
      </c>
      <c r="F36" s="48">
        <f>'bloco 02'!G25</f>
        <v/>
      </c>
    </row>
    <row r="37" ht="15.75" customHeight="1" s="98">
      <c r="A37" s="14">
        <f>'bloco 02'!$B26</f>
        <v/>
      </c>
      <c r="B37" s="46">
        <f>'bloco 02'!C26</f>
        <v/>
      </c>
      <c r="C37" s="46">
        <f>'bloco 02'!D26</f>
        <v/>
      </c>
      <c r="D37" s="46">
        <f>'bloco 02'!E26</f>
        <v/>
      </c>
      <c r="E37" s="45">
        <f>IFERROR(('bloco 02'!F26),"")</f>
        <v/>
      </c>
      <c r="F37" s="48">
        <f>'bloco 02'!G26</f>
        <v/>
      </c>
    </row>
    <row r="38" ht="15.75" customHeight="1" s="98">
      <c r="A38" s="14">
        <f>'bloco 02'!$B27</f>
        <v/>
      </c>
      <c r="B38" s="46">
        <f>'bloco 02'!C27</f>
        <v/>
      </c>
      <c r="C38" s="46">
        <f>'bloco 02'!D27</f>
        <v/>
      </c>
      <c r="D38" s="46">
        <f>'bloco 02'!E27</f>
        <v/>
      </c>
      <c r="E38" s="45">
        <f>IFERROR(('bloco 02'!F27),"")</f>
        <v/>
      </c>
      <c r="F38" s="48">
        <f>'bloco 02'!G27</f>
        <v/>
      </c>
    </row>
    <row r="39" ht="15.75" customHeight="1" s="98">
      <c r="A39" s="14">
        <f>'bloco 02'!$B28</f>
        <v/>
      </c>
      <c r="B39" s="46">
        <f>'bloco 02'!C28</f>
        <v/>
      </c>
      <c r="C39" s="46">
        <f>'bloco 02'!D28</f>
        <v/>
      </c>
      <c r="D39" s="46">
        <f>'bloco 02'!E28</f>
        <v/>
      </c>
      <c r="E39" s="45">
        <f>IFERROR(('bloco 02'!F28),"")</f>
        <v/>
      </c>
      <c r="F39" s="48">
        <f>'bloco 02'!G28</f>
        <v/>
      </c>
    </row>
    <row r="40" ht="15.75" customHeight="1" s="98">
      <c r="A40" s="14">
        <f>'bloco 02'!$B29</f>
        <v/>
      </c>
      <c r="B40" s="46">
        <f>'bloco 02'!C29</f>
        <v/>
      </c>
      <c r="C40" s="46">
        <f>'bloco 02'!D29</f>
        <v/>
      </c>
      <c r="D40" s="46">
        <f>'bloco 02'!E29</f>
        <v/>
      </c>
      <c r="E40" s="45">
        <f>IFERROR(('bloco 02'!F29),"")</f>
        <v/>
      </c>
      <c r="F40" s="48">
        <f>'bloco 02'!G29</f>
        <v/>
      </c>
    </row>
    <row r="41" ht="15.75" customHeight="1" s="98">
      <c r="A41" s="14">
        <f>'bloco 02'!$B30</f>
        <v/>
      </c>
      <c r="B41" s="46">
        <f>'bloco 02'!C30</f>
        <v/>
      </c>
      <c r="C41" s="46">
        <f>'bloco 02'!D30</f>
        <v/>
      </c>
      <c r="D41" s="46">
        <f>'bloco 02'!E30</f>
        <v/>
      </c>
      <c r="E41" s="45">
        <f>IFERROR(('bloco 02'!F30),"")</f>
        <v/>
      </c>
      <c r="F41" s="48">
        <f>'bloco 02'!G30</f>
        <v/>
      </c>
    </row>
    <row r="42" ht="15.75" customHeight="1" s="98">
      <c r="A42" s="29" t="inlineStr">
        <is>
          <t>TREINO 03</t>
        </is>
      </c>
    </row>
    <row r="43" ht="15.75" customHeight="1" s="98">
      <c r="A43" s="31" t="n"/>
      <c r="B43" s="31" t="inlineStr">
        <is>
          <t>SETS</t>
        </is>
      </c>
      <c r="C43" s="32" t="inlineStr">
        <is>
          <t>REPS</t>
        </is>
      </c>
      <c r="D43" s="32" t="inlineStr">
        <is>
          <t>KG</t>
        </is>
      </c>
      <c r="E43" s="32" t="inlineStr">
        <is>
          <t>%1RM / PSE</t>
        </is>
      </c>
      <c r="F43" s="32" t="inlineStr">
        <is>
          <t>OBS</t>
        </is>
      </c>
    </row>
    <row r="44" ht="15.75" customHeight="1" s="98">
      <c r="A44" s="14">
        <f>'bloco 02'!$B36</f>
        <v/>
      </c>
      <c r="B44" s="46">
        <f>'bloco 02'!C36</f>
        <v/>
      </c>
      <c r="C44" s="46">
        <f>'bloco 02'!D36</f>
        <v/>
      </c>
      <c r="D44" s="46">
        <f>'bloco 02'!E36</f>
        <v/>
      </c>
      <c r="E44" s="45">
        <f>IFERROR(('bloco 02'!F36),"")</f>
        <v/>
      </c>
      <c r="F44" s="48">
        <f>'bloco 02'!G36</f>
        <v/>
      </c>
    </row>
    <row r="45" ht="15.75" customHeight="1" s="98">
      <c r="A45" s="14">
        <f>'bloco 02'!$B37</f>
        <v/>
      </c>
      <c r="B45" s="46">
        <f>'bloco 02'!C37</f>
        <v/>
      </c>
      <c r="C45" s="46">
        <f>'bloco 02'!D37</f>
        <v/>
      </c>
      <c r="D45" s="46">
        <f>'bloco 02'!E37</f>
        <v/>
      </c>
      <c r="E45" s="45">
        <f>IFERROR(('bloco 02'!F37),"")</f>
        <v/>
      </c>
      <c r="F45" s="48">
        <f>'bloco 02'!G37</f>
        <v/>
      </c>
    </row>
    <row r="46" ht="15.75" customHeight="1" s="98">
      <c r="A46" s="14">
        <f>'bloco 02'!$B38</f>
        <v/>
      </c>
      <c r="B46" s="46">
        <f>'bloco 02'!C38</f>
        <v/>
      </c>
      <c r="C46" s="46">
        <f>'bloco 02'!D38</f>
        <v/>
      </c>
      <c r="D46" s="46">
        <f>'bloco 02'!E38</f>
        <v/>
      </c>
      <c r="E46" s="45">
        <f>IFERROR(('bloco 02'!F38),"")</f>
        <v/>
      </c>
      <c r="F46" s="48">
        <f>'bloco 02'!G38</f>
        <v/>
      </c>
    </row>
    <row r="47" ht="15.75" customHeight="1" s="98">
      <c r="A47" s="14">
        <f>'bloco 02'!$B39</f>
        <v/>
      </c>
      <c r="B47" s="46">
        <f>'bloco 02'!C39</f>
        <v/>
      </c>
      <c r="C47" s="46">
        <f>'bloco 02'!D39</f>
        <v/>
      </c>
      <c r="D47" s="46">
        <f>'bloco 02'!E39</f>
        <v/>
      </c>
      <c r="E47" s="45">
        <f>IFERROR(('bloco 02'!F39),"")</f>
        <v/>
      </c>
      <c r="F47" s="48">
        <f>'bloco 02'!G39</f>
        <v/>
      </c>
    </row>
    <row r="48" ht="15.75" customHeight="1" s="98">
      <c r="A48" s="14">
        <f>'bloco 02'!$B40</f>
        <v/>
      </c>
      <c r="B48" s="46">
        <f>'bloco 02'!C40</f>
        <v/>
      </c>
      <c r="C48" s="46">
        <f>'bloco 02'!D40</f>
        <v/>
      </c>
      <c r="D48" s="46">
        <f>'bloco 02'!E40</f>
        <v/>
      </c>
      <c r="E48" s="45">
        <f>IFERROR(('bloco 02'!F40),"")</f>
        <v/>
      </c>
      <c r="F48" s="48">
        <f>'bloco 02'!G40</f>
        <v/>
      </c>
    </row>
    <row r="49" ht="15.75" customHeight="1" s="98">
      <c r="A49" s="14">
        <f>'bloco 02'!$B41</f>
        <v/>
      </c>
      <c r="B49" s="46">
        <f>'bloco 02'!C41</f>
        <v/>
      </c>
      <c r="C49" s="46">
        <f>'bloco 02'!D41</f>
        <v/>
      </c>
      <c r="D49" s="46">
        <f>'bloco 02'!E41</f>
        <v/>
      </c>
      <c r="E49" s="45">
        <f>IFERROR(('bloco 02'!F41),"")</f>
        <v/>
      </c>
      <c r="F49" s="48">
        <f>'bloco 02'!G41</f>
        <v/>
      </c>
    </row>
    <row r="50" ht="15.75" customHeight="1" s="98">
      <c r="A50" s="14">
        <f>'bloco 02'!$B42</f>
        <v/>
      </c>
      <c r="B50" s="46">
        <f>'bloco 02'!C42</f>
        <v/>
      </c>
      <c r="C50" s="46">
        <f>'bloco 02'!D42</f>
        <v/>
      </c>
      <c r="D50" s="46">
        <f>'bloco 02'!E42</f>
        <v/>
      </c>
      <c r="E50" s="45">
        <f>IFERROR(('bloco 02'!F42),"")</f>
        <v/>
      </c>
      <c r="F50" s="48">
        <f>'bloco 02'!G42</f>
        <v/>
      </c>
    </row>
    <row r="51" ht="15.75" customHeight="1" s="98">
      <c r="A51" s="14">
        <f>'bloco 02'!$B43</f>
        <v/>
      </c>
      <c r="B51" s="46">
        <f>'bloco 02'!C43</f>
        <v/>
      </c>
      <c r="C51" s="46">
        <f>'bloco 02'!D43</f>
        <v/>
      </c>
      <c r="D51" s="46">
        <f>'bloco 02'!E43</f>
        <v/>
      </c>
      <c r="E51" s="45">
        <f>IFERROR(('bloco 02'!F43),"")</f>
        <v/>
      </c>
      <c r="F51" s="48">
        <f>'bloco 02'!G43</f>
        <v/>
      </c>
    </row>
    <row r="52" ht="15.75" customHeight="1" s="98">
      <c r="A52" s="14">
        <f>'bloco 02'!$B44</f>
        <v/>
      </c>
      <c r="B52" s="46">
        <f>'bloco 02'!C44</f>
        <v/>
      </c>
      <c r="C52" s="46">
        <f>'bloco 02'!D44</f>
        <v/>
      </c>
      <c r="D52" s="46">
        <f>'bloco 02'!E44</f>
        <v/>
      </c>
      <c r="E52" s="45">
        <f>IFERROR(('bloco 02'!F44),"")</f>
        <v/>
      </c>
      <c r="F52" s="48">
        <f>'bloco 02'!G44</f>
        <v/>
      </c>
    </row>
    <row r="53" ht="15.75" customHeight="1" s="98">
      <c r="A53" s="14">
        <f>'bloco 02'!$B45</f>
        <v/>
      </c>
      <c r="B53" s="46">
        <f>'bloco 02'!C45</f>
        <v/>
      </c>
      <c r="C53" s="46">
        <f>'bloco 02'!D45</f>
        <v/>
      </c>
      <c r="D53" s="46">
        <f>'bloco 02'!E45</f>
        <v/>
      </c>
      <c r="E53" s="45">
        <f>IFERROR(('bloco 02'!F45),"")</f>
        <v/>
      </c>
      <c r="F53" s="48">
        <f>'bloco 02'!G45</f>
        <v/>
      </c>
    </row>
    <row r="54" ht="15.75" customHeight="1" s="98">
      <c r="A54" s="43">
        <f>'bloco 02'!I3</f>
        <v/>
      </c>
    </row>
    <row r="55" ht="15.75" customHeight="1" s="98">
      <c r="A55" s="44" t="inlineStr">
        <is>
          <t>SEMANA 02</t>
        </is>
      </c>
    </row>
    <row r="56" ht="15.75" customHeight="1" s="98">
      <c r="A56" s="29" t="inlineStr">
        <is>
          <t>TREINO 01</t>
        </is>
      </c>
    </row>
    <row r="57" ht="15.75" customHeight="1" s="98">
      <c r="A57" s="31" t="n"/>
      <c r="B57" s="31" t="inlineStr">
        <is>
          <t>SETS</t>
        </is>
      </c>
      <c r="C57" s="32" t="inlineStr">
        <is>
          <t>REPS</t>
        </is>
      </c>
      <c r="D57" s="32" t="inlineStr">
        <is>
          <t>KG</t>
        </is>
      </c>
      <c r="E57" s="32" t="inlineStr">
        <is>
          <t>%1RM / PSE</t>
        </is>
      </c>
      <c r="F57" s="32" t="inlineStr">
        <is>
          <t>OBS</t>
        </is>
      </c>
    </row>
    <row r="58" ht="15.75" customHeight="1" s="98">
      <c r="A58" s="14">
        <f>'bloco 02'!$B6</f>
        <v/>
      </c>
      <c r="B58" s="46">
        <f>'bloco 02'!I6</f>
        <v/>
      </c>
      <c r="C58" s="46">
        <f>'bloco 02'!J6</f>
        <v/>
      </c>
      <c r="D58" s="46">
        <f>'bloco 02'!K6</f>
        <v/>
      </c>
      <c r="E58" s="45">
        <f>IFERROR(('bloco 02'!L6),"")</f>
        <v/>
      </c>
      <c r="F58" s="48">
        <f>'bloco 02'!M6</f>
        <v/>
      </c>
    </row>
    <row r="59" ht="15.75" customHeight="1" s="98">
      <c r="A59" s="14">
        <f>'bloco 02'!$B7</f>
        <v/>
      </c>
      <c r="B59" s="46">
        <f>'bloco 02'!I7</f>
        <v/>
      </c>
      <c r="C59" s="46">
        <f>'bloco 02'!J7</f>
        <v/>
      </c>
      <c r="D59" s="46">
        <f>'bloco 02'!K7</f>
        <v/>
      </c>
      <c r="E59" s="45">
        <f>IFERROR(('bloco 02'!L7),"")</f>
        <v/>
      </c>
      <c r="F59" s="48">
        <f>'bloco 02'!M7</f>
        <v/>
      </c>
    </row>
    <row r="60" ht="15.75" customHeight="1" s="98">
      <c r="A60" s="14">
        <f>'bloco 02'!$B8</f>
        <v/>
      </c>
      <c r="B60" s="46">
        <f>'bloco 02'!I8</f>
        <v/>
      </c>
      <c r="C60" s="46">
        <f>'bloco 02'!J8</f>
        <v/>
      </c>
      <c r="D60" s="46">
        <f>'bloco 02'!K8</f>
        <v/>
      </c>
      <c r="E60" s="45">
        <f>IFERROR(('bloco 02'!L8),"")</f>
        <v/>
      </c>
      <c r="F60" s="48">
        <f>'bloco 02'!M8</f>
        <v/>
      </c>
    </row>
    <row r="61" ht="15.75" customHeight="1" s="98">
      <c r="A61" s="14">
        <f>'bloco 02'!$B9</f>
        <v/>
      </c>
      <c r="B61" s="46">
        <f>'bloco 02'!I9</f>
        <v/>
      </c>
      <c r="C61" s="46">
        <f>'bloco 02'!J9</f>
        <v/>
      </c>
      <c r="D61" s="46">
        <f>'bloco 02'!K9</f>
        <v/>
      </c>
      <c r="E61" s="45">
        <f>IFERROR(('bloco 02'!L9),"")</f>
        <v/>
      </c>
      <c r="F61" s="48">
        <f>'bloco 02'!M9</f>
        <v/>
      </c>
    </row>
    <row r="62" ht="15.75" customHeight="1" s="98">
      <c r="A62" s="14">
        <f>'bloco 02'!$B10</f>
        <v/>
      </c>
      <c r="B62" s="46">
        <f>'bloco 02'!I10</f>
        <v/>
      </c>
      <c r="C62" s="46">
        <f>'bloco 02'!J10</f>
        <v/>
      </c>
      <c r="D62" s="46">
        <f>'bloco 02'!K10</f>
        <v/>
      </c>
      <c r="E62" s="45">
        <f>IFERROR(('bloco 02'!L10),"")</f>
        <v/>
      </c>
      <c r="F62" s="48">
        <f>'bloco 02'!M10</f>
        <v/>
      </c>
    </row>
    <row r="63" ht="15.75" customHeight="1" s="98">
      <c r="A63" s="14">
        <f>'bloco 02'!$B11</f>
        <v/>
      </c>
      <c r="B63" s="46">
        <f>'bloco 02'!I11</f>
        <v/>
      </c>
      <c r="C63" s="46">
        <f>'bloco 02'!J11</f>
        <v/>
      </c>
      <c r="D63" s="46">
        <f>'bloco 02'!K11</f>
        <v/>
      </c>
      <c r="E63" s="45">
        <f>IFERROR(('bloco 02'!L11),"")</f>
        <v/>
      </c>
      <c r="F63" s="48">
        <f>'bloco 02'!M11</f>
        <v/>
      </c>
    </row>
    <row r="64" ht="15.75" customHeight="1" s="98">
      <c r="A64" s="14">
        <f>'bloco 02'!$B12</f>
        <v/>
      </c>
      <c r="B64" s="46">
        <f>'bloco 02'!I12</f>
        <v/>
      </c>
      <c r="C64" s="46">
        <f>'bloco 02'!J12</f>
        <v/>
      </c>
      <c r="D64" s="46">
        <f>'bloco 02'!K12</f>
        <v/>
      </c>
      <c r="E64" s="45">
        <f>IFERROR(('bloco 02'!L12),"")</f>
        <v/>
      </c>
      <c r="F64" s="48">
        <f>'bloco 02'!M12</f>
        <v/>
      </c>
    </row>
    <row r="65" ht="15.75" customHeight="1" s="98">
      <c r="A65" s="14">
        <f>'bloco 02'!$B13</f>
        <v/>
      </c>
      <c r="B65" s="46">
        <f>'bloco 02'!I13</f>
        <v/>
      </c>
      <c r="C65" s="46">
        <f>'bloco 02'!J13</f>
        <v/>
      </c>
      <c r="D65" s="46">
        <f>'bloco 02'!K13</f>
        <v/>
      </c>
      <c r="E65" s="45">
        <f>IFERROR(('bloco 02'!L13),"")</f>
        <v/>
      </c>
      <c r="F65" s="48">
        <f>'bloco 02'!M13</f>
        <v/>
      </c>
    </row>
    <row r="66" ht="15.75" customHeight="1" s="98">
      <c r="A66" s="14">
        <f>'bloco 02'!$B14</f>
        <v/>
      </c>
      <c r="B66" s="46">
        <f>'bloco 02'!I14</f>
        <v/>
      </c>
      <c r="C66" s="46">
        <f>'bloco 02'!J14</f>
        <v/>
      </c>
      <c r="D66" s="46">
        <f>'bloco 02'!K14</f>
        <v/>
      </c>
      <c r="E66" s="45">
        <f>IFERROR(('bloco 02'!L14),"")</f>
        <v/>
      </c>
      <c r="F66" s="48">
        <f>'bloco 02'!M14</f>
        <v/>
      </c>
    </row>
    <row r="67" ht="15.75" customHeight="1" s="98">
      <c r="A67" s="14">
        <f>'bloco 02'!$B15</f>
        <v/>
      </c>
      <c r="B67" s="46">
        <f>'bloco 02'!I15</f>
        <v/>
      </c>
      <c r="C67" s="46">
        <f>'bloco 02'!J15</f>
        <v/>
      </c>
      <c r="D67" s="46">
        <f>'bloco 02'!K15</f>
        <v/>
      </c>
      <c r="E67" s="45">
        <f>IFERROR(('bloco 02'!L15),"")</f>
        <v/>
      </c>
      <c r="F67" s="48">
        <f>'bloco 02'!M15</f>
        <v/>
      </c>
    </row>
    <row r="68" ht="15.75" customHeight="1" s="98">
      <c r="A68" s="29" t="inlineStr">
        <is>
          <t>TREINO 02</t>
        </is>
      </c>
    </row>
    <row r="69" ht="15.75" customHeight="1" s="98">
      <c r="A69" s="31" t="n"/>
      <c r="B69" s="31" t="inlineStr">
        <is>
          <t>SETS</t>
        </is>
      </c>
      <c r="C69" s="32" t="inlineStr">
        <is>
          <t>REPS</t>
        </is>
      </c>
      <c r="D69" s="32" t="inlineStr">
        <is>
          <t>KG</t>
        </is>
      </c>
      <c r="E69" s="32" t="inlineStr">
        <is>
          <t>%1RM / PSE</t>
        </is>
      </c>
      <c r="F69" s="32" t="inlineStr">
        <is>
          <t>OBS</t>
        </is>
      </c>
    </row>
    <row r="70" ht="15.75" customHeight="1" s="98">
      <c r="A70" s="14">
        <f>'bloco 02'!$B21</f>
        <v/>
      </c>
      <c r="B70" s="46">
        <f>'bloco 02'!I21</f>
        <v/>
      </c>
      <c r="C70" s="46">
        <f>'bloco 02'!J21</f>
        <v/>
      </c>
      <c r="D70" s="46">
        <f>'bloco 02'!K21</f>
        <v/>
      </c>
      <c r="E70" s="45">
        <f>IFERROR(('bloco 02'!L21),"")</f>
        <v/>
      </c>
      <c r="F70" s="48">
        <f>'bloco 02'!M21</f>
        <v/>
      </c>
    </row>
    <row r="71" ht="15.75" customHeight="1" s="98">
      <c r="A71" s="14">
        <f>'bloco 02'!$B22</f>
        <v/>
      </c>
      <c r="B71" s="46">
        <f>'bloco 02'!I22</f>
        <v/>
      </c>
      <c r="C71" s="46">
        <f>'bloco 02'!J22</f>
        <v/>
      </c>
      <c r="D71" s="46">
        <f>'bloco 02'!K22</f>
        <v/>
      </c>
      <c r="E71" s="45">
        <f>IFERROR(('bloco 02'!L22),"")</f>
        <v/>
      </c>
      <c r="F71" s="48">
        <f>'bloco 02'!M22</f>
        <v/>
      </c>
    </row>
    <row r="72" ht="15.75" customHeight="1" s="98">
      <c r="A72" s="14">
        <f>'bloco 02'!$B23</f>
        <v/>
      </c>
      <c r="B72" s="46">
        <f>'bloco 02'!I23</f>
        <v/>
      </c>
      <c r="C72" s="46">
        <f>'bloco 02'!J23</f>
        <v/>
      </c>
      <c r="D72" s="46">
        <f>'bloco 02'!K23</f>
        <v/>
      </c>
      <c r="E72" s="45">
        <f>IFERROR(('bloco 02'!L23),"")</f>
        <v/>
      </c>
      <c r="F72" s="48">
        <f>'bloco 02'!M23</f>
        <v/>
      </c>
    </row>
    <row r="73" ht="15.75" customHeight="1" s="98">
      <c r="A73" s="14">
        <f>'bloco 02'!$B24</f>
        <v/>
      </c>
      <c r="B73" s="46">
        <f>'bloco 02'!I24</f>
        <v/>
      </c>
      <c r="C73" s="46">
        <f>'bloco 02'!J24</f>
        <v/>
      </c>
      <c r="D73" s="46">
        <f>'bloco 02'!K24</f>
        <v/>
      </c>
      <c r="E73" s="45">
        <f>IFERROR(('bloco 02'!L24),"")</f>
        <v/>
      </c>
      <c r="F73" s="48">
        <f>'bloco 02'!M24</f>
        <v/>
      </c>
    </row>
    <row r="74" ht="15.75" customHeight="1" s="98">
      <c r="A74" s="14">
        <f>'bloco 02'!$B25</f>
        <v/>
      </c>
      <c r="B74" s="46">
        <f>'bloco 02'!I25</f>
        <v/>
      </c>
      <c r="C74" s="46">
        <f>'bloco 02'!J25</f>
        <v/>
      </c>
      <c r="D74" s="46">
        <f>'bloco 02'!K25</f>
        <v/>
      </c>
      <c r="E74" s="45">
        <f>IFERROR(('bloco 02'!L25),"")</f>
        <v/>
      </c>
      <c r="F74" s="48">
        <f>'bloco 02'!M25</f>
        <v/>
      </c>
    </row>
    <row r="75" ht="15.75" customHeight="1" s="98">
      <c r="A75" s="14">
        <f>'bloco 02'!$B26</f>
        <v/>
      </c>
      <c r="B75" s="46">
        <f>'bloco 02'!I26</f>
        <v/>
      </c>
      <c r="C75" s="46">
        <f>'bloco 02'!J26</f>
        <v/>
      </c>
      <c r="D75" s="46">
        <f>'bloco 02'!K26</f>
        <v/>
      </c>
      <c r="E75" s="45">
        <f>IFERROR(('bloco 02'!L26),"")</f>
        <v/>
      </c>
      <c r="F75" s="48">
        <f>'bloco 02'!M26</f>
        <v/>
      </c>
    </row>
    <row r="76" ht="15.75" customHeight="1" s="98">
      <c r="A76" s="14">
        <f>'bloco 02'!$B27</f>
        <v/>
      </c>
      <c r="B76" s="46">
        <f>'bloco 02'!I27</f>
        <v/>
      </c>
      <c r="C76" s="46">
        <f>'bloco 02'!J27</f>
        <v/>
      </c>
      <c r="D76" s="46">
        <f>'bloco 02'!K27</f>
        <v/>
      </c>
      <c r="E76" s="45">
        <f>IFERROR(('bloco 02'!L27),"")</f>
        <v/>
      </c>
      <c r="F76" s="48">
        <f>'bloco 02'!M27</f>
        <v/>
      </c>
    </row>
    <row r="77" ht="15.75" customHeight="1" s="98">
      <c r="A77" s="14">
        <f>'bloco 02'!$B28</f>
        <v/>
      </c>
      <c r="B77" s="46">
        <f>'bloco 02'!I28</f>
        <v/>
      </c>
      <c r="C77" s="46">
        <f>'bloco 02'!J28</f>
        <v/>
      </c>
      <c r="D77" s="46">
        <f>'bloco 02'!K28</f>
        <v/>
      </c>
      <c r="E77" s="45">
        <f>IFERROR(('bloco 02'!L28),"")</f>
        <v/>
      </c>
      <c r="F77" s="48">
        <f>'bloco 02'!M28</f>
        <v/>
      </c>
    </row>
    <row r="78" ht="15.75" customHeight="1" s="98">
      <c r="A78" s="14">
        <f>'bloco 02'!$B29</f>
        <v/>
      </c>
      <c r="B78" s="46">
        <f>'bloco 02'!I29</f>
        <v/>
      </c>
      <c r="C78" s="46">
        <f>'bloco 02'!J29</f>
        <v/>
      </c>
      <c r="D78" s="46">
        <f>'bloco 02'!K29</f>
        <v/>
      </c>
      <c r="E78" s="45">
        <f>IFERROR(('bloco 02'!L29),"")</f>
        <v/>
      </c>
      <c r="F78" s="48">
        <f>'bloco 02'!M29</f>
        <v/>
      </c>
    </row>
    <row r="79" ht="15.75" customHeight="1" s="98">
      <c r="A79" s="14">
        <f>'bloco 02'!$B30</f>
        <v/>
      </c>
      <c r="B79" s="46">
        <f>'bloco 02'!I30</f>
        <v/>
      </c>
      <c r="C79" s="46">
        <f>'bloco 02'!J30</f>
        <v/>
      </c>
      <c r="D79" s="46">
        <f>'bloco 02'!K30</f>
        <v/>
      </c>
      <c r="E79" s="45">
        <f>IFERROR(('bloco 02'!L30),"")</f>
        <v/>
      </c>
      <c r="F79" s="48">
        <f>'bloco 02'!M30</f>
        <v/>
      </c>
    </row>
    <row r="80" ht="15.75" customHeight="1" s="98">
      <c r="A80" s="29" t="inlineStr">
        <is>
          <t>TREINO 03</t>
        </is>
      </c>
    </row>
    <row r="81" ht="15.75" customHeight="1" s="98">
      <c r="A81" s="31" t="n"/>
      <c r="B81" s="31" t="inlineStr">
        <is>
          <t>SETS</t>
        </is>
      </c>
      <c r="C81" s="32" t="inlineStr">
        <is>
          <t>REPS</t>
        </is>
      </c>
      <c r="D81" s="32" t="inlineStr">
        <is>
          <t>KG</t>
        </is>
      </c>
      <c r="E81" s="32" t="inlineStr">
        <is>
          <t>%1RM / PSE</t>
        </is>
      </c>
      <c r="F81" s="32" t="inlineStr">
        <is>
          <t>OBS</t>
        </is>
      </c>
    </row>
    <row r="82" ht="15.75" customHeight="1" s="98">
      <c r="A82" s="14">
        <f>'bloco 02'!$B36</f>
        <v/>
      </c>
      <c r="B82" s="46">
        <f>'bloco 02'!I36</f>
        <v/>
      </c>
      <c r="C82" s="46">
        <f>'bloco 02'!J36</f>
        <v/>
      </c>
      <c r="D82" s="46">
        <f>'bloco 02'!K36</f>
        <v/>
      </c>
      <c r="E82" s="45">
        <f>IFERROR(('bloco 02'!L36),"")</f>
        <v/>
      </c>
      <c r="F82" s="48">
        <f>'bloco 02'!M36</f>
        <v/>
      </c>
    </row>
    <row r="83" ht="15.75" customHeight="1" s="98">
      <c r="A83" s="14">
        <f>'bloco 02'!$B37</f>
        <v/>
      </c>
      <c r="B83" s="46">
        <f>'bloco 02'!I37</f>
        <v/>
      </c>
      <c r="C83" s="46">
        <f>'bloco 02'!J37</f>
        <v/>
      </c>
      <c r="D83" s="46">
        <f>'bloco 02'!K37</f>
        <v/>
      </c>
      <c r="E83" s="45">
        <f>IFERROR(('bloco 02'!L37),"")</f>
        <v/>
      </c>
      <c r="F83" s="48">
        <f>'bloco 02'!M37</f>
        <v/>
      </c>
    </row>
    <row r="84" ht="15.75" customHeight="1" s="98">
      <c r="A84" s="14">
        <f>'bloco 02'!$B38</f>
        <v/>
      </c>
      <c r="B84" s="46">
        <f>'bloco 02'!I38</f>
        <v/>
      </c>
      <c r="C84" s="46">
        <f>'bloco 02'!J38</f>
        <v/>
      </c>
      <c r="D84" s="46">
        <f>'bloco 02'!K38</f>
        <v/>
      </c>
      <c r="E84" s="45">
        <f>IFERROR(('bloco 02'!L38),"")</f>
        <v/>
      </c>
      <c r="F84" s="48">
        <f>'bloco 02'!M38</f>
        <v/>
      </c>
    </row>
    <row r="85" ht="15.75" customHeight="1" s="98">
      <c r="A85" s="14">
        <f>'bloco 02'!$B39</f>
        <v/>
      </c>
      <c r="B85" s="46">
        <f>'bloco 02'!I39</f>
        <v/>
      </c>
      <c r="C85" s="46">
        <f>'bloco 02'!J39</f>
        <v/>
      </c>
      <c r="D85" s="46">
        <f>'bloco 02'!K39</f>
        <v/>
      </c>
      <c r="E85" s="45">
        <f>IFERROR(('bloco 02'!L39),"")</f>
        <v/>
      </c>
      <c r="F85" s="48">
        <f>'bloco 02'!M39</f>
        <v/>
      </c>
    </row>
    <row r="86" ht="15.75" customHeight="1" s="98">
      <c r="A86" s="14">
        <f>'bloco 02'!$B40</f>
        <v/>
      </c>
      <c r="B86" s="46">
        <f>'bloco 02'!I40</f>
        <v/>
      </c>
      <c r="C86" s="46">
        <f>'bloco 02'!J40</f>
        <v/>
      </c>
      <c r="D86" s="46">
        <f>'bloco 02'!K40</f>
        <v/>
      </c>
      <c r="E86" s="45">
        <f>IFERROR(('bloco 02'!L40),"")</f>
        <v/>
      </c>
      <c r="F86" s="48">
        <f>'bloco 02'!M40</f>
        <v/>
      </c>
    </row>
    <row r="87" ht="15.75" customHeight="1" s="98">
      <c r="A87" s="14">
        <f>'bloco 02'!$B41</f>
        <v/>
      </c>
      <c r="B87" s="46">
        <f>'bloco 02'!I41</f>
        <v/>
      </c>
      <c r="C87" s="46">
        <f>'bloco 02'!J41</f>
        <v/>
      </c>
      <c r="D87" s="46">
        <f>'bloco 02'!K41</f>
        <v/>
      </c>
      <c r="E87" s="45">
        <f>IFERROR(('bloco 02'!L41),"")</f>
        <v/>
      </c>
      <c r="F87" s="48">
        <f>'bloco 02'!M41</f>
        <v/>
      </c>
    </row>
    <row r="88" ht="15.75" customHeight="1" s="98">
      <c r="A88" s="14">
        <f>'bloco 02'!$B42</f>
        <v/>
      </c>
      <c r="B88" s="46">
        <f>'bloco 02'!I42</f>
        <v/>
      </c>
      <c r="C88" s="46">
        <f>'bloco 02'!J42</f>
        <v/>
      </c>
      <c r="D88" s="46">
        <f>'bloco 02'!K42</f>
        <v/>
      </c>
      <c r="E88" s="45">
        <f>IFERROR(('bloco 02'!L42),"")</f>
        <v/>
      </c>
      <c r="F88" s="48">
        <f>'bloco 02'!M42</f>
        <v/>
      </c>
    </row>
    <row r="89" ht="15.75" customHeight="1" s="98">
      <c r="A89" s="14">
        <f>'bloco 02'!$B43</f>
        <v/>
      </c>
      <c r="B89" s="46">
        <f>'bloco 02'!I43</f>
        <v/>
      </c>
      <c r="C89" s="46">
        <f>'bloco 02'!J43</f>
        <v/>
      </c>
      <c r="D89" s="46">
        <f>'bloco 02'!K43</f>
        <v/>
      </c>
      <c r="E89" s="45">
        <f>IFERROR(('bloco 02'!L43),"")</f>
        <v/>
      </c>
      <c r="F89" s="48">
        <f>'bloco 02'!M43</f>
        <v/>
      </c>
    </row>
    <row r="90" ht="15.75" customHeight="1" s="98">
      <c r="A90" s="14">
        <f>'bloco 02'!$B44</f>
        <v/>
      </c>
      <c r="B90" s="46">
        <f>'bloco 02'!I44</f>
        <v/>
      </c>
      <c r="C90" s="46">
        <f>'bloco 02'!J44</f>
        <v/>
      </c>
      <c r="D90" s="46">
        <f>'bloco 02'!K44</f>
        <v/>
      </c>
      <c r="E90" s="45">
        <f>IFERROR(('bloco 02'!L44),"")</f>
        <v/>
      </c>
      <c r="F90" s="48">
        <f>'bloco 02'!M44</f>
        <v/>
      </c>
    </row>
    <row r="91" ht="15.75" customHeight="1" s="98">
      <c r="A91" s="14">
        <f>'bloco 02'!$B45</f>
        <v/>
      </c>
      <c r="B91" s="46">
        <f>'bloco 02'!I45</f>
        <v/>
      </c>
      <c r="C91" s="46">
        <f>'bloco 02'!J45</f>
        <v/>
      </c>
      <c r="D91" s="46">
        <f>'bloco 02'!K45</f>
        <v/>
      </c>
      <c r="E91" s="45">
        <f>IFERROR(('bloco 02'!L45),"")</f>
        <v/>
      </c>
      <c r="F91" s="48">
        <f>'bloco 02'!M45</f>
        <v/>
      </c>
    </row>
    <row r="92" ht="15.75" customHeight="1" s="98">
      <c r="A92" s="46" t="n"/>
    </row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>
      <c r="A109" s="43">
        <f>'bloco 02'!O3</f>
        <v/>
      </c>
    </row>
    <row r="110" ht="15.75" customHeight="1" s="98">
      <c r="A110" s="44" t="inlineStr">
        <is>
          <t>SEMANA 03</t>
        </is>
      </c>
    </row>
    <row r="111" ht="15.75" customHeight="1" s="98">
      <c r="A111" s="29" t="inlineStr">
        <is>
          <t>TREINO 01</t>
        </is>
      </c>
    </row>
    <row r="112" ht="15.75" customHeight="1" s="98">
      <c r="A112" s="31" t="n"/>
      <c r="B112" s="31" t="inlineStr">
        <is>
          <t>SETS</t>
        </is>
      </c>
      <c r="C112" s="32" t="inlineStr">
        <is>
          <t>REPS</t>
        </is>
      </c>
      <c r="D112" s="32" t="inlineStr">
        <is>
          <t>KG</t>
        </is>
      </c>
      <c r="E112" s="32" t="inlineStr">
        <is>
          <t>%1RM / PSE</t>
        </is>
      </c>
      <c r="F112" s="32" t="inlineStr">
        <is>
          <t>OBS</t>
        </is>
      </c>
    </row>
    <row r="113" ht="15.75" customHeight="1" s="98">
      <c r="A113" s="14">
        <f>'bloco 02'!$B6</f>
        <v/>
      </c>
      <c r="B113" s="46">
        <f>'bloco 02'!O6</f>
        <v/>
      </c>
      <c r="C113" s="46">
        <f>'bloco 02'!P6</f>
        <v/>
      </c>
      <c r="D113" s="46">
        <f>'bloco 02'!Q6</f>
        <v/>
      </c>
      <c r="E113" s="45">
        <f>IFERROR(('bloco 02'!R6),"")</f>
        <v/>
      </c>
      <c r="F113" s="48">
        <f>'bloco 02'!S6</f>
        <v/>
      </c>
    </row>
    <row r="114" ht="15.75" customHeight="1" s="98">
      <c r="A114" s="14">
        <f>'bloco 02'!$B7</f>
        <v/>
      </c>
      <c r="B114" s="46">
        <f>'bloco 02'!O7</f>
        <v/>
      </c>
      <c r="C114" s="46">
        <f>'bloco 02'!P7</f>
        <v/>
      </c>
      <c r="D114" s="46">
        <f>'bloco 02'!Q7</f>
        <v/>
      </c>
      <c r="E114" s="45">
        <f>IFERROR(('bloco 02'!R7),"")</f>
        <v/>
      </c>
      <c r="F114" s="48">
        <f>'bloco 02'!S7</f>
        <v/>
      </c>
    </row>
    <row r="115" ht="15.75" customHeight="1" s="98">
      <c r="A115" s="14">
        <f>'bloco 02'!$B8</f>
        <v/>
      </c>
      <c r="B115" s="46">
        <f>'bloco 02'!O8</f>
        <v/>
      </c>
      <c r="C115" s="46">
        <f>'bloco 02'!P8</f>
        <v/>
      </c>
      <c r="D115" s="46">
        <f>'bloco 02'!Q8</f>
        <v/>
      </c>
      <c r="E115" s="45">
        <f>IFERROR(('bloco 02'!R8),"")</f>
        <v/>
      </c>
      <c r="F115" s="48">
        <f>'bloco 02'!S8</f>
        <v/>
      </c>
    </row>
    <row r="116" ht="15.75" customHeight="1" s="98">
      <c r="A116" s="14">
        <f>'bloco 02'!$B9</f>
        <v/>
      </c>
      <c r="B116" s="46">
        <f>'bloco 02'!O9</f>
        <v/>
      </c>
      <c r="C116" s="46">
        <f>'bloco 02'!P9</f>
        <v/>
      </c>
      <c r="D116" s="46">
        <f>'bloco 02'!Q9</f>
        <v/>
      </c>
      <c r="E116" s="45">
        <f>IFERROR(('bloco 02'!R9),"")</f>
        <v/>
      </c>
      <c r="F116" s="48">
        <f>'bloco 02'!S9</f>
        <v/>
      </c>
    </row>
    <row r="117" ht="15.75" customHeight="1" s="98">
      <c r="A117" s="14">
        <f>'bloco 02'!$B10</f>
        <v/>
      </c>
      <c r="B117" s="46">
        <f>'bloco 02'!O10</f>
        <v/>
      </c>
      <c r="C117" s="46">
        <f>'bloco 02'!P10</f>
        <v/>
      </c>
      <c r="D117" s="46">
        <f>'bloco 02'!Q10</f>
        <v/>
      </c>
      <c r="E117" s="45">
        <f>IFERROR(('bloco 02'!R10),"")</f>
        <v/>
      </c>
      <c r="F117" s="48">
        <f>'bloco 02'!S10</f>
        <v/>
      </c>
    </row>
    <row r="118" ht="15.75" customHeight="1" s="98">
      <c r="A118" s="14">
        <f>'bloco 02'!$B11</f>
        <v/>
      </c>
      <c r="B118" s="46">
        <f>'bloco 02'!O11</f>
        <v/>
      </c>
      <c r="C118" s="46">
        <f>'bloco 02'!P11</f>
        <v/>
      </c>
      <c r="D118" s="46">
        <f>'bloco 02'!Q11</f>
        <v/>
      </c>
      <c r="E118" s="45">
        <f>IFERROR(('bloco 02'!R11),"")</f>
        <v/>
      </c>
      <c r="F118" s="48">
        <f>'bloco 02'!S11</f>
        <v/>
      </c>
    </row>
    <row r="119" ht="15.75" customHeight="1" s="98">
      <c r="A119" s="14">
        <f>'bloco 02'!$B12</f>
        <v/>
      </c>
      <c r="B119" s="46">
        <f>'bloco 02'!O12</f>
        <v/>
      </c>
      <c r="C119" s="46">
        <f>'bloco 02'!P12</f>
        <v/>
      </c>
      <c r="D119" s="46">
        <f>'bloco 02'!Q12</f>
        <v/>
      </c>
      <c r="E119" s="45">
        <f>IFERROR(('bloco 02'!R12),"")</f>
        <v/>
      </c>
      <c r="F119" s="48">
        <f>'bloco 02'!S12</f>
        <v/>
      </c>
    </row>
    <row r="120" ht="15.75" customHeight="1" s="98">
      <c r="A120" s="14">
        <f>'bloco 02'!$B13</f>
        <v/>
      </c>
      <c r="B120" s="46">
        <f>'bloco 02'!O13</f>
        <v/>
      </c>
      <c r="C120" s="46">
        <f>'bloco 02'!P13</f>
        <v/>
      </c>
      <c r="D120" s="46">
        <f>'bloco 02'!Q13</f>
        <v/>
      </c>
      <c r="E120" s="45">
        <f>IFERROR(('bloco 02'!R13),"")</f>
        <v/>
      </c>
      <c r="F120" s="48">
        <f>'bloco 02'!S13</f>
        <v/>
      </c>
    </row>
    <row r="121" ht="15.75" customHeight="1" s="98">
      <c r="A121" s="14">
        <f>'bloco 02'!$B14</f>
        <v/>
      </c>
      <c r="B121" s="46">
        <f>'bloco 02'!O14</f>
        <v/>
      </c>
      <c r="C121" s="46">
        <f>'bloco 02'!P14</f>
        <v/>
      </c>
      <c r="D121" s="46">
        <f>'bloco 02'!Q14</f>
        <v/>
      </c>
      <c r="E121" s="45">
        <f>IFERROR(('bloco 02'!R14),"")</f>
        <v/>
      </c>
      <c r="F121" s="48">
        <f>'bloco 02'!S14</f>
        <v/>
      </c>
    </row>
    <row r="122" ht="15.75" customHeight="1" s="98">
      <c r="A122" s="14">
        <f>'bloco 02'!$B15</f>
        <v/>
      </c>
      <c r="B122" s="46">
        <f>'bloco 02'!O15</f>
        <v/>
      </c>
      <c r="C122" s="46">
        <f>'bloco 02'!P15</f>
        <v/>
      </c>
      <c r="D122" s="46">
        <f>'bloco 02'!Q15</f>
        <v/>
      </c>
      <c r="E122" s="45">
        <f>IFERROR(('bloco 02'!R15),"")</f>
        <v/>
      </c>
      <c r="F122" s="48">
        <f>'bloco 02'!S15</f>
        <v/>
      </c>
    </row>
    <row r="123" ht="15.75" customHeight="1" s="98">
      <c r="A123" s="29" t="inlineStr">
        <is>
          <t>TREINO 02</t>
        </is>
      </c>
    </row>
    <row r="124" ht="15.75" customHeight="1" s="98">
      <c r="A124" s="31" t="n"/>
      <c r="B124" s="31" t="inlineStr">
        <is>
          <t>SETS</t>
        </is>
      </c>
      <c r="C124" s="32" t="inlineStr">
        <is>
          <t>REPS</t>
        </is>
      </c>
      <c r="D124" s="32" t="inlineStr">
        <is>
          <t>KG</t>
        </is>
      </c>
      <c r="E124" s="32" t="inlineStr">
        <is>
          <t>%1RM / PSE</t>
        </is>
      </c>
      <c r="F124" s="32" t="inlineStr">
        <is>
          <t>OBS</t>
        </is>
      </c>
    </row>
    <row r="125" ht="15.75" customHeight="1" s="98">
      <c r="A125" s="14">
        <f>'bloco 02'!$B21</f>
        <v/>
      </c>
      <c r="B125" s="46">
        <f>'bloco 02'!O21</f>
        <v/>
      </c>
      <c r="C125" s="46">
        <f>'bloco 02'!P21</f>
        <v/>
      </c>
      <c r="D125" s="46">
        <f>'bloco 02'!Q21</f>
        <v/>
      </c>
      <c r="E125" s="45">
        <f>IFERROR(('bloco 02'!R21),"")</f>
        <v/>
      </c>
      <c r="F125" s="48">
        <f>'bloco 02'!S21</f>
        <v/>
      </c>
    </row>
    <row r="126" ht="15.75" customHeight="1" s="98">
      <c r="A126" s="14">
        <f>'bloco 02'!$B22</f>
        <v/>
      </c>
      <c r="B126" s="46">
        <f>'bloco 02'!O22</f>
        <v/>
      </c>
      <c r="C126" s="46">
        <f>'bloco 02'!P22</f>
        <v/>
      </c>
      <c r="D126" s="46">
        <f>'bloco 02'!Q22</f>
        <v/>
      </c>
      <c r="E126" s="45">
        <f>IFERROR(('bloco 02'!R22),"")</f>
        <v/>
      </c>
      <c r="F126" s="48">
        <f>'bloco 02'!S22</f>
        <v/>
      </c>
    </row>
    <row r="127" ht="15.75" customHeight="1" s="98">
      <c r="A127" s="14">
        <f>'bloco 02'!$B23</f>
        <v/>
      </c>
      <c r="B127" s="46">
        <f>'bloco 02'!O23</f>
        <v/>
      </c>
      <c r="C127" s="46">
        <f>'bloco 02'!P23</f>
        <v/>
      </c>
      <c r="D127" s="46">
        <f>'bloco 02'!Q23</f>
        <v/>
      </c>
      <c r="E127" s="45">
        <f>IFERROR(('bloco 02'!R23),"")</f>
        <v/>
      </c>
      <c r="F127" s="48">
        <f>'bloco 02'!S23</f>
        <v/>
      </c>
    </row>
    <row r="128" ht="15.75" customHeight="1" s="98">
      <c r="A128" s="14">
        <f>'bloco 02'!$B24</f>
        <v/>
      </c>
      <c r="B128" s="46">
        <f>'bloco 02'!O24</f>
        <v/>
      </c>
      <c r="C128" s="46">
        <f>'bloco 02'!P24</f>
        <v/>
      </c>
      <c r="D128" s="46">
        <f>'bloco 02'!Q24</f>
        <v/>
      </c>
      <c r="E128" s="45">
        <f>IFERROR(('bloco 02'!R24),"")</f>
        <v/>
      </c>
      <c r="F128" s="48">
        <f>'bloco 02'!S24</f>
        <v/>
      </c>
    </row>
    <row r="129" ht="15.75" customHeight="1" s="98">
      <c r="A129" s="14">
        <f>'bloco 02'!$B25</f>
        <v/>
      </c>
      <c r="B129" s="46">
        <f>'bloco 02'!O25</f>
        <v/>
      </c>
      <c r="C129" s="46">
        <f>'bloco 02'!P25</f>
        <v/>
      </c>
      <c r="D129" s="46">
        <f>'bloco 02'!Q25</f>
        <v/>
      </c>
      <c r="E129" s="45">
        <f>IFERROR(('bloco 02'!R25),"")</f>
        <v/>
      </c>
      <c r="F129" s="48">
        <f>'bloco 02'!S25</f>
        <v/>
      </c>
    </row>
    <row r="130" ht="15.75" customHeight="1" s="98">
      <c r="A130" s="14">
        <f>'bloco 02'!$B26</f>
        <v/>
      </c>
      <c r="B130" s="46">
        <f>'bloco 02'!O26</f>
        <v/>
      </c>
      <c r="C130" s="46">
        <f>'bloco 02'!P26</f>
        <v/>
      </c>
      <c r="D130" s="46">
        <f>'bloco 02'!Q26</f>
        <v/>
      </c>
      <c r="E130" s="45">
        <f>IFERROR(('bloco 02'!R26),"")</f>
        <v/>
      </c>
      <c r="F130" s="48">
        <f>'bloco 02'!S26</f>
        <v/>
      </c>
    </row>
    <row r="131" ht="15.75" customHeight="1" s="98">
      <c r="A131" s="14">
        <f>'bloco 02'!$B27</f>
        <v/>
      </c>
      <c r="B131" s="46">
        <f>'bloco 02'!O27</f>
        <v/>
      </c>
      <c r="C131" s="46">
        <f>'bloco 02'!P27</f>
        <v/>
      </c>
      <c r="D131" s="46">
        <f>'bloco 02'!Q27</f>
        <v/>
      </c>
      <c r="E131" s="45">
        <f>IFERROR(('bloco 02'!R27),"")</f>
        <v/>
      </c>
      <c r="F131" s="48">
        <f>'bloco 02'!S27</f>
        <v/>
      </c>
    </row>
    <row r="132" ht="15.75" customHeight="1" s="98">
      <c r="A132" s="14">
        <f>'bloco 02'!$B28</f>
        <v/>
      </c>
      <c r="B132" s="46">
        <f>'bloco 02'!O28</f>
        <v/>
      </c>
      <c r="C132" s="46">
        <f>'bloco 02'!P28</f>
        <v/>
      </c>
      <c r="D132" s="46">
        <f>'bloco 02'!Q28</f>
        <v/>
      </c>
      <c r="E132" s="45">
        <f>IFERROR(('bloco 02'!R28),"")</f>
        <v/>
      </c>
      <c r="F132" s="48">
        <f>'bloco 02'!S28</f>
        <v/>
      </c>
    </row>
    <row r="133" ht="15.75" customHeight="1" s="98">
      <c r="A133" s="14">
        <f>'bloco 02'!$B29</f>
        <v/>
      </c>
      <c r="B133" s="46">
        <f>'bloco 02'!O29</f>
        <v/>
      </c>
      <c r="C133" s="46">
        <f>'bloco 02'!P29</f>
        <v/>
      </c>
      <c r="D133" s="46">
        <f>'bloco 02'!Q29</f>
        <v/>
      </c>
      <c r="E133" s="45">
        <f>IFERROR(('bloco 02'!R29),"")</f>
        <v/>
      </c>
      <c r="F133" s="48">
        <f>'bloco 02'!S29</f>
        <v/>
      </c>
    </row>
    <row r="134" ht="15.75" customHeight="1" s="98">
      <c r="A134" s="14">
        <f>'bloco 02'!$B30</f>
        <v/>
      </c>
      <c r="B134" s="46">
        <f>'bloco 02'!O30</f>
        <v/>
      </c>
      <c r="C134" s="46">
        <f>'bloco 02'!P30</f>
        <v/>
      </c>
      <c r="D134" s="46">
        <f>'bloco 02'!Q30</f>
        <v/>
      </c>
      <c r="E134" s="45">
        <f>IFERROR(('bloco 02'!R30),"")</f>
        <v/>
      </c>
      <c r="F134" s="48">
        <f>'bloco 02'!S30</f>
        <v/>
      </c>
    </row>
    <row r="135" ht="15.75" customHeight="1" s="98">
      <c r="A135" s="29" t="inlineStr">
        <is>
          <t>TREINO 03</t>
        </is>
      </c>
    </row>
    <row r="136" ht="15.75" customHeight="1" s="98">
      <c r="A136" s="31" t="n"/>
      <c r="B136" s="31" t="inlineStr">
        <is>
          <t>SETS</t>
        </is>
      </c>
      <c r="C136" s="32" t="inlineStr">
        <is>
          <t>REPS</t>
        </is>
      </c>
      <c r="D136" s="32" t="inlineStr">
        <is>
          <t>KG</t>
        </is>
      </c>
      <c r="E136" s="32" t="inlineStr">
        <is>
          <t>%1RM / PSE</t>
        </is>
      </c>
      <c r="F136" s="32" t="inlineStr">
        <is>
          <t>OBS</t>
        </is>
      </c>
    </row>
    <row r="137" ht="15.75" customHeight="1" s="98">
      <c r="A137" s="14">
        <f>'bloco 02'!$B36</f>
        <v/>
      </c>
      <c r="B137" s="46">
        <f>'bloco 02'!O36</f>
        <v/>
      </c>
      <c r="C137" s="46">
        <f>'bloco 02'!P36</f>
        <v/>
      </c>
      <c r="D137" s="46">
        <f>'bloco 02'!Q36</f>
        <v/>
      </c>
      <c r="E137" s="45">
        <f>IFERROR(('bloco 02'!R36),"")</f>
        <v/>
      </c>
      <c r="F137" s="48">
        <f>'bloco 02'!S36</f>
        <v/>
      </c>
    </row>
    <row r="138" ht="15.75" customHeight="1" s="98">
      <c r="A138" s="14">
        <f>'bloco 02'!$B37</f>
        <v/>
      </c>
      <c r="B138" s="46">
        <f>'bloco 02'!O37</f>
        <v/>
      </c>
      <c r="C138" s="46">
        <f>'bloco 02'!P37</f>
        <v/>
      </c>
      <c r="D138" s="46">
        <f>'bloco 02'!Q37</f>
        <v/>
      </c>
      <c r="E138" s="45">
        <f>IFERROR(('bloco 02'!R37),"")</f>
        <v/>
      </c>
      <c r="F138" s="48">
        <f>'bloco 02'!S37</f>
        <v/>
      </c>
    </row>
    <row r="139" ht="15.75" customHeight="1" s="98">
      <c r="A139" s="14">
        <f>'bloco 02'!$B38</f>
        <v/>
      </c>
      <c r="B139" s="46">
        <f>'bloco 02'!O38</f>
        <v/>
      </c>
      <c r="C139" s="46">
        <f>'bloco 02'!P38</f>
        <v/>
      </c>
      <c r="D139" s="46">
        <f>'bloco 02'!Q38</f>
        <v/>
      </c>
      <c r="E139" s="45">
        <f>IFERROR(('bloco 02'!R38),"")</f>
        <v/>
      </c>
      <c r="F139" s="48">
        <f>'bloco 02'!S38</f>
        <v/>
      </c>
    </row>
    <row r="140" ht="15.75" customHeight="1" s="98">
      <c r="A140" s="14">
        <f>'bloco 02'!$B39</f>
        <v/>
      </c>
      <c r="B140" s="46">
        <f>'bloco 02'!O39</f>
        <v/>
      </c>
      <c r="C140" s="46">
        <f>'bloco 02'!P39</f>
        <v/>
      </c>
      <c r="D140" s="46">
        <f>'bloco 02'!Q39</f>
        <v/>
      </c>
      <c r="E140" s="45">
        <f>IFERROR(('bloco 02'!R39),"")</f>
        <v/>
      </c>
      <c r="F140" s="48">
        <f>'bloco 02'!S39</f>
        <v/>
      </c>
    </row>
    <row r="141" ht="15.75" customHeight="1" s="98">
      <c r="A141" s="14">
        <f>'bloco 02'!$B40</f>
        <v/>
      </c>
      <c r="B141" s="46">
        <f>'bloco 02'!O40</f>
        <v/>
      </c>
      <c r="C141" s="46">
        <f>'bloco 02'!P40</f>
        <v/>
      </c>
      <c r="D141" s="46">
        <f>'bloco 02'!Q40</f>
        <v/>
      </c>
      <c r="E141" s="45">
        <f>IFERROR(('bloco 02'!R40),"")</f>
        <v/>
      </c>
      <c r="F141" s="48">
        <f>'bloco 02'!S40</f>
        <v/>
      </c>
    </row>
    <row r="142" ht="15.75" customHeight="1" s="98">
      <c r="A142" s="14">
        <f>'bloco 02'!$B41</f>
        <v/>
      </c>
      <c r="B142" s="46">
        <f>'bloco 02'!O41</f>
        <v/>
      </c>
      <c r="C142" s="46">
        <f>'bloco 02'!P41</f>
        <v/>
      </c>
      <c r="D142" s="46">
        <f>'bloco 02'!Q41</f>
        <v/>
      </c>
      <c r="E142" s="45">
        <f>IFERROR(('bloco 02'!R41),"")</f>
        <v/>
      </c>
      <c r="F142" s="48">
        <f>'bloco 02'!S41</f>
        <v/>
      </c>
    </row>
    <row r="143" ht="15.75" customHeight="1" s="98">
      <c r="A143" s="14">
        <f>'bloco 02'!$B42</f>
        <v/>
      </c>
      <c r="B143" s="46">
        <f>'bloco 02'!O42</f>
        <v/>
      </c>
      <c r="C143" s="46">
        <f>'bloco 02'!P42</f>
        <v/>
      </c>
      <c r="D143" s="46">
        <f>'bloco 02'!Q42</f>
        <v/>
      </c>
      <c r="E143" s="45">
        <f>IFERROR(('bloco 02'!R42),"")</f>
        <v/>
      </c>
      <c r="F143" s="48">
        <f>'bloco 02'!S42</f>
        <v/>
      </c>
    </row>
    <row r="144" ht="15.75" customHeight="1" s="98">
      <c r="A144" s="14">
        <f>'bloco 02'!$B43</f>
        <v/>
      </c>
      <c r="B144" s="46">
        <f>'bloco 02'!O43</f>
        <v/>
      </c>
      <c r="C144" s="46">
        <f>'bloco 02'!P43</f>
        <v/>
      </c>
      <c r="D144" s="46">
        <f>'bloco 02'!Q43</f>
        <v/>
      </c>
      <c r="E144" s="45">
        <f>IFERROR(('bloco 02'!R43),"")</f>
        <v/>
      </c>
      <c r="F144" s="48">
        <f>'bloco 02'!S43</f>
        <v/>
      </c>
    </row>
    <row r="145" ht="15.75" customHeight="1" s="98">
      <c r="A145" s="14">
        <f>'bloco 02'!$B44</f>
        <v/>
      </c>
      <c r="B145" s="46">
        <f>'bloco 02'!O44</f>
        <v/>
      </c>
      <c r="C145" s="46">
        <f>'bloco 02'!P44</f>
        <v/>
      </c>
      <c r="D145" s="46">
        <f>'bloco 02'!Q44</f>
        <v/>
      </c>
      <c r="E145" s="45">
        <f>IFERROR(('bloco 02'!R44),"")</f>
        <v/>
      </c>
      <c r="F145" s="48">
        <f>'bloco 02'!S44</f>
        <v/>
      </c>
    </row>
    <row r="146" ht="15.75" customHeight="1" s="98">
      <c r="A146" s="14">
        <f>'bloco 02'!$B45</f>
        <v/>
      </c>
      <c r="B146" s="46">
        <f>'bloco 02'!O45</f>
        <v/>
      </c>
      <c r="C146" s="46">
        <f>'bloco 02'!P45</f>
        <v/>
      </c>
      <c r="D146" s="46">
        <f>'bloco 02'!Q45</f>
        <v/>
      </c>
      <c r="E146" s="45">
        <f>IFERROR(('bloco 02'!R45),"")</f>
        <v/>
      </c>
      <c r="F146" s="48">
        <f>'bloco 02'!S45</f>
        <v/>
      </c>
    </row>
    <row r="147" ht="15.75" customHeight="1" s="98">
      <c r="A147" s="46" t="n"/>
    </row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>
      <c r="A164" s="43">
        <f>'bloco 02'!U3</f>
        <v/>
      </c>
    </row>
    <row r="165" ht="15.75" customHeight="1" s="98">
      <c r="A165" s="44" t="inlineStr">
        <is>
          <t>SEMANA 04</t>
        </is>
      </c>
    </row>
    <row r="166" ht="15.75" customHeight="1" s="98">
      <c r="A166" s="29" t="inlineStr">
        <is>
          <t>TREINO 01</t>
        </is>
      </c>
    </row>
    <row r="167" ht="15.75" customHeight="1" s="98">
      <c r="A167" s="31" t="n"/>
      <c r="B167" s="31" t="inlineStr">
        <is>
          <t>SETS</t>
        </is>
      </c>
      <c r="C167" s="32" t="inlineStr">
        <is>
          <t>REPS</t>
        </is>
      </c>
      <c r="D167" s="32" t="inlineStr">
        <is>
          <t>KG</t>
        </is>
      </c>
      <c r="E167" s="32" t="inlineStr">
        <is>
          <t>%1RM / PSE</t>
        </is>
      </c>
      <c r="F167" s="32" t="inlineStr">
        <is>
          <t>OBS</t>
        </is>
      </c>
    </row>
    <row r="168" ht="15.75" customHeight="1" s="98">
      <c r="A168" s="14">
        <f>'bloco 02'!$B6</f>
        <v/>
      </c>
      <c r="B168" s="46">
        <f>'bloco 02'!U6</f>
        <v/>
      </c>
      <c r="C168" s="46">
        <f>'bloco 02'!V6</f>
        <v/>
      </c>
      <c r="D168" s="46">
        <f>'bloco 02'!W6</f>
        <v/>
      </c>
      <c r="E168" s="45">
        <f>IFERROR(('bloco 02'!X6),"")</f>
        <v/>
      </c>
      <c r="F168" s="48">
        <f>'bloco 02'!Y6</f>
        <v/>
      </c>
    </row>
    <row r="169" ht="15.75" customHeight="1" s="98">
      <c r="A169" s="14">
        <f>'bloco 02'!$B7</f>
        <v/>
      </c>
      <c r="B169" s="46">
        <f>'bloco 02'!U7</f>
        <v/>
      </c>
      <c r="C169" s="46">
        <f>'bloco 02'!V7</f>
        <v/>
      </c>
      <c r="D169" s="46">
        <f>'bloco 02'!W7</f>
        <v/>
      </c>
      <c r="E169" s="45">
        <f>IFERROR(('bloco 02'!X7),"")</f>
        <v/>
      </c>
      <c r="F169" s="48">
        <f>'bloco 02'!Y7</f>
        <v/>
      </c>
    </row>
    <row r="170" ht="15.75" customHeight="1" s="98">
      <c r="A170" s="14">
        <f>'bloco 02'!$B8</f>
        <v/>
      </c>
      <c r="B170" s="46">
        <f>'bloco 02'!U8</f>
        <v/>
      </c>
      <c r="C170" s="46">
        <f>'bloco 02'!V8</f>
        <v/>
      </c>
      <c r="D170" s="46">
        <f>'bloco 02'!W8</f>
        <v/>
      </c>
      <c r="E170" s="45">
        <f>IFERROR(('bloco 02'!X8),"")</f>
        <v/>
      </c>
      <c r="F170" s="48">
        <f>'bloco 02'!Y8</f>
        <v/>
      </c>
    </row>
    <row r="171" ht="15.75" customHeight="1" s="98">
      <c r="A171" s="14">
        <f>'bloco 02'!$B9</f>
        <v/>
      </c>
      <c r="B171" s="46">
        <f>'bloco 02'!U9</f>
        <v/>
      </c>
      <c r="C171" s="46">
        <f>'bloco 02'!V9</f>
        <v/>
      </c>
      <c r="D171" s="46">
        <f>'bloco 02'!W9</f>
        <v/>
      </c>
      <c r="E171" s="45">
        <f>IFERROR(('bloco 02'!X9),"")</f>
        <v/>
      </c>
      <c r="F171" s="48">
        <f>'bloco 02'!Y9</f>
        <v/>
      </c>
    </row>
    <row r="172" ht="15.75" customHeight="1" s="98">
      <c r="A172" s="14">
        <f>'bloco 02'!$B10</f>
        <v/>
      </c>
      <c r="B172" s="46">
        <f>'bloco 02'!U10</f>
        <v/>
      </c>
      <c r="C172" s="46">
        <f>'bloco 02'!V10</f>
        <v/>
      </c>
      <c r="D172" s="46">
        <f>'bloco 02'!W10</f>
        <v/>
      </c>
      <c r="E172" s="45">
        <f>IFERROR(('bloco 02'!X10),"")</f>
        <v/>
      </c>
      <c r="F172" s="48">
        <f>'bloco 02'!Y10</f>
        <v/>
      </c>
    </row>
    <row r="173" ht="15.75" customHeight="1" s="98">
      <c r="A173" s="14">
        <f>'bloco 02'!$B11</f>
        <v/>
      </c>
      <c r="B173" s="46">
        <f>'bloco 02'!U11</f>
        <v/>
      </c>
      <c r="C173" s="46">
        <f>'bloco 02'!V11</f>
        <v/>
      </c>
      <c r="D173" s="46">
        <f>'bloco 02'!W11</f>
        <v/>
      </c>
      <c r="E173" s="45">
        <f>IFERROR(('bloco 02'!X11),"")</f>
        <v/>
      </c>
      <c r="F173" s="48">
        <f>'bloco 02'!Y11</f>
        <v/>
      </c>
    </row>
    <row r="174" ht="15.75" customHeight="1" s="98">
      <c r="A174" s="14">
        <f>'bloco 02'!$B12</f>
        <v/>
      </c>
      <c r="B174" s="46">
        <f>'bloco 02'!U12</f>
        <v/>
      </c>
      <c r="C174" s="46">
        <f>'bloco 02'!V12</f>
        <v/>
      </c>
      <c r="D174" s="46">
        <f>'bloco 02'!W12</f>
        <v/>
      </c>
      <c r="E174" s="45">
        <f>IFERROR(('bloco 02'!X12),"")</f>
        <v/>
      </c>
      <c r="F174" s="48">
        <f>'bloco 02'!Y12</f>
        <v/>
      </c>
    </row>
    <row r="175" ht="15.75" customHeight="1" s="98">
      <c r="A175" s="14">
        <f>'bloco 02'!$B13</f>
        <v/>
      </c>
      <c r="B175" s="46">
        <f>'bloco 02'!U13</f>
        <v/>
      </c>
      <c r="C175" s="46">
        <f>'bloco 02'!V13</f>
        <v/>
      </c>
      <c r="D175" s="46">
        <f>'bloco 02'!W13</f>
        <v/>
      </c>
      <c r="E175" s="45">
        <f>IFERROR(('bloco 02'!X13),"")</f>
        <v/>
      </c>
      <c r="F175" s="48">
        <f>'bloco 02'!Y13</f>
        <v/>
      </c>
    </row>
    <row r="176" ht="15.75" customHeight="1" s="98">
      <c r="A176" s="14">
        <f>'bloco 02'!$B14</f>
        <v/>
      </c>
      <c r="B176" s="46">
        <f>'bloco 02'!U14</f>
        <v/>
      </c>
      <c r="C176" s="46">
        <f>'bloco 02'!V14</f>
        <v/>
      </c>
      <c r="D176" s="46">
        <f>'bloco 02'!W14</f>
        <v/>
      </c>
      <c r="E176" s="45">
        <f>IFERROR(('bloco 02'!X14),"")</f>
        <v/>
      </c>
      <c r="F176" s="48">
        <f>'bloco 02'!Y14</f>
        <v/>
      </c>
    </row>
    <row r="177" ht="15.75" customHeight="1" s="98">
      <c r="A177" s="14">
        <f>'bloco 02'!$B15</f>
        <v/>
      </c>
      <c r="B177" s="46">
        <f>'bloco 02'!U15</f>
        <v/>
      </c>
      <c r="C177" s="46">
        <f>'bloco 02'!V15</f>
        <v/>
      </c>
      <c r="D177" s="46">
        <f>'bloco 02'!W15</f>
        <v/>
      </c>
      <c r="E177" s="45">
        <f>IFERROR(('bloco 02'!X15),"")</f>
        <v/>
      </c>
      <c r="F177" s="48">
        <f>'bloco 02'!Y15</f>
        <v/>
      </c>
    </row>
    <row r="178" ht="15.75" customHeight="1" s="98">
      <c r="A178" s="29" t="inlineStr">
        <is>
          <t>TREINO 02</t>
        </is>
      </c>
    </row>
    <row r="179" ht="15.75" customHeight="1" s="98">
      <c r="A179" s="31" t="n"/>
      <c r="B179" s="31" t="inlineStr">
        <is>
          <t>SETS</t>
        </is>
      </c>
      <c r="C179" s="32" t="inlineStr">
        <is>
          <t>REPS</t>
        </is>
      </c>
      <c r="D179" s="32" t="inlineStr">
        <is>
          <t>KG</t>
        </is>
      </c>
      <c r="E179" s="32" t="inlineStr">
        <is>
          <t>%1RM / PSE</t>
        </is>
      </c>
      <c r="F179" s="32" t="inlineStr">
        <is>
          <t>OBS</t>
        </is>
      </c>
    </row>
    <row r="180" ht="15.75" customHeight="1" s="98">
      <c r="A180" s="14">
        <f>'bloco 02'!$B21</f>
        <v/>
      </c>
      <c r="B180" s="46">
        <f>'bloco 02'!U21</f>
        <v/>
      </c>
      <c r="C180" s="46">
        <f>'bloco 02'!V21</f>
        <v/>
      </c>
      <c r="D180" s="46">
        <f>'bloco 02'!W21</f>
        <v/>
      </c>
      <c r="E180" s="45">
        <f>IFERROR(('bloco 02'!X21),"")</f>
        <v/>
      </c>
      <c r="F180" s="48">
        <f>'bloco 02'!Y21</f>
        <v/>
      </c>
    </row>
    <row r="181" ht="15.75" customHeight="1" s="98">
      <c r="A181" s="14">
        <f>'bloco 02'!$B22</f>
        <v/>
      </c>
      <c r="B181" s="46">
        <f>'bloco 02'!U22</f>
        <v/>
      </c>
      <c r="C181" s="46">
        <f>'bloco 02'!V22</f>
        <v/>
      </c>
      <c r="D181" s="46">
        <f>'bloco 02'!W22</f>
        <v/>
      </c>
      <c r="E181" s="45">
        <f>IFERROR(('bloco 02'!X22),"")</f>
        <v/>
      </c>
      <c r="F181" s="48">
        <f>'bloco 02'!Y22</f>
        <v/>
      </c>
    </row>
    <row r="182" ht="15.75" customHeight="1" s="98">
      <c r="A182" s="14">
        <f>'bloco 02'!$B23</f>
        <v/>
      </c>
      <c r="B182" s="46">
        <f>'bloco 02'!U23</f>
        <v/>
      </c>
      <c r="C182" s="46">
        <f>'bloco 02'!V23</f>
        <v/>
      </c>
      <c r="D182" s="46">
        <f>'bloco 02'!W23</f>
        <v/>
      </c>
      <c r="E182" s="45">
        <f>IFERROR(('bloco 02'!X23),"")</f>
        <v/>
      </c>
      <c r="F182" s="48">
        <f>'bloco 02'!Y23</f>
        <v/>
      </c>
    </row>
    <row r="183" ht="15.75" customHeight="1" s="98">
      <c r="A183" s="14">
        <f>'bloco 02'!$B24</f>
        <v/>
      </c>
      <c r="B183" s="46">
        <f>'bloco 02'!U24</f>
        <v/>
      </c>
      <c r="C183" s="46">
        <f>'bloco 02'!V24</f>
        <v/>
      </c>
      <c r="D183" s="46">
        <f>'bloco 02'!W24</f>
        <v/>
      </c>
      <c r="E183" s="45">
        <f>IFERROR(('bloco 02'!X24),"")</f>
        <v/>
      </c>
      <c r="F183" s="48">
        <f>'bloco 02'!Y24</f>
        <v/>
      </c>
    </row>
    <row r="184" ht="15.75" customHeight="1" s="98">
      <c r="A184" s="14">
        <f>'bloco 02'!$B25</f>
        <v/>
      </c>
      <c r="B184" s="46">
        <f>'bloco 02'!U25</f>
        <v/>
      </c>
      <c r="C184" s="46">
        <f>'bloco 02'!V25</f>
        <v/>
      </c>
      <c r="D184" s="46">
        <f>'bloco 02'!W25</f>
        <v/>
      </c>
      <c r="E184" s="45">
        <f>IFERROR(('bloco 02'!X25),"")</f>
        <v/>
      </c>
      <c r="F184" s="48">
        <f>'bloco 02'!Y25</f>
        <v/>
      </c>
    </row>
    <row r="185" ht="15.75" customHeight="1" s="98">
      <c r="A185" s="14">
        <f>'bloco 02'!$B26</f>
        <v/>
      </c>
      <c r="B185" s="46">
        <f>'bloco 02'!U26</f>
        <v/>
      </c>
      <c r="C185" s="46">
        <f>'bloco 02'!V26</f>
        <v/>
      </c>
      <c r="D185" s="46">
        <f>'bloco 02'!W26</f>
        <v/>
      </c>
      <c r="E185" s="45">
        <f>IFERROR(('bloco 02'!X26),"")</f>
        <v/>
      </c>
      <c r="F185" s="48">
        <f>'bloco 02'!Y26</f>
        <v/>
      </c>
    </row>
    <row r="186" ht="15.75" customHeight="1" s="98">
      <c r="A186" s="14">
        <f>'bloco 02'!$B27</f>
        <v/>
      </c>
      <c r="B186" s="46">
        <f>'bloco 02'!U27</f>
        <v/>
      </c>
      <c r="C186" s="46">
        <f>'bloco 02'!V27</f>
        <v/>
      </c>
      <c r="D186" s="46">
        <f>'bloco 02'!W27</f>
        <v/>
      </c>
      <c r="E186" s="45">
        <f>IFERROR(('bloco 02'!X27),"")</f>
        <v/>
      </c>
      <c r="F186" s="48">
        <f>'bloco 02'!Y27</f>
        <v/>
      </c>
    </row>
    <row r="187" ht="15.75" customHeight="1" s="98">
      <c r="A187" s="14">
        <f>'bloco 02'!$B28</f>
        <v/>
      </c>
      <c r="B187" s="46">
        <f>'bloco 02'!U28</f>
        <v/>
      </c>
      <c r="C187" s="46">
        <f>'bloco 02'!V28</f>
        <v/>
      </c>
      <c r="D187" s="46">
        <f>'bloco 02'!W28</f>
        <v/>
      </c>
      <c r="E187" s="45">
        <f>IFERROR(('bloco 02'!X28),"")</f>
        <v/>
      </c>
      <c r="F187" s="48">
        <f>'bloco 02'!Y28</f>
        <v/>
      </c>
    </row>
    <row r="188" ht="15.75" customHeight="1" s="98">
      <c r="A188" s="14">
        <f>'bloco 02'!$B29</f>
        <v/>
      </c>
      <c r="B188" s="46">
        <f>'bloco 02'!U29</f>
        <v/>
      </c>
      <c r="C188" s="46">
        <f>'bloco 02'!V29</f>
        <v/>
      </c>
      <c r="D188" s="46">
        <f>'bloco 02'!W29</f>
        <v/>
      </c>
      <c r="E188" s="45">
        <f>IFERROR(('bloco 02'!X29),"")</f>
        <v/>
      </c>
      <c r="F188" s="48">
        <f>'bloco 02'!Y29</f>
        <v/>
      </c>
    </row>
    <row r="189" ht="15.75" customHeight="1" s="98">
      <c r="A189" s="14">
        <f>'bloco 02'!$B30</f>
        <v/>
      </c>
      <c r="B189" s="46">
        <f>'bloco 02'!U30</f>
        <v/>
      </c>
      <c r="C189" s="46">
        <f>'bloco 02'!V30</f>
        <v/>
      </c>
      <c r="D189" s="46">
        <f>'bloco 02'!W30</f>
        <v/>
      </c>
      <c r="E189" s="45">
        <f>IFERROR(('bloco 02'!X30),"")</f>
        <v/>
      </c>
      <c r="F189" s="48">
        <f>'bloco 02'!Y30</f>
        <v/>
      </c>
    </row>
    <row r="190" ht="15.75" customHeight="1" s="98">
      <c r="A190" s="29" t="inlineStr">
        <is>
          <t>TREINO 03</t>
        </is>
      </c>
    </row>
    <row r="191" ht="15.75" customHeight="1" s="98">
      <c r="A191" s="31" t="n"/>
      <c r="B191" s="31" t="inlineStr">
        <is>
          <t>SETS</t>
        </is>
      </c>
      <c r="C191" s="32" t="inlineStr">
        <is>
          <t>REPS</t>
        </is>
      </c>
      <c r="D191" s="32" t="inlineStr">
        <is>
          <t>KG</t>
        </is>
      </c>
      <c r="E191" s="32" t="inlineStr">
        <is>
          <t>%1RM / PSE</t>
        </is>
      </c>
      <c r="F191" s="32" t="inlineStr">
        <is>
          <t>OBS</t>
        </is>
      </c>
    </row>
    <row r="192" ht="15.75" customHeight="1" s="98">
      <c r="A192" s="14">
        <f>'bloco 02'!$B36</f>
        <v/>
      </c>
      <c r="B192" s="46">
        <f>'bloco 02'!U36</f>
        <v/>
      </c>
      <c r="C192" s="46">
        <f>'bloco 02'!V36</f>
        <v/>
      </c>
      <c r="D192" s="46">
        <f>'bloco 02'!W36</f>
        <v/>
      </c>
      <c r="E192" s="45">
        <f>IFERROR(('bloco 02'!X36),"")</f>
        <v/>
      </c>
      <c r="F192" s="48">
        <f>'bloco 02'!Y36</f>
        <v/>
      </c>
    </row>
    <row r="193" ht="15.75" customHeight="1" s="98">
      <c r="A193" s="14">
        <f>'bloco 02'!$B37</f>
        <v/>
      </c>
      <c r="B193" s="46">
        <f>'bloco 02'!U37</f>
        <v/>
      </c>
      <c r="C193" s="46">
        <f>'bloco 02'!V37</f>
        <v/>
      </c>
      <c r="D193" s="46">
        <f>'bloco 02'!W37</f>
        <v/>
      </c>
      <c r="E193" s="45">
        <f>IFERROR(('bloco 02'!X37),"")</f>
        <v/>
      </c>
      <c r="F193" s="48">
        <f>'bloco 02'!Y37</f>
        <v/>
      </c>
    </row>
    <row r="194" ht="15.75" customHeight="1" s="98">
      <c r="A194" s="14">
        <f>'bloco 02'!$B38</f>
        <v/>
      </c>
      <c r="B194" s="46">
        <f>'bloco 02'!U38</f>
        <v/>
      </c>
      <c r="C194" s="46">
        <f>'bloco 02'!V38</f>
        <v/>
      </c>
      <c r="D194" s="46">
        <f>'bloco 02'!W38</f>
        <v/>
      </c>
      <c r="E194" s="45">
        <f>IFERROR(('bloco 02'!X38),"")</f>
        <v/>
      </c>
      <c r="F194" s="48">
        <f>'bloco 02'!Y38</f>
        <v/>
      </c>
    </row>
    <row r="195" ht="15.75" customHeight="1" s="98">
      <c r="A195" s="14">
        <f>'bloco 02'!$B39</f>
        <v/>
      </c>
      <c r="B195" s="46">
        <f>'bloco 02'!U39</f>
        <v/>
      </c>
      <c r="C195" s="46">
        <f>'bloco 02'!V39</f>
        <v/>
      </c>
      <c r="D195" s="46">
        <f>'bloco 02'!W39</f>
        <v/>
      </c>
      <c r="E195" s="45">
        <f>IFERROR(('bloco 02'!X39),"")</f>
        <v/>
      </c>
      <c r="F195" s="48">
        <f>'bloco 02'!Y39</f>
        <v/>
      </c>
    </row>
    <row r="196" ht="15.75" customHeight="1" s="98">
      <c r="A196" s="14">
        <f>'bloco 02'!$B40</f>
        <v/>
      </c>
      <c r="B196" s="46">
        <f>'bloco 02'!U40</f>
        <v/>
      </c>
      <c r="C196" s="46">
        <f>'bloco 02'!V40</f>
        <v/>
      </c>
      <c r="D196" s="46">
        <f>'bloco 02'!W40</f>
        <v/>
      </c>
      <c r="E196" s="45">
        <f>IFERROR(('bloco 02'!X40),"")</f>
        <v/>
      </c>
      <c r="F196" s="48">
        <f>'bloco 02'!Y40</f>
        <v/>
      </c>
    </row>
    <row r="197" ht="15.75" customHeight="1" s="98">
      <c r="A197" s="14">
        <f>'bloco 02'!$B41</f>
        <v/>
      </c>
      <c r="B197" s="46">
        <f>'bloco 02'!U41</f>
        <v/>
      </c>
      <c r="C197" s="46">
        <f>'bloco 02'!V41</f>
        <v/>
      </c>
      <c r="D197" s="46">
        <f>'bloco 02'!W41</f>
        <v/>
      </c>
      <c r="E197" s="45">
        <f>IFERROR(('bloco 02'!X41),"")</f>
        <v/>
      </c>
      <c r="F197" s="48">
        <f>'bloco 02'!Y41</f>
        <v/>
      </c>
    </row>
    <row r="198" ht="15.75" customHeight="1" s="98">
      <c r="A198" s="14">
        <f>'bloco 02'!$B42</f>
        <v/>
      </c>
      <c r="B198" s="46">
        <f>'bloco 02'!U42</f>
        <v/>
      </c>
      <c r="C198" s="46">
        <f>'bloco 02'!V42</f>
        <v/>
      </c>
      <c r="D198" s="46">
        <f>'bloco 02'!W42</f>
        <v/>
      </c>
      <c r="E198" s="45">
        <f>IFERROR(('bloco 02'!X42),"")</f>
        <v/>
      </c>
      <c r="F198" s="48">
        <f>'bloco 02'!Y42</f>
        <v/>
      </c>
    </row>
    <row r="199" ht="15.75" customHeight="1" s="98">
      <c r="A199" s="14">
        <f>'bloco 02'!$B43</f>
        <v/>
      </c>
      <c r="B199" s="46">
        <f>'bloco 02'!U43</f>
        <v/>
      </c>
      <c r="C199" s="46">
        <f>'bloco 02'!V43</f>
        <v/>
      </c>
      <c r="D199" s="46">
        <f>'bloco 02'!W43</f>
        <v/>
      </c>
      <c r="E199" s="45">
        <f>IFERROR(('bloco 02'!X43),"")</f>
        <v/>
      </c>
      <c r="F199" s="48">
        <f>'bloco 02'!Y43</f>
        <v/>
      </c>
    </row>
    <row r="200" ht="15.75" customHeight="1" s="98">
      <c r="A200" s="14">
        <f>'bloco 02'!$B44</f>
        <v/>
      </c>
      <c r="B200" s="46">
        <f>'bloco 02'!U44</f>
        <v/>
      </c>
      <c r="C200" s="46">
        <f>'bloco 02'!V44</f>
        <v/>
      </c>
      <c r="D200" s="46">
        <f>'bloco 02'!W44</f>
        <v/>
      </c>
      <c r="E200" s="45">
        <f>IFERROR(('bloco 02'!X44),"")</f>
        <v/>
      </c>
      <c r="F200" s="48">
        <f>'bloco 02'!Y44</f>
        <v/>
      </c>
    </row>
    <row r="201" ht="15.75" customHeight="1" s="98">
      <c r="A201" s="14">
        <f>'bloco 02'!$B45</f>
        <v/>
      </c>
      <c r="B201" s="46">
        <f>'bloco 02'!U45</f>
        <v/>
      </c>
      <c r="C201" s="46">
        <f>'bloco 02'!V45</f>
        <v/>
      </c>
      <c r="D201" s="46">
        <f>'bloco 02'!W45</f>
        <v/>
      </c>
      <c r="E201" s="45">
        <f>IFERROR(('bloco 02'!X45),"")</f>
        <v/>
      </c>
      <c r="F201" s="48">
        <f>'bloco 02'!Y45</f>
        <v/>
      </c>
    </row>
    <row r="202" ht="15.75" customHeight="1" s="98">
      <c r="A202" s="46" t="n"/>
    </row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</row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12"/>
    <col width="9.5" customWidth="1" style="98" min="13" max="13"/>
    <col width="6.38" customWidth="1" style="98" min="14" max="18"/>
    <col width="9.5" customWidth="1" style="98" min="19" max="19"/>
    <col width="6.38" customWidth="1" style="98" min="20" max="24"/>
    <col width="9.5" customWidth="1" style="98" min="25" max="25"/>
    <col width="6.38" customWidth="1" style="98" min="26" max="26"/>
  </cols>
  <sheetData>
    <row r="1" ht="15.75" customHeight="1" s="98">
      <c r="A1" s="1" t="inlineStr">
        <is>
          <t>BLOCO 02</t>
        </is>
      </c>
      <c r="B1" s="2" t="n"/>
      <c r="C1" s="3" t="n"/>
      <c r="D1" s="4" t="n"/>
      <c r="E1" s="5" t="n"/>
      <c r="F1" s="5" t="n"/>
      <c r="G1" s="6" t="n"/>
      <c r="H1" s="7" t="n"/>
      <c r="I1" s="5" t="n"/>
      <c r="J1" s="5" t="n"/>
      <c r="K1" s="5" t="n"/>
      <c r="L1" s="1" t="n"/>
      <c r="M1" s="6" t="n"/>
      <c r="N1" s="1" t="n"/>
      <c r="O1" s="5" t="n"/>
      <c r="P1" s="5" t="n"/>
      <c r="Q1" s="5" t="n"/>
      <c r="R1" s="5" t="n"/>
      <c r="S1" s="6" t="n"/>
      <c r="T1" s="1" t="n"/>
      <c r="U1" s="5" t="n"/>
      <c r="V1" s="5" t="n"/>
      <c r="W1" s="5" t="n"/>
      <c r="X1" s="5" t="n"/>
      <c r="Y1" s="5" t="n"/>
      <c r="Z1" s="5" t="n"/>
    </row>
    <row r="2" ht="15.75" customHeight="1" s="98">
      <c r="A2" s="10" t="n"/>
      <c r="B2" s="10" t="n"/>
      <c r="C2" s="10" t="n"/>
      <c r="D2" s="10" t="n"/>
      <c r="H2" s="10" t="n"/>
      <c r="I2" s="10" t="n"/>
      <c r="J2" s="10" t="n"/>
      <c r="N2" s="10" t="n"/>
      <c r="O2" s="10" t="n"/>
      <c r="P2" s="10" t="n"/>
      <c r="T2" s="10" t="n"/>
      <c r="U2" s="10" t="n"/>
      <c r="V2" s="10" t="n"/>
      <c r="Z2" s="10" t="n"/>
    </row>
    <row r="3" ht="15.75" customHeight="1" s="98">
      <c r="A3" s="2" t="inlineStr">
        <is>
          <t>TREINO 01</t>
        </is>
      </c>
      <c r="B3" s="13" t="n"/>
      <c r="C3" s="22">
        <f>macro!F6</f>
        <v/>
      </c>
      <c r="H3" s="24" t="n"/>
      <c r="I3" s="4">
        <f>C3+7</f>
        <v/>
      </c>
      <c r="N3" s="24" t="n"/>
      <c r="O3" s="22">
        <f>I3+7</f>
        <v/>
      </c>
      <c r="T3" s="24" t="n"/>
      <c r="U3" s="22">
        <f>O3+7</f>
        <v/>
      </c>
      <c r="Z3" s="10" t="n"/>
    </row>
    <row r="4" ht="15.75" customHeight="1" s="98">
      <c r="A4" s="2" t="n"/>
      <c r="B4" s="2" t="n"/>
      <c r="C4" s="5" t="inlineStr">
        <is>
          <t>SETS</t>
        </is>
      </c>
      <c r="D4" s="5" t="inlineStr">
        <is>
          <t>REPS</t>
        </is>
      </c>
      <c r="E4" s="5" t="inlineStr">
        <is>
          <t>KG</t>
        </is>
      </c>
      <c r="F4" s="5" t="inlineStr">
        <is>
          <t>%1RM</t>
        </is>
      </c>
      <c r="G4" s="5" t="inlineStr">
        <is>
          <t>OBS</t>
        </is>
      </c>
      <c r="H4" s="24" t="n"/>
      <c r="I4" s="5" t="inlineStr">
        <is>
          <t>SETS</t>
        </is>
      </c>
      <c r="J4" s="5" t="inlineStr">
        <is>
          <t>REPS</t>
        </is>
      </c>
      <c r="K4" s="5" t="inlineStr">
        <is>
          <t>KG</t>
        </is>
      </c>
      <c r="L4" s="5" t="inlineStr">
        <is>
          <t>%1RM</t>
        </is>
      </c>
      <c r="M4" s="5" t="inlineStr">
        <is>
          <t>OBS</t>
        </is>
      </c>
      <c r="N4" s="24" t="n"/>
      <c r="O4" s="5" t="inlineStr">
        <is>
          <t>SETS</t>
        </is>
      </c>
      <c r="P4" s="5" t="inlineStr">
        <is>
          <t>REPS</t>
        </is>
      </c>
      <c r="Q4" s="5" t="inlineStr">
        <is>
          <t>KG</t>
        </is>
      </c>
      <c r="R4" s="5" t="inlineStr">
        <is>
          <t>%1RM</t>
        </is>
      </c>
      <c r="S4" s="5" t="inlineStr">
        <is>
          <t>OBS</t>
        </is>
      </c>
      <c r="T4" s="24" t="n"/>
      <c r="U4" s="5" t="inlineStr">
        <is>
          <t>SETS</t>
        </is>
      </c>
      <c r="V4" s="5" t="inlineStr">
        <is>
          <t>REPS</t>
        </is>
      </c>
      <c r="W4" s="5" t="inlineStr">
        <is>
          <t>KG</t>
        </is>
      </c>
      <c r="X4" s="5" t="inlineStr">
        <is>
          <t>%1RM</t>
        </is>
      </c>
      <c r="Y4" s="5" t="inlineStr">
        <is>
          <t>OBS</t>
        </is>
      </c>
      <c r="Z4" s="24" t="n"/>
    </row>
    <row r="5" ht="15.75" customHeight="1" s="98">
      <c r="A5" s="2" t="n"/>
      <c r="B5" s="2" t="inlineStr">
        <is>
          <t>exercícios</t>
        </is>
      </c>
      <c r="C5" s="38" t="n"/>
      <c r="D5" s="5" t="n"/>
      <c r="E5" s="5" t="n"/>
      <c r="F5" s="5" t="inlineStr">
        <is>
          <t>pse</t>
        </is>
      </c>
      <c r="G5" s="5" t="n"/>
      <c r="H5" s="24" t="n"/>
      <c r="I5" s="38" t="n"/>
      <c r="J5" s="5" t="n"/>
      <c r="K5" s="5" t="n"/>
      <c r="L5" s="5" t="inlineStr">
        <is>
          <t>pse</t>
        </is>
      </c>
      <c r="M5" s="5" t="n"/>
      <c r="N5" s="24" t="n"/>
      <c r="O5" s="38" t="n"/>
      <c r="P5" s="5" t="n"/>
      <c r="Q5" s="5" t="n"/>
      <c r="R5" s="5" t="inlineStr">
        <is>
          <t>pse</t>
        </is>
      </c>
      <c r="S5" s="5" t="n"/>
      <c r="T5" s="24" t="n"/>
      <c r="U5" s="38" t="n"/>
      <c r="V5" s="5" t="n"/>
      <c r="W5" s="5" t="n"/>
      <c r="X5" s="5" t="inlineStr">
        <is>
          <t>pse</t>
        </is>
      </c>
      <c r="Y5" s="5" t="n"/>
      <c r="Z5" s="24" t="n"/>
    </row>
    <row r="6" ht="15.75" customHeight="1" s="98">
      <c r="A6" s="39" t="n"/>
      <c r="B6" s="40" t="n"/>
      <c r="C6" s="41" t="n"/>
      <c r="D6" s="41" t="n"/>
      <c r="E6" s="42" t="n"/>
      <c r="F6" s="45">
        <f>IFERROR(__xludf.DUMMYFUNCTION("IFERROR(
$E6/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prs!$A$18:$D$24,
4,
FALSE
)
,"""")"),"")</f>
        <v/>
      </c>
      <c r="G6" s="45" t="n"/>
      <c r="H6" s="47" t="n"/>
      <c r="I6" s="41" t="n"/>
      <c r="J6" s="41" t="n"/>
      <c r="K6" s="42" t="n"/>
      <c r="L6" s="45">
        <f>IFERROR(__xludf.DUMMYFUNCTION("IFERROR(
$K6/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prs!$A$18:$D$24,
4,
FALSE
)
,"""")"),"")</f>
        <v/>
      </c>
      <c r="M6" s="45" t="n"/>
      <c r="N6" s="49" t="n"/>
      <c r="O6" s="41" t="n"/>
      <c r="P6" s="41" t="n"/>
      <c r="Q6" s="42" t="n"/>
      <c r="R6" s="45">
        <f>IFERROR(__xludf.DUMMYFUNCTION("IFERROR(
$Q6/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prs!$A$18:$D$24,
4,
FALSE
)
,"""")"),"")</f>
        <v/>
      </c>
      <c r="S6" s="45" t="n"/>
      <c r="T6" s="49" t="n"/>
      <c r="U6" s="41" t="n"/>
      <c r="V6" s="41" t="n"/>
      <c r="W6" s="42" t="n"/>
      <c r="X6" s="45">
        <f>IFERROR(__xludf.DUMMYFUNCTION("IFERROR(
$W6/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prs!$A$18:$D$24,
4,
FALSE
)
,"""")"),"")</f>
        <v/>
      </c>
      <c r="Y6" s="45" t="n"/>
      <c r="Z6" s="39" t="n"/>
    </row>
    <row r="7" ht="15.75" customHeight="1" s="98">
      <c r="A7" s="39" t="n"/>
      <c r="B7" s="40" t="n"/>
      <c r="C7" s="41" t="n"/>
      <c r="D7" s="41" t="n"/>
      <c r="E7" s="42" t="n"/>
      <c r="F7" s="45">
        <f>IFERROR(__xludf.DUMMYFUNCTION("IFERROR(
$E7/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prs!$A$18:$D$24,
4,
FALSE
)
,"""")"),"")</f>
        <v/>
      </c>
      <c r="G7" s="45" t="n"/>
      <c r="H7" s="47" t="n"/>
      <c r="I7" s="41" t="n"/>
      <c r="J7" s="41" t="n"/>
      <c r="K7" s="42" t="n"/>
      <c r="L7" s="45">
        <f>IFERROR(__xludf.DUMMYFUNCTION("IFERROR(
$K7/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prs!$A$18:$D$24,
4,
FALSE
)
,"""")"),"")</f>
        <v/>
      </c>
      <c r="M7" s="45" t="n"/>
      <c r="N7" s="49" t="n"/>
      <c r="O7" s="41" t="n"/>
      <c r="P7" s="41" t="n"/>
      <c r="Q7" s="42" t="n"/>
      <c r="R7" s="45">
        <f>IFERROR(__xludf.DUMMYFUNCTION("IFERROR(
$Q7/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prs!$A$18:$D$24,
4,
FALSE
)
,"""")"),"")</f>
        <v/>
      </c>
      <c r="S7" s="45" t="n"/>
      <c r="T7" s="49" t="n"/>
      <c r="U7" s="41" t="n"/>
      <c r="V7" s="41" t="n"/>
      <c r="W7" s="42" t="n"/>
      <c r="X7" s="45">
        <f>IFERROR(__xludf.DUMMYFUNCTION("IFERROR(
$W7/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prs!$A$18:$D$24,
4,
FALSE
)
,"""")"),"")</f>
        <v/>
      </c>
      <c r="Y7" s="45" t="n"/>
      <c r="Z7" s="39" t="n"/>
    </row>
    <row r="8" ht="15.75" customHeight="1" s="98">
      <c r="A8" s="39" t="n"/>
      <c r="B8" s="40" t="n"/>
      <c r="C8" s="41" t="n"/>
      <c r="D8" s="41" t="n"/>
      <c r="E8" s="42" t="n"/>
      <c r="F8" s="45">
        <f>IFERROR(__xludf.DUMMYFUNCTION("IFERROR(
$E8/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prs!$A$18:$D$24,
4,
FALSE
)
,"""")"),"")</f>
        <v/>
      </c>
      <c r="G8" s="45" t="n"/>
      <c r="H8" s="47" t="n"/>
      <c r="I8" s="41" t="n"/>
      <c r="J8" s="41" t="n"/>
      <c r="K8" s="42" t="n"/>
      <c r="L8" s="45">
        <f>IFERROR(__xludf.DUMMYFUNCTION("IFERROR(
$K8/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prs!$A$18:$D$24,
4,
FALSE
)
,"""")"),"")</f>
        <v/>
      </c>
      <c r="M8" s="45" t="n"/>
      <c r="N8" s="49" t="n"/>
      <c r="O8" s="41" t="n"/>
      <c r="P8" s="41" t="n"/>
      <c r="Q8" s="42" t="n"/>
      <c r="R8" s="45">
        <f>IFERROR(__xludf.DUMMYFUNCTION("IFERROR(
$Q8/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prs!$A$18:$D$24,
4,
FALSE
)
,"""")"),"")</f>
        <v/>
      </c>
      <c r="S8" s="45" t="n"/>
      <c r="T8" s="49" t="n"/>
      <c r="U8" s="41" t="n"/>
      <c r="V8" s="41" t="n"/>
      <c r="W8" s="42" t="n"/>
      <c r="X8" s="45">
        <f>IFERROR(__xludf.DUMMYFUNCTION("IFERROR(
$W8/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prs!$A$18:$D$24,
4,
FALSE
)
,"""")"),"")</f>
        <v/>
      </c>
      <c r="Y8" s="45" t="n"/>
      <c r="Z8" s="39" t="n"/>
    </row>
    <row r="9" ht="15.75" customHeight="1" s="98">
      <c r="A9" s="39" t="n"/>
      <c r="B9" s="40" t="n"/>
      <c r="C9" s="50" t="n"/>
      <c r="D9" s="50" t="n"/>
      <c r="E9" s="51" t="n"/>
      <c r="F9" s="45">
        <f>IFERROR(__xludf.DUMMYFUNCTION("IFERROR(
$E9/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prs!$A$18:$D$24,
4,
FALSE
)
,"""")"),"")</f>
        <v/>
      </c>
      <c r="G9" s="45" t="n"/>
      <c r="H9" s="47" t="n"/>
      <c r="I9" s="50" t="n"/>
      <c r="J9" s="50" t="n"/>
      <c r="K9" s="51" t="n"/>
      <c r="L9" s="45">
        <f>IFERROR(__xludf.DUMMYFUNCTION("IFERROR(
$K9/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prs!$A$18:$D$24,
4,
FALSE
)
,"""")"),"")</f>
        <v/>
      </c>
      <c r="M9" s="45" t="n"/>
      <c r="N9" s="49" t="n"/>
      <c r="O9" s="50" t="n"/>
      <c r="P9" s="50" t="n"/>
      <c r="Q9" s="51" t="n"/>
      <c r="R9" s="45">
        <f>IFERROR(__xludf.DUMMYFUNCTION("IFERROR(
$Q9/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prs!$A$18:$D$24,
4,
FALSE
)
,"""")"),"")</f>
        <v/>
      </c>
      <c r="S9" s="45" t="n"/>
      <c r="T9" s="49" t="n"/>
      <c r="U9" s="50" t="n"/>
      <c r="V9" s="50" t="n"/>
      <c r="W9" s="51" t="n"/>
      <c r="X9" s="45">
        <f>IFERROR(__xludf.DUMMYFUNCTION("IFERROR(
$W9/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prs!$A$18:$D$24,
4,
FALSE
)
,"""")"),"")</f>
        <v/>
      </c>
      <c r="Y9" s="45" t="n"/>
      <c r="Z9" s="39" t="n"/>
    </row>
    <row r="10" ht="15.75" customHeight="1" s="98">
      <c r="A10" s="39" t="n"/>
      <c r="B10" s="40" t="n"/>
      <c r="C10" s="50" t="n"/>
      <c r="D10" s="50" t="n"/>
      <c r="E10" s="51" t="n"/>
      <c r="F10" s="45">
        <f>IFERROR(__xludf.DUMMYFUNCTION("IFERROR(
$E10/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prs!$A$18:$D$24,
4,
FALSE
)
,"""")"),"")</f>
        <v/>
      </c>
      <c r="G10" s="45" t="n"/>
      <c r="H10" s="47" t="n"/>
      <c r="I10" s="50" t="n"/>
      <c r="J10" s="50" t="n"/>
      <c r="K10" s="51" t="n"/>
      <c r="L10" s="45">
        <f>IFERROR(__xludf.DUMMYFUNCTION("IFERROR(
$K10/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prs!$A$18:$D$24,
4,
FALSE
)
,"""")"),"")</f>
        <v/>
      </c>
      <c r="M10" s="45" t="n"/>
      <c r="N10" s="49" t="n"/>
      <c r="O10" s="50" t="n"/>
      <c r="P10" s="50" t="n"/>
      <c r="Q10" s="51" t="n"/>
      <c r="R10" s="45">
        <f>IFERROR(__xludf.DUMMYFUNCTION("IFERROR(
$Q10/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prs!$A$18:$D$24,
4,
FALSE
)
,"""")"),"")</f>
        <v/>
      </c>
      <c r="S10" s="45" t="n"/>
      <c r="T10" s="49" t="n"/>
      <c r="U10" s="50" t="n"/>
      <c r="V10" s="50" t="n"/>
      <c r="W10" s="51" t="n"/>
      <c r="X10" s="45">
        <f>IFERROR(__xludf.DUMMYFUNCTION("IFERROR(
$W10/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prs!$A$18:$D$24,
4,
FALSE
)
,"""")"),"")</f>
        <v/>
      </c>
      <c r="Y10" s="45" t="n"/>
      <c r="Z10" s="39" t="n"/>
    </row>
    <row r="11" ht="15.75" customHeight="1" s="98">
      <c r="A11" s="39" t="n"/>
      <c r="B11" s="40" t="n"/>
      <c r="C11" s="50" t="n"/>
      <c r="D11" s="50" t="n"/>
      <c r="E11" s="51" t="n"/>
      <c r="F11" s="45">
        <f>IFERROR(__xludf.DUMMYFUNCTION("IFERROR(
$E11/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prs!$A$18:$D$24,
4,
FALSE
)
,"""")"),"")</f>
        <v/>
      </c>
      <c r="G11" s="45" t="n"/>
      <c r="H11" s="47" t="n"/>
      <c r="I11" s="50" t="n"/>
      <c r="J11" s="50" t="n"/>
      <c r="K11" s="51" t="n"/>
      <c r="L11" s="45">
        <f>IFERROR(__xludf.DUMMYFUNCTION("IFERROR(
$K11/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prs!$A$18:$D$24,
4,
FALSE
)
,"""")"),"")</f>
        <v/>
      </c>
      <c r="M11" s="45" t="n"/>
      <c r="N11" s="49" t="n"/>
      <c r="O11" s="50" t="n"/>
      <c r="P11" s="50" t="n"/>
      <c r="Q11" s="51" t="n"/>
      <c r="R11" s="45">
        <f>IFERROR(__xludf.DUMMYFUNCTION("IFERROR(
$Q11/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prs!$A$18:$D$24,
4,
FALSE
)
,"""")"),"")</f>
        <v/>
      </c>
      <c r="S11" s="45" t="n"/>
      <c r="T11" s="49" t="n"/>
      <c r="U11" s="50" t="n"/>
      <c r="V11" s="50" t="n"/>
      <c r="W11" s="51" t="n"/>
      <c r="X11" s="45">
        <f>IFERROR(__xludf.DUMMYFUNCTION("IFERROR(
$W11/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prs!$A$18:$D$24,
4,
FALSE
)
,"""")"),"")</f>
        <v/>
      </c>
      <c r="Y11" s="45" t="n"/>
      <c r="Z11" s="39" t="n"/>
    </row>
    <row r="12" ht="15.75" customHeight="1" s="98">
      <c r="A12" s="39" t="n"/>
      <c r="B12" s="40" t="n"/>
      <c r="C12" s="50" t="n"/>
      <c r="D12" s="50" t="n"/>
      <c r="E12" s="51" t="n"/>
      <c r="F12" s="45">
        <f>IFERROR(__xludf.DUMMYFUNCTION("IFERROR(
$E12/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prs!$A$18:$D$24,
4,
FALSE
)
,"""")"),"")</f>
        <v/>
      </c>
      <c r="G12" s="45" t="n"/>
      <c r="H12" s="47" t="n"/>
      <c r="I12" s="50" t="n"/>
      <c r="J12" s="50" t="n"/>
      <c r="K12" s="51" t="n"/>
      <c r="L12" s="45">
        <f>IFERROR(__xludf.DUMMYFUNCTION("IFERROR(
$K12/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prs!$A$18:$D$24,
4,
FALSE
)
,"""")"),"")</f>
        <v/>
      </c>
      <c r="M12" s="45" t="n"/>
      <c r="N12" s="49" t="n"/>
      <c r="O12" s="50" t="n"/>
      <c r="P12" s="50" t="n"/>
      <c r="Q12" s="51" t="n"/>
      <c r="R12" s="45">
        <f>IFERROR(__xludf.DUMMYFUNCTION("IFERROR(
$Q12/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prs!$A$18:$D$24,
4,
FALSE
)
,"""")"),"")</f>
        <v/>
      </c>
      <c r="S12" s="45" t="n"/>
      <c r="T12" s="49" t="n"/>
      <c r="U12" s="50" t="n"/>
      <c r="V12" s="50" t="n"/>
      <c r="W12" s="51" t="n"/>
      <c r="X12" s="45">
        <f>IFERROR(__xludf.DUMMYFUNCTION("IFERROR(
$W12/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prs!$A$18:$D$24,
4,
FALSE
)
,"""")"),"")</f>
        <v/>
      </c>
      <c r="Y12" s="45" t="n"/>
      <c r="Z12" s="39" t="n"/>
    </row>
    <row r="13" ht="15.75" customHeight="1" s="98">
      <c r="A13" s="39" t="n"/>
      <c r="B13" s="40" t="n"/>
      <c r="C13" s="50" t="n"/>
      <c r="D13" s="50" t="n"/>
      <c r="E13" s="51" t="n"/>
      <c r="F13" s="45">
        <f>IFERROR(__xludf.DUMMYFUNCTION("IFERROR(
$E13/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prs!$A$18:$D$24,
4,
FALSE
)
,"""")"),"")</f>
        <v/>
      </c>
      <c r="G13" s="45" t="n"/>
      <c r="H13" s="47" t="n"/>
      <c r="I13" s="50" t="n"/>
      <c r="J13" s="50" t="n"/>
      <c r="K13" s="51" t="n"/>
      <c r="L13" s="45">
        <f>IFERROR(__xludf.DUMMYFUNCTION("IFERROR(
$K13/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prs!$A$18:$D$24,
4,
FALSE
)
,"""")"),"")</f>
        <v/>
      </c>
      <c r="M13" s="45" t="n"/>
      <c r="N13" s="49" t="n"/>
      <c r="O13" s="50" t="n"/>
      <c r="P13" s="50" t="n"/>
      <c r="Q13" s="51" t="n"/>
      <c r="R13" s="45">
        <f>IFERROR(__xludf.DUMMYFUNCTION("IFERROR(
$Q13/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prs!$A$18:$D$24,
4,
FALSE
)
,"""")"),"")</f>
        <v/>
      </c>
      <c r="S13" s="45" t="n"/>
      <c r="T13" s="49" t="n"/>
      <c r="U13" s="50" t="n"/>
      <c r="V13" s="50" t="n"/>
      <c r="W13" s="51" t="n"/>
      <c r="X13" s="45">
        <f>IFERROR(__xludf.DUMMYFUNCTION("IFERROR(
$W13/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prs!$A$18:$D$24,
4,
FALSE
)
,"""")"),"")</f>
        <v/>
      </c>
      <c r="Y13" s="45" t="n"/>
      <c r="Z13" s="39" t="n"/>
    </row>
    <row r="14" ht="15.75" customHeight="1" s="98">
      <c r="A14" s="39" t="n"/>
      <c r="B14" s="40" t="n"/>
      <c r="C14" s="50" t="n"/>
      <c r="D14" s="50" t="n"/>
      <c r="E14" s="51" t="n"/>
      <c r="F14" s="45">
        <f>IFERROR(__xludf.DUMMYFUNCTION("IFERROR(
$E14/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prs!$A$18:$D$24,
4,
FALSE
)
,"""")"),"")</f>
        <v/>
      </c>
      <c r="G14" s="45" t="n"/>
      <c r="H14" s="47" t="n"/>
      <c r="I14" s="50" t="n"/>
      <c r="J14" s="50" t="n"/>
      <c r="K14" s="51" t="n"/>
      <c r="L14" s="45">
        <f>IFERROR(__xludf.DUMMYFUNCTION("IFERROR(
$K14/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prs!$A$18:$D$24,
4,
FALSE
)
,"""")"),"")</f>
        <v/>
      </c>
      <c r="M14" s="45" t="n"/>
      <c r="N14" s="49" t="n"/>
      <c r="O14" s="50" t="n"/>
      <c r="P14" s="50" t="n"/>
      <c r="Q14" s="51" t="n"/>
      <c r="R14" s="45">
        <f>IFERROR(__xludf.DUMMYFUNCTION("IFERROR(
$Q14/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prs!$A$18:$D$24,
4,
FALSE
)
,"""")"),"")</f>
        <v/>
      </c>
      <c r="S14" s="45" t="n"/>
      <c r="T14" s="49" t="n"/>
      <c r="U14" s="50" t="n"/>
      <c r="V14" s="50" t="n"/>
      <c r="W14" s="51" t="n"/>
      <c r="X14" s="45">
        <f>IFERROR(__xludf.DUMMYFUNCTION("IFERROR(
$W14/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prs!$A$18:$D$24,
4,
FALSE
)
,"""")"),"")</f>
        <v/>
      </c>
      <c r="Y14" s="45" t="n"/>
      <c r="Z14" s="39" t="n"/>
    </row>
    <row r="15" ht="15.75" customHeight="1" s="98">
      <c r="A15" s="39" t="n"/>
      <c r="B15" s="40" t="n"/>
      <c r="C15" s="50" t="n"/>
      <c r="D15" s="50" t="n"/>
      <c r="E15" s="51" t="n"/>
      <c r="F15" s="45">
        <f>IFERROR(__xludf.DUMMYFUNCTION("IFERROR(
$E15/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prs!$A$18:$D$24,
4,
FALSE
)
,"""")"),"")</f>
        <v/>
      </c>
      <c r="G15" s="45" t="n"/>
      <c r="H15" s="47" t="n"/>
      <c r="I15" s="50" t="n"/>
      <c r="J15" s="50" t="n"/>
      <c r="K15" s="51" t="n"/>
      <c r="L15" s="45">
        <f>IFERROR(__xludf.DUMMYFUNCTION("IFERROR(
$K15/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prs!$A$18:$D$24,
4,
FALSE
)
,"""")"),"")</f>
        <v/>
      </c>
      <c r="M15" s="45" t="n"/>
      <c r="N15" s="49" t="n"/>
      <c r="O15" s="50" t="n"/>
      <c r="P15" s="50" t="n"/>
      <c r="Q15" s="51" t="n"/>
      <c r="R15" s="45">
        <f>IFERROR(__xludf.DUMMYFUNCTION("IFERROR(
$Q15/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prs!$A$18:$D$24,
4,
FALSE
)
,"""")"),"")</f>
        <v/>
      </c>
      <c r="S15" s="45" t="n"/>
      <c r="T15" s="49" t="n"/>
      <c r="U15" s="50" t="n"/>
      <c r="V15" s="50" t="n"/>
      <c r="W15" s="51" t="n"/>
      <c r="X15" s="45">
        <f>IFERROR(__xludf.DUMMYFUNCTION("IFERROR(
$W15/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prs!$A$18:$D$24,
4,
FALSE
)
,"""")"),"")</f>
        <v/>
      </c>
      <c r="Y15" s="45" t="n"/>
      <c r="Z15" s="39" t="n"/>
    </row>
    <row r="16" ht="15.75" customHeight="1" s="98">
      <c r="A16" s="31" t="n"/>
      <c r="B16" s="52" t="n"/>
      <c r="C16" s="32" t="inlineStr">
        <is>
          <t>SEMANA 01</t>
        </is>
      </c>
      <c r="H16" s="24" t="n"/>
      <c r="I16" s="32" t="inlineStr">
        <is>
          <t>SEMANA 02</t>
        </is>
      </c>
      <c r="N16" s="24" t="n"/>
      <c r="O16" s="32" t="inlineStr">
        <is>
          <t>SEMANA 03</t>
        </is>
      </c>
      <c r="T16" s="24" t="n"/>
      <c r="U16" s="32" t="inlineStr">
        <is>
          <t>SEMANA 04</t>
        </is>
      </c>
      <c r="Z16" s="24" t="n"/>
    </row>
    <row r="17" ht="15.75" customHeight="1" s="98">
      <c r="A17" s="47" t="n"/>
      <c r="B17" s="47" t="n"/>
      <c r="C17" s="47" t="n"/>
      <c r="D17" s="47" t="n"/>
      <c r="H17" s="47" t="n"/>
      <c r="I17" s="47" t="n"/>
      <c r="J17" s="47" t="n"/>
      <c r="N17" s="47" t="n"/>
      <c r="O17" s="47" t="n"/>
      <c r="P17" s="47" t="n"/>
      <c r="T17" s="47" t="n"/>
      <c r="U17" s="47" t="n"/>
      <c r="V17" s="47" t="n"/>
      <c r="Z17" s="47" t="n"/>
    </row>
    <row r="18" ht="15.75" customHeight="1" s="98">
      <c r="A18" s="31" t="inlineStr">
        <is>
          <t>TREINO 02</t>
        </is>
      </c>
      <c r="B18" s="13" t="n"/>
      <c r="C18" s="22" t="n"/>
      <c r="H18" s="24" t="n"/>
      <c r="I18" s="4" t="n"/>
      <c r="N18" s="24" t="n"/>
      <c r="O18" s="22" t="n"/>
      <c r="T18" s="24" t="n"/>
      <c r="U18" s="22" t="n"/>
      <c r="Z18" s="47" t="n"/>
    </row>
    <row r="19" ht="15.75" customHeight="1" s="98">
      <c r="A19" s="31" t="n"/>
      <c r="B19" s="52" t="n"/>
      <c r="C19" s="5" t="inlineStr">
        <is>
          <t>SETS</t>
        </is>
      </c>
      <c r="D19" s="5" t="inlineStr">
        <is>
          <t>REPS</t>
        </is>
      </c>
      <c r="E19" s="5" t="inlineStr">
        <is>
          <t>KG</t>
        </is>
      </c>
      <c r="F19" s="5" t="inlineStr">
        <is>
          <t>%1RM</t>
        </is>
      </c>
      <c r="G19" s="5" t="inlineStr">
        <is>
          <t>OBS</t>
        </is>
      </c>
      <c r="H19" s="24" t="n"/>
      <c r="I19" s="5" t="inlineStr">
        <is>
          <t>SETS</t>
        </is>
      </c>
      <c r="J19" s="5" t="inlineStr">
        <is>
          <t>REPS</t>
        </is>
      </c>
      <c r="K19" s="5" t="inlineStr">
        <is>
          <t>KG</t>
        </is>
      </c>
      <c r="L19" s="5" t="inlineStr">
        <is>
          <t>%1RM</t>
        </is>
      </c>
      <c r="M19" s="5" t="inlineStr">
        <is>
          <t>OBS</t>
        </is>
      </c>
      <c r="N19" s="24" t="n"/>
      <c r="O19" s="5" t="inlineStr">
        <is>
          <t>SETS</t>
        </is>
      </c>
      <c r="P19" s="5" t="inlineStr">
        <is>
          <t>REPS</t>
        </is>
      </c>
      <c r="Q19" s="5" t="inlineStr">
        <is>
          <t>KG</t>
        </is>
      </c>
      <c r="R19" s="5" t="inlineStr">
        <is>
          <t>%1RM</t>
        </is>
      </c>
      <c r="S19" s="5" t="inlineStr">
        <is>
          <t>OBS</t>
        </is>
      </c>
      <c r="T19" s="24" t="n"/>
      <c r="U19" s="5" t="inlineStr">
        <is>
          <t>SETS</t>
        </is>
      </c>
      <c r="V19" s="5" t="inlineStr">
        <is>
          <t>REPS</t>
        </is>
      </c>
      <c r="W19" s="5" t="inlineStr">
        <is>
          <t>KG</t>
        </is>
      </c>
      <c r="X19" s="5" t="inlineStr">
        <is>
          <t>%1RM</t>
        </is>
      </c>
      <c r="Y19" s="5" t="inlineStr">
        <is>
          <t>OBS</t>
        </is>
      </c>
      <c r="Z19" s="47" t="n"/>
    </row>
    <row r="20" ht="15.75" customHeight="1" s="98">
      <c r="A20" s="2" t="n"/>
      <c r="B20" s="2" t="inlineStr">
        <is>
          <t>exercícios</t>
        </is>
      </c>
      <c r="C20" s="38" t="n"/>
      <c r="D20" s="5" t="n"/>
      <c r="E20" s="5" t="n"/>
      <c r="F20" s="5" t="inlineStr">
        <is>
          <t>pse</t>
        </is>
      </c>
      <c r="G20" s="5" t="n"/>
      <c r="H20" s="24" t="n"/>
      <c r="I20" s="38" t="n"/>
      <c r="J20" s="5" t="n"/>
      <c r="K20" s="5" t="n"/>
      <c r="L20" s="5" t="inlineStr">
        <is>
          <t>pse</t>
        </is>
      </c>
      <c r="M20" s="5" t="n"/>
      <c r="N20" s="24" t="n"/>
      <c r="O20" s="38" t="n"/>
      <c r="P20" s="5" t="n"/>
      <c r="Q20" s="5" t="n"/>
      <c r="R20" s="5" t="inlineStr">
        <is>
          <t>pse</t>
        </is>
      </c>
      <c r="S20" s="5" t="n"/>
      <c r="T20" s="24" t="n"/>
      <c r="U20" s="38" t="n"/>
      <c r="V20" s="5" t="n"/>
      <c r="W20" s="5" t="n"/>
      <c r="X20" s="5" t="inlineStr">
        <is>
          <t>pse</t>
        </is>
      </c>
      <c r="Y20" s="5" t="n"/>
      <c r="Z20" s="47" t="n"/>
    </row>
    <row r="21" ht="15.75" customHeight="1" s="98">
      <c r="A21" s="49" t="n"/>
      <c r="B21" s="53" t="n"/>
      <c r="C21" s="41" t="n"/>
      <c r="D21" s="41" t="n"/>
      <c r="E21" s="42" t="n"/>
      <c r="F21" s="45">
        <f>IFERROR(__xludf.DUMMYFUNCTION("IFERROR(
$E21/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prs!$A$18:$D$24,
4,
FALSE
)
,"""")"),"")</f>
        <v/>
      </c>
      <c r="G21" s="45" t="n"/>
      <c r="H21" s="47" t="n"/>
      <c r="I21" s="41" t="n"/>
      <c r="J21" s="41" t="n"/>
      <c r="K21" s="42" t="n"/>
      <c r="L21" s="45">
        <f>IFERROR(__xludf.DUMMYFUNCTION("IFERROR(
$K21/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prs!$A$18:$D$24,
4,
FALSE
)
,"""")"),"")</f>
        <v/>
      </c>
      <c r="M21" s="45" t="n"/>
      <c r="N21" s="49" t="n"/>
      <c r="O21" s="41" t="n"/>
      <c r="P21" s="41" t="n"/>
      <c r="Q21" s="42" t="n"/>
      <c r="R21" s="45">
        <f>IFERROR(__xludf.DUMMYFUNCTION("IFERROR(
$Q21/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prs!$A$18:$D$24,
4,
FALSE
)
,"""")"),"")</f>
        <v/>
      </c>
      <c r="S21" s="45" t="n"/>
      <c r="T21" s="49" t="n"/>
      <c r="U21" s="41" t="n"/>
      <c r="V21" s="41" t="n"/>
      <c r="W21" s="42" t="n"/>
      <c r="X21" s="45">
        <f>IFERROR(__xludf.DUMMYFUNCTION("IFERROR(
$W21/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prs!$A$18:$D$24,
4,
FALSE
)
,"""")"),"")</f>
        <v/>
      </c>
      <c r="Y21" s="45" t="n"/>
      <c r="Z21" s="49" t="n"/>
    </row>
    <row r="22" ht="15.75" customHeight="1" s="98">
      <c r="A22" s="49" t="n"/>
      <c r="B22" s="53" t="n"/>
      <c r="C22" s="41" t="n"/>
      <c r="D22" s="41" t="n"/>
      <c r="E22" s="42" t="n"/>
      <c r="F22" s="45">
        <f>IFERROR(__xludf.DUMMYFUNCTION("IFERROR(
$E22/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prs!$A$18:$D$24,
4,
FALSE
)
,"""")"),"")</f>
        <v/>
      </c>
      <c r="G22" s="45" t="n"/>
      <c r="H22" s="47" t="n"/>
      <c r="I22" s="41" t="n"/>
      <c r="J22" s="41" t="n"/>
      <c r="K22" s="42" t="n"/>
      <c r="L22" s="45">
        <f>IFERROR(__xludf.DUMMYFUNCTION("IFERROR(
$K22/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prs!$A$18:$D$24,
4,
FALSE
)
,"""")"),"")</f>
        <v/>
      </c>
      <c r="M22" s="45" t="n"/>
      <c r="N22" s="49" t="n"/>
      <c r="O22" s="41" t="n"/>
      <c r="P22" s="41" t="n"/>
      <c r="Q22" s="42" t="n"/>
      <c r="R22" s="45">
        <f>IFERROR(__xludf.DUMMYFUNCTION("IFERROR(
$Q22/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prs!$A$18:$D$24,
4,
FALSE
)
,"""")"),"")</f>
        <v/>
      </c>
      <c r="S22" s="45" t="n"/>
      <c r="T22" s="49" t="n"/>
      <c r="U22" s="41" t="n"/>
      <c r="V22" s="41" t="n"/>
      <c r="W22" s="42" t="n"/>
      <c r="X22" s="45">
        <f>IFERROR(__xludf.DUMMYFUNCTION("IFERROR(
$W22/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prs!$A$18:$D$24,
4,
FALSE
)
,"""")"),"")</f>
        <v/>
      </c>
      <c r="Y22" s="45" t="n"/>
      <c r="Z22" s="49" t="n"/>
    </row>
    <row r="23" ht="15.75" customHeight="1" s="98">
      <c r="A23" s="49" t="n"/>
      <c r="B23" s="53" t="n"/>
      <c r="C23" s="41" t="n"/>
      <c r="D23" s="41" t="n"/>
      <c r="E23" s="42" t="n"/>
      <c r="F23" s="45">
        <f>IFERROR(__xludf.DUMMYFUNCTION("IFERROR(
$E23/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prs!$A$18:$D$24,
4,
FALSE
)
,"""")"),"")</f>
        <v/>
      </c>
      <c r="G23" s="45" t="n"/>
      <c r="H23" s="47" t="n"/>
      <c r="I23" s="41" t="n"/>
      <c r="J23" s="41" t="n"/>
      <c r="K23" s="42" t="n"/>
      <c r="L23" s="45">
        <f>IFERROR(__xludf.DUMMYFUNCTION("IFERROR(
$K23/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prs!$A$18:$D$24,
4,
FALSE
)
,"""")"),"")</f>
        <v/>
      </c>
      <c r="M23" s="45" t="n"/>
      <c r="N23" s="49" t="n"/>
      <c r="O23" s="41" t="n"/>
      <c r="P23" s="41" t="n"/>
      <c r="Q23" s="42" t="n"/>
      <c r="R23" s="45">
        <f>IFERROR(__xludf.DUMMYFUNCTION("IFERROR(
$Q23/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prs!$A$18:$D$24,
4,
FALSE
)
,"""")"),"")</f>
        <v/>
      </c>
      <c r="S23" s="45" t="n"/>
      <c r="T23" s="49" t="n"/>
      <c r="U23" s="41" t="n"/>
      <c r="V23" s="41" t="n"/>
      <c r="W23" s="42" t="n"/>
      <c r="X23" s="45">
        <f>IFERROR(__xludf.DUMMYFUNCTION("IFERROR(
$W23/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prs!$A$18:$D$24,
4,
FALSE
)
,"""")"),"")</f>
        <v/>
      </c>
      <c r="Y23" s="45" t="n"/>
      <c r="Z23" s="49" t="n"/>
    </row>
    <row r="24" ht="15.75" customHeight="1" s="98">
      <c r="A24" s="49" t="n"/>
      <c r="B24" s="53" t="n"/>
      <c r="C24" s="50" t="n"/>
      <c r="D24" s="50" t="n"/>
      <c r="E24" s="51" t="n"/>
      <c r="F24" s="45">
        <f>IFERROR(__xludf.DUMMYFUNCTION("IFERROR(
$E24/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prs!$A$18:$D$24,
4,
FALSE
)
,"""")"),"")</f>
        <v/>
      </c>
      <c r="G24" s="45" t="n"/>
      <c r="H24" s="47" t="n"/>
      <c r="I24" s="50" t="n"/>
      <c r="J24" s="50" t="n"/>
      <c r="K24" s="51" t="n"/>
      <c r="L24" s="45">
        <f>IFERROR(__xludf.DUMMYFUNCTION("IFERROR(
$K24/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prs!$A$18:$D$24,
4,
FALSE
)
,"""")"),"")</f>
        <v/>
      </c>
      <c r="M24" s="45" t="n"/>
      <c r="N24" s="49" t="n"/>
      <c r="O24" s="50" t="n"/>
      <c r="P24" s="50" t="n"/>
      <c r="Q24" s="51" t="n"/>
      <c r="R24" s="45">
        <f>IFERROR(__xludf.DUMMYFUNCTION("IFERROR(
$Q24/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prs!$A$18:$D$24,
4,
FALSE
)
,"""")"),"")</f>
        <v/>
      </c>
      <c r="S24" s="45" t="n"/>
      <c r="T24" s="49" t="n"/>
      <c r="U24" s="50" t="n"/>
      <c r="V24" s="50" t="n"/>
      <c r="W24" s="51" t="n"/>
      <c r="X24" s="45">
        <f>IFERROR(__xludf.DUMMYFUNCTION("IFERROR(
$W24/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prs!$A$18:$D$24,
4,
FALSE
)
,"""")"),"")</f>
        <v/>
      </c>
      <c r="Y24" s="45" t="n"/>
      <c r="Z24" s="49" t="n"/>
    </row>
    <row r="25" ht="15.75" customHeight="1" s="98">
      <c r="A25" s="49" t="n"/>
      <c r="B25" s="53" t="n"/>
      <c r="C25" s="50" t="n"/>
      <c r="D25" s="50" t="n"/>
      <c r="E25" s="51" t="n"/>
      <c r="F25" s="45">
        <f>IFERROR(__xludf.DUMMYFUNCTION("IFERROR(
$E25/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prs!$A$18:$D$24,
4,
FALSE
)
,"""")"),"")</f>
        <v/>
      </c>
      <c r="G25" s="45" t="n"/>
      <c r="H25" s="47" t="n"/>
      <c r="I25" s="50" t="n"/>
      <c r="J25" s="50" t="n"/>
      <c r="K25" s="51" t="n"/>
      <c r="L25" s="45">
        <f>IFERROR(__xludf.DUMMYFUNCTION("IFERROR(
$K25/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prs!$A$18:$D$24,
4,
FALSE
)
,"""")"),"")</f>
        <v/>
      </c>
      <c r="M25" s="45" t="n"/>
      <c r="N25" s="49" t="n"/>
      <c r="O25" s="50" t="n"/>
      <c r="P25" s="50" t="n"/>
      <c r="Q25" s="51" t="n"/>
      <c r="R25" s="45">
        <f>IFERROR(__xludf.DUMMYFUNCTION("IFERROR(
$Q25/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prs!$A$18:$D$24,
4,
FALSE
)
,"""")"),"")</f>
        <v/>
      </c>
      <c r="S25" s="45" t="n"/>
      <c r="T25" s="49" t="n"/>
      <c r="U25" s="50" t="n"/>
      <c r="V25" s="50" t="n"/>
      <c r="W25" s="51" t="n"/>
      <c r="X25" s="45">
        <f>IFERROR(__xludf.DUMMYFUNCTION("IFERROR(
$W25/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prs!$A$18:$D$24,
4,
FALSE
)
,"""")"),"")</f>
        <v/>
      </c>
      <c r="Y25" s="45" t="n"/>
      <c r="Z25" s="49" t="n"/>
    </row>
    <row r="26" ht="15.75" customHeight="1" s="98">
      <c r="A26" s="49" t="n"/>
      <c r="B26" s="53" t="n"/>
      <c r="C26" s="50" t="n"/>
      <c r="D26" s="50" t="n"/>
      <c r="E26" s="51" t="n"/>
      <c r="F26" s="45">
        <f>IFERROR(__xludf.DUMMYFUNCTION("IFERROR(
$E26/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prs!$A$18:$D$24,
4,
FALSE
)
,"""")"),"")</f>
        <v/>
      </c>
      <c r="G26" s="45" t="n"/>
      <c r="H26" s="47" t="n"/>
      <c r="I26" s="50" t="n"/>
      <c r="J26" s="50" t="n"/>
      <c r="K26" s="51" t="n"/>
      <c r="L26" s="45">
        <f>IFERROR(__xludf.DUMMYFUNCTION("IFERROR(
$K26/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prs!$A$18:$D$24,
4,
FALSE
)
,"""")"),"")</f>
        <v/>
      </c>
      <c r="M26" s="45" t="n"/>
      <c r="N26" s="49" t="n"/>
      <c r="O26" s="50" t="n"/>
      <c r="P26" s="50" t="n"/>
      <c r="Q26" s="51" t="n"/>
      <c r="R26" s="45">
        <f>IFERROR(__xludf.DUMMYFUNCTION("IFERROR(
$Q26/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prs!$A$18:$D$24,
4,
FALSE
)
,"""")"),"")</f>
        <v/>
      </c>
      <c r="S26" s="45" t="n"/>
      <c r="T26" s="49" t="n"/>
      <c r="U26" s="50" t="n"/>
      <c r="V26" s="50" t="n"/>
      <c r="W26" s="51" t="n"/>
      <c r="X26" s="45">
        <f>IFERROR(__xludf.DUMMYFUNCTION("IFERROR(
$W26/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prs!$A$18:$D$24,
4,
FALSE
)
,"""")"),"")</f>
        <v/>
      </c>
      <c r="Y26" s="45" t="n"/>
      <c r="Z26" s="49" t="n"/>
    </row>
    <row r="27" ht="15.75" customHeight="1" s="98">
      <c r="A27" s="49" t="n"/>
      <c r="B27" s="53" t="n"/>
      <c r="C27" s="50" t="n"/>
      <c r="D27" s="50" t="n"/>
      <c r="E27" s="51" t="n"/>
      <c r="F27" s="45">
        <f>IFERROR(__xludf.DUMMYFUNCTION("IFERROR(
$E27/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prs!$A$18:$D$24,
4,
FALSE
)
,"""")"),"")</f>
        <v/>
      </c>
      <c r="G27" s="45" t="n"/>
      <c r="H27" s="47" t="n"/>
      <c r="I27" s="50" t="n"/>
      <c r="J27" s="50" t="n"/>
      <c r="K27" s="51" t="n"/>
      <c r="L27" s="45">
        <f>IFERROR(__xludf.DUMMYFUNCTION("IFERROR(
$K27/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prs!$A$18:$D$24,
4,
FALSE
)
,"""")"),"")</f>
        <v/>
      </c>
      <c r="M27" s="45" t="n"/>
      <c r="N27" s="49" t="n"/>
      <c r="O27" s="50" t="n"/>
      <c r="P27" s="50" t="n"/>
      <c r="Q27" s="51" t="n"/>
      <c r="R27" s="45">
        <f>IFERROR(__xludf.DUMMYFUNCTION("IFERROR(
$Q27/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prs!$A$18:$D$24,
4,
FALSE
)
,"""")"),"")</f>
        <v/>
      </c>
      <c r="S27" s="45" t="n"/>
      <c r="T27" s="49" t="n"/>
      <c r="U27" s="50" t="n"/>
      <c r="V27" s="50" t="n"/>
      <c r="W27" s="51" t="n"/>
      <c r="X27" s="45">
        <f>IFERROR(__xludf.DUMMYFUNCTION("IFERROR(
$W27/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prs!$A$18:$D$24,
4,
FALSE
)
,"""")"),"")</f>
        <v/>
      </c>
      <c r="Y27" s="45" t="n"/>
      <c r="Z27" s="49" t="n"/>
    </row>
    <row r="28" ht="15.75" customHeight="1" s="98">
      <c r="A28" s="49" t="n"/>
      <c r="B28" s="53" t="n"/>
      <c r="C28" s="50" t="n"/>
      <c r="D28" s="50" t="n"/>
      <c r="E28" s="51" t="n"/>
      <c r="F28" s="45">
        <f>IFERROR(__xludf.DUMMYFUNCTION("IFERROR(
$E28/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prs!$A$18:$D$24,
4,
FALSE
)
,"""")"),"")</f>
        <v/>
      </c>
      <c r="G28" s="45" t="n"/>
      <c r="H28" s="47" t="n"/>
      <c r="I28" s="50" t="n"/>
      <c r="J28" s="50" t="n"/>
      <c r="K28" s="51" t="n"/>
      <c r="L28" s="45">
        <f>IFERROR(__xludf.DUMMYFUNCTION("IFERROR(
$K28/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prs!$A$18:$D$24,
4,
FALSE
)
,"""")"),"")</f>
        <v/>
      </c>
      <c r="M28" s="45" t="n"/>
      <c r="N28" s="49" t="n"/>
      <c r="O28" s="50" t="n"/>
      <c r="P28" s="50" t="n"/>
      <c r="Q28" s="51" t="n"/>
      <c r="R28" s="45">
        <f>IFERROR(__xludf.DUMMYFUNCTION("IFERROR(
$Q28/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prs!$A$18:$D$24,
4,
FALSE
)
,"""")"),"")</f>
        <v/>
      </c>
      <c r="S28" s="45" t="n"/>
      <c r="T28" s="49" t="n"/>
      <c r="U28" s="50" t="n"/>
      <c r="V28" s="50" t="n"/>
      <c r="W28" s="51" t="n"/>
      <c r="X28" s="45">
        <f>IFERROR(__xludf.DUMMYFUNCTION("IFERROR(
$W28/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prs!$A$18:$D$24,
4,
FALSE
)
,"""")"),"")</f>
        <v/>
      </c>
      <c r="Y28" s="45" t="n"/>
      <c r="Z28" s="49" t="n"/>
    </row>
    <row r="29" ht="15.75" customHeight="1" s="98">
      <c r="A29" s="49" t="n"/>
      <c r="B29" s="53" t="n"/>
      <c r="C29" s="50" t="n"/>
      <c r="D29" s="50" t="n"/>
      <c r="E29" s="51" t="n"/>
      <c r="F29" s="45">
        <f>IFERROR(__xludf.DUMMYFUNCTION("IFERROR(
$E29/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prs!$A$18:$D$24,
4,
FALSE
)
,"""")"),"")</f>
        <v/>
      </c>
      <c r="G29" s="45" t="n"/>
      <c r="H29" s="47" t="n"/>
      <c r="I29" s="50" t="n"/>
      <c r="J29" s="50" t="n"/>
      <c r="K29" s="51" t="n"/>
      <c r="L29" s="45">
        <f>IFERROR(__xludf.DUMMYFUNCTION("IFERROR(
$K29/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prs!$A$18:$D$24,
4,
FALSE
)
,"""")"),"")</f>
        <v/>
      </c>
      <c r="M29" s="45" t="n"/>
      <c r="N29" s="49" t="n"/>
      <c r="O29" s="50" t="n"/>
      <c r="P29" s="50" t="n"/>
      <c r="Q29" s="51" t="n"/>
      <c r="R29" s="45">
        <f>IFERROR(__xludf.DUMMYFUNCTION("IFERROR(
$Q29/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prs!$A$18:$D$24,
4,
FALSE
)
,"""")"),"")</f>
        <v/>
      </c>
      <c r="S29" s="45" t="n"/>
      <c r="T29" s="49" t="n"/>
      <c r="U29" s="50" t="n"/>
      <c r="V29" s="50" t="n"/>
      <c r="W29" s="51" t="n"/>
      <c r="X29" s="45">
        <f>IFERROR(__xludf.DUMMYFUNCTION("IFERROR(
$W29/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prs!$A$18:$D$24,
4,
FALSE
)
,"""")"),"")</f>
        <v/>
      </c>
      <c r="Y29" s="45" t="n"/>
      <c r="Z29" s="49" t="n"/>
    </row>
    <row r="30" ht="15.75" customHeight="1" s="98">
      <c r="A30" s="49" t="n"/>
      <c r="B30" s="53" t="n"/>
      <c r="C30" s="50" t="n"/>
      <c r="D30" s="50" t="n"/>
      <c r="E30" s="51" t="n"/>
      <c r="F30" s="45">
        <f>IFERROR(__xludf.DUMMYFUNCTION("IFERROR(
$E30/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prs!$A$18:$D$24,
4,
FALSE
)
,"""")"),"")</f>
        <v/>
      </c>
      <c r="G30" s="45" t="n"/>
      <c r="H30" s="47" t="n"/>
      <c r="I30" s="50" t="n"/>
      <c r="J30" s="50" t="n"/>
      <c r="K30" s="51" t="n"/>
      <c r="L30" s="45">
        <f>IFERROR(__xludf.DUMMYFUNCTION("IFERROR(
$K30/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prs!$A$18:$D$24,
4,
FALSE
)
,"""")"),"")</f>
        <v/>
      </c>
      <c r="M30" s="45" t="n"/>
      <c r="N30" s="49" t="n"/>
      <c r="O30" s="50" t="n"/>
      <c r="P30" s="50" t="n"/>
      <c r="Q30" s="51" t="n"/>
      <c r="R30" s="45">
        <f>IFERROR(__xludf.DUMMYFUNCTION("IFERROR(
$Q30/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prs!$A$18:$D$24,
4,
FALSE
)
,"""")"),"")</f>
        <v/>
      </c>
      <c r="S30" s="45" t="n"/>
      <c r="T30" s="49" t="n"/>
      <c r="U30" s="50" t="n"/>
      <c r="V30" s="50" t="n"/>
      <c r="W30" s="51" t="n"/>
      <c r="X30" s="45">
        <f>IFERROR(__xludf.DUMMYFUNCTION("IFERROR(
$W30/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prs!$A$18:$D$24,
4,
FALSE
)
,"""")"),"")</f>
        <v/>
      </c>
      <c r="Y30" s="45" t="n"/>
      <c r="Z30" s="49" t="n"/>
    </row>
    <row r="31" ht="15.75" customHeight="1" s="98">
      <c r="A31" s="52" t="n"/>
      <c r="B31" s="52" t="n"/>
      <c r="C31" s="32" t="inlineStr">
        <is>
          <t>SEMANA 01</t>
        </is>
      </c>
      <c r="H31" s="24" t="n"/>
      <c r="I31" s="32" t="inlineStr">
        <is>
          <t>SEMANA 02</t>
        </is>
      </c>
      <c r="N31" s="24" t="n"/>
      <c r="O31" s="32" t="inlineStr">
        <is>
          <t>SEMANA 03</t>
        </is>
      </c>
      <c r="T31" s="24" t="n"/>
      <c r="U31" s="32" t="inlineStr">
        <is>
          <t>SEMANA 04</t>
        </is>
      </c>
      <c r="Z31" s="47" t="n"/>
    </row>
    <row r="32" ht="15.75" customHeight="1" s="98">
      <c r="A32" s="10" t="n"/>
      <c r="B32" s="54" t="n"/>
      <c r="C32" s="10" t="n"/>
      <c r="D32" s="10" t="n"/>
      <c r="H32" s="10" t="n"/>
      <c r="I32" s="10" t="n"/>
      <c r="J32" s="10" t="n"/>
      <c r="N32" s="10" t="n"/>
      <c r="O32" s="10" t="n"/>
      <c r="P32" s="10" t="n"/>
      <c r="T32" s="10" t="n"/>
      <c r="U32" s="10" t="n"/>
      <c r="V32" s="10" t="n"/>
      <c r="Z32" s="10" t="n"/>
    </row>
    <row r="33" ht="15.75" customHeight="1" s="98">
      <c r="A33" s="2" t="inlineStr">
        <is>
          <t>TREINO 03</t>
        </is>
      </c>
      <c r="B33" s="13" t="n"/>
      <c r="C33" s="32" t="n"/>
      <c r="H33" s="24" t="n"/>
      <c r="I33" s="32" t="n"/>
      <c r="N33" s="24" t="n"/>
      <c r="O33" s="32" t="n"/>
      <c r="T33" s="24" t="n"/>
      <c r="U33" s="32" t="n"/>
      <c r="Z33" s="10" t="n"/>
    </row>
    <row r="34" ht="15.75" customHeight="1" s="98">
      <c r="A34" s="2" t="n"/>
      <c r="B34" s="2" t="n"/>
      <c r="C34" s="5" t="inlineStr">
        <is>
          <t>SETS</t>
        </is>
      </c>
      <c r="D34" s="5" t="inlineStr">
        <is>
          <t>REPS</t>
        </is>
      </c>
      <c r="E34" s="5" t="inlineStr">
        <is>
          <t>KG</t>
        </is>
      </c>
      <c r="F34" s="5" t="inlineStr">
        <is>
          <t>%1RM</t>
        </is>
      </c>
      <c r="G34" s="5" t="inlineStr">
        <is>
          <t>OBS</t>
        </is>
      </c>
      <c r="H34" s="24" t="n"/>
      <c r="I34" s="5" t="inlineStr">
        <is>
          <t>SETS</t>
        </is>
      </c>
      <c r="J34" s="5" t="inlineStr">
        <is>
          <t>REPS</t>
        </is>
      </c>
      <c r="K34" s="5" t="inlineStr">
        <is>
          <t>KG</t>
        </is>
      </c>
      <c r="L34" s="5" t="inlineStr">
        <is>
          <t>%1RM</t>
        </is>
      </c>
      <c r="M34" s="5" t="inlineStr">
        <is>
          <t>OBS</t>
        </is>
      </c>
      <c r="N34" s="24" t="n"/>
      <c r="O34" s="5" t="inlineStr">
        <is>
          <t>SETS</t>
        </is>
      </c>
      <c r="P34" s="5" t="inlineStr">
        <is>
          <t>REPS</t>
        </is>
      </c>
      <c r="Q34" s="5" t="inlineStr">
        <is>
          <t>KG</t>
        </is>
      </c>
      <c r="R34" s="5" t="inlineStr">
        <is>
          <t>%1RM</t>
        </is>
      </c>
      <c r="S34" s="5" t="inlineStr">
        <is>
          <t>OBS</t>
        </is>
      </c>
      <c r="T34" s="24" t="n"/>
      <c r="U34" s="5" t="inlineStr">
        <is>
          <t>SETS</t>
        </is>
      </c>
      <c r="V34" s="5" t="inlineStr">
        <is>
          <t>REPS</t>
        </is>
      </c>
      <c r="W34" s="5" t="inlineStr">
        <is>
          <t>KG</t>
        </is>
      </c>
      <c r="X34" s="5" t="inlineStr">
        <is>
          <t>%1RM</t>
        </is>
      </c>
      <c r="Y34" s="5" t="inlineStr">
        <is>
          <t>OBS</t>
        </is>
      </c>
      <c r="Z34" s="24" t="n"/>
    </row>
    <row r="35" ht="15.75" customHeight="1" s="98">
      <c r="A35" s="2" t="n"/>
      <c r="B35" s="2" t="inlineStr">
        <is>
          <t>exercícios</t>
        </is>
      </c>
      <c r="C35" s="38" t="n"/>
      <c r="D35" s="5" t="n"/>
      <c r="E35" s="5" t="n"/>
      <c r="F35" s="5" t="inlineStr">
        <is>
          <t>pse</t>
        </is>
      </c>
      <c r="G35" s="5" t="n"/>
      <c r="H35" s="24" t="n"/>
      <c r="I35" s="38" t="n"/>
      <c r="J35" s="5" t="n"/>
      <c r="K35" s="5" t="n"/>
      <c r="L35" s="5" t="inlineStr">
        <is>
          <t>pse</t>
        </is>
      </c>
      <c r="M35" s="5" t="n"/>
      <c r="N35" s="24" t="n"/>
      <c r="O35" s="38" t="n"/>
      <c r="P35" s="5" t="n"/>
      <c r="Q35" s="5" t="n"/>
      <c r="R35" s="5" t="inlineStr">
        <is>
          <t>pse</t>
        </is>
      </c>
      <c r="S35" s="5" t="n"/>
      <c r="T35" s="24" t="n"/>
      <c r="U35" s="38" t="n"/>
      <c r="V35" s="5" t="n"/>
      <c r="W35" s="5" t="n"/>
      <c r="X35" s="5" t="inlineStr">
        <is>
          <t>pse</t>
        </is>
      </c>
      <c r="Y35" s="5" t="n"/>
      <c r="Z35" s="24" t="n"/>
    </row>
    <row r="36" ht="15.75" customHeight="1" s="98">
      <c r="A36" s="39" t="n"/>
      <c r="B36" s="40" t="n"/>
      <c r="C36" s="41" t="n"/>
      <c r="D36" s="41" t="n"/>
      <c r="E36" s="42" t="n"/>
      <c r="F36" s="45">
        <f>IFERROR(__xludf.DUMMYFUNCTION("IFERROR(
$E36/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prs!$A$18:$D$24,
4,
FALSE
)
,"""")"),"")</f>
        <v/>
      </c>
      <c r="G36" s="45" t="n"/>
      <c r="H36" s="47" t="n"/>
      <c r="I36" s="41" t="n"/>
      <c r="J36" s="41" t="n"/>
      <c r="K36" s="42" t="n"/>
      <c r="L36" s="45">
        <f>IFERROR(__xludf.DUMMYFUNCTION("IFERROR(
$K36/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prs!$A$18:$D$24,
4,
FALSE
)
,"""")"),"")</f>
        <v/>
      </c>
      <c r="M36" s="45" t="n"/>
      <c r="N36" s="49" t="n"/>
      <c r="O36" s="41" t="n"/>
      <c r="P36" s="41" t="n"/>
      <c r="Q36" s="42" t="n"/>
      <c r="R36" s="45">
        <f>IFERROR(__xludf.DUMMYFUNCTION("IFERROR(
$Q36/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prs!$A$18:$D$24,
4,
FALSE
)
,"""")"),"")</f>
        <v/>
      </c>
      <c r="S36" s="45" t="n"/>
      <c r="T36" s="49" t="n"/>
      <c r="U36" s="41" t="n"/>
      <c r="V36" s="41" t="n"/>
      <c r="W36" s="42" t="n"/>
      <c r="X36" s="45">
        <f>IFERROR(__xludf.DUMMYFUNCTION("IFERROR(
$W36/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prs!$A$18:$D$24,
4,
FALSE
)
,"""")"),"")</f>
        <v/>
      </c>
      <c r="Y36" s="45" t="n"/>
      <c r="Z36" s="39" t="n"/>
    </row>
    <row r="37" ht="15.75" customHeight="1" s="98">
      <c r="A37" s="39" t="n"/>
      <c r="B37" s="40" t="n"/>
      <c r="C37" s="41" t="n"/>
      <c r="D37" s="41" t="n"/>
      <c r="E37" s="42" t="n"/>
      <c r="F37" s="45">
        <f>IFERROR(__xludf.DUMMYFUNCTION("IFERROR(
$E37/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prs!$A$18:$D$24,
4,
FALSE
)
,"""")"),"")</f>
        <v/>
      </c>
      <c r="G37" s="45" t="n"/>
      <c r="H37" s="47" t="n"/>
      <c r="I37" s="41" t="n"/>
      <c r="J37" s="41" t="n"/>
      <c r="K37" s="42" t="n"/>
      <c r="L37" s="45">
        <f>IFERROR(__xludf.DUMMYFUNCTION("IFERROR(
$K37/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prs!$A$18:$D$24,
4,
FALSE
)
,"""")"),"")</f>
        <v/>
      </c>
      <c r="M37" s="45" t="n"/>
      <c r="N37" s="49" t="n"/>
      <c r="O37" s="41" t="n"/>
      <c r="P37" s="41" t="n"/>
      <c r="Q37" s="42" t="n"/>
      <c r="R37" s="45">
        <f>IFERROR(__xludf.DUMMYFUNCTION("IFERROR(
$Q37/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prs!$A$18:$D$24,
4,
FALSE
)
,"""")"),"")</f>
        <v/>
      </c>
      <c r="S37" s="45" t="n"/>
      <c r="T37" s="49" t="n"/>
      <c r="U37" s="41" t="n"/>
      <c r="V37" s="41" t="n"/>
      <c r="W37" s="42" t="n"/>
      <c r="X37" s="45">
        <f>IFERROR(__xludf.DUMMYFUNCTION("IFERROR(
$W37/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prs!$A$18:$D$24,
4,
FALSE
)
,"""")"),"")</f>
        <v/>
      </c>
      <c r="Y37" s="45" t="n"/>
      <c r="Z37" s="39" t="n"/>
    </row>
    <row r="38" ht="15.75" customHeight="1" s="98">
      <c r="A38" s="39" t="n"/>
      <c r="B38" s="40" t="n"/>
      <c r="C38" s="41" t="n"/>
      <c r="D38" s="41" t="n"/>
      <c r="E38" s="42" t="n"/>
      <c r="F38" s="45">
        <f>IFERROR(__xludf.DUMMYFUNCTION("IFERROR(
$E38/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prs!$A$18:$D$24,
4,
FALSE
)
,"""")"),"")</f>
        <v/>
      </c>
      <c r="G38" s="45" t="n"/>
      <c r="H38" s="47" t="n"/>
      <c r="I38" s="41" t="n"/>
      <c r="J38" s="41" t="n"/>
      <c r="K38" s="42" t="n"/>
      <c r="L38" s="45">
        <f>IFERROR(__xludf.DUMMYFUNCTION("IFERROR(
$K38/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prs!$A$18:$D$24,
4,
FALSE
)
,"""")"),"")</f>
        <v/>
      </c>
      <c r="M38" s="45" t="n"/>
      <c r="N38" s="49" t="n"/>
      <c r="O38" s="41" t="n"/>
      <c r="P38" s="41" t="n"/>
      <c r="Q38" s="42" t="n"/>
      <c r="R38" s="45">
        <f>IFERROR(__xludf.DUMMYFUNCTION("IFERROR(
$Q38/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prs!$A$18:$D$24,
4,
FALSE
)
,"""")"),"")</f>
        <v/>
      </c>
      <c r="S38" s="45" t="n"/>
      <c r="T38" s="49" t="n"/>
      <c r="U38" s="41" t="n"/>
      <c r="V38" s="41" t="n"/>
      <c r="W38" s="42" t="n"/>
      <c r="X38" s="45">
        <f>IFERROR(__xludf.DUMMYFUNCTION("IFERROR(
$W38/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prs!$A$18:$D$24,
4,
FALSE
)
,"""")"),"")</f>
        <v/>
      </c>
      <c r="Y38" s="45" t="n"/>
      <c r="Z38" s="39" t="n"/>
    </row>
    <row r="39" ht="15.75" customHeight="1" s="98">
      <c r="A39" s="39" t="n"/>
      <c r="B39" s="40" t="n"/>
      <c r="C39" s="50" t="n"/>
      <c r="D39" s="50" t="n"/>
      <c r="E39" s="51" t="n"/>
      <c r="F39" s="45">
        <f>IFERROR(__xludf.DUMMYFUNCTION("IFERROR(
$E39/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prs!$A$18:$D$24,
4,
FALSE
)
,"""")"),"")</f>
        <v/>
      </c>
      <c r="G39" s="45" t="n"/>
      <c r="H39" s="47" t="n"/>
      <c r="I39" s="50" t="n"/>
      <c r="J39" s="50" t="n"/>
      <c r="K39" s="51" t="n"/>
      <c r="L39" s="45">
        <f>IFERROR(__xludf.DUMMYFUNCTION("IFERROR(
$K39/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prs!$A$18:$D$24,
4,
FALSE
)
,"""")"),"")</f>
        <v/>
      </c>
      <c r="M39" s="45" t="n"/>
      <c r="N39" s="49" t="n"/>
      <c r="O39" s="50" t="n"/>
      <c r="P39" s="50" t="n"/>
      <c r="Q39" s="51" t="n"/>
      <c r="R39" s="45">
        <f>IFERROR(__xludf.DUMMYFUNCTION("IFERROR(
$Q39/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prs!$A$18:$D$24,
4,
FALSE
)
,"""")"),"")</f>
        <v/>
      </c>
      <c r="S39" s="45" t="n"/>
      <c r="T39" s="49" t="n"/>
      <c r="U39" s="50" t="n"/>
      <c r="V39" s="50" t="n"/>
      <c r="W39" s="51" t="n"/>
      <c r="X39" s="45">
        <f>IFERROR(__xludf.DUMMYFUNCTION("IFERROR(
$W39/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prs!$A$18:$D$24,
4,
FALSE
)
,"""")"),"")</f>
        <v/>
      </c>
      <c r="Y39" s="45" t="n"/>
      <c r="Z39" s="39" t="n"/>
    </row>
    <row r="40" ht="15.75" customHeight="1" s="98">
      <c r="A40" s="39" t="n"/>
      <c r="B40" s="40" t="n"/>
      <c r="C40" s="50" t="n"/>
      <c r="D40" s="50" t="n"/>
      <c r="E40" s="51" t="n"/>
      <c r="F40" s="45">
        <f>IFERROR(__xludf.DUMMYFUNCTION("IFERROR(
$E40/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prs!$A$18:$D$24,
4,
FALSE
)
,"""")"),"")</f>
        <v/>
      </c>
      <c r="G40" s="45" t="n"/>
      <c r="H40" s="47" t="n"/>
      <c r="I40" s="50" t="n"/>
      <c r="J40" s="50" t="n"/>
      <c r="K40" s="51" t="n"/>
      <c r="L40" s="45">
        <f>IFERROR(__xludf.DUMMYFUNCTION("IFERROR(
$K40/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prs!$A$18:$D$24,
4,
FALSE
)
,"""")"),"")</f>
        <v/>
      </c>
      <c r="M40" s="45" t="n"/>
      <c r="N40" s="49" t="n"/>
      <c r="O40" s="50" t="n"/>
      <c r="P40" s="50" t="n"/>
      <c r="Q40" s="51" t="n"/>
      <c r="R40" s="45">
        <f>IFERROR(__xludf.DUMMYFUNCTION("IFERROR(
$Q40/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prs!$A$18:$D$24,
4,
FALSE
)
,"""")"),"")</f>
        <v/>
      </c>
      <c r="S40" s="45" t="n"/>
      <c r="T40" s="49" t="n"/>
      <c r="U40" s="50" t="n"/>
      <c r="V40" s="50" t="n"/>
      <c r="W40" s="51" t="n"/>
      <c r="X40" s="45">
        <f>IFERROR(__xludf.DUMMYFUNCTION("IFERROR(
$W40/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prs!$A$18:$D$24,
4,
FALSE
)
,"""")"),"")</f>
        <v/>
      </c>
      <c r="Y40" s="45" t="n"/>
      <c r="Z40" s="39" t="n"/>
    </row>
    <row r="41" ht="15.75" customHeight="1" s="98">
      <c r="A41" s="39" t="n"/>
      <c r="B41" s="40" t="n"/>
      <c r="C41" s="50" t="n"/>
      <c r="D41" s="50" t="n"/>
      <c r="E41" s="51" t="n"/>
      <c r="F41" s="45">
        <f>IFERROR(__xludf.DUMMYFUNCTION("IFERROR(
$E41/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prs!$A$18:$D$24,
4,
FALSE
)
,"""")"),"")</f>
        <v/>
      </c>
      <c r="G41" s="45" t="n"/>
      <c r="H41" s="47" t="n"/>
      <c r="I41" s="50" t="n"/>
      <c r="J41" s="50" t="n"/>
      <c r="K41" s="51" t="n"/>
      <c r="L41" s="45">
        <f>IFERROR(__xludf.DUMMYFUNCTION("IFERROR(
$K41/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prs!$A$18:$D$24,
4,
FALSE
)
,"""")"),"")</f>
        <v/>
      </c>
      <c r="M41" s="45" t="n"/>
      <c r="N41" s="49" t="n"/>
      <c r="O41" s="50" t="n"/>
      <c r="P41" s="50" t="n"/>
      <c r="Q41" s="51" t="n"/>
      <c r="R41" s="45">
        <f>IFERROR(__xludf.DUMMYFUNCTION("IFERROR(
$Q41/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prs!$A$18:$D$24,
4,
FALSE
)
,"""")"),"")</f>
        <v/>
      </c>
      <c r="S41" s="45" t="n"/>
      <c r="T41" s="49" t="n"/>
      <c r="U41" s="50" t="n"/>
      <c r="V41" s="50" t="n"/>
      <c r="W41" s="51" t="n"/>
      <c r="X41" s="45">
        <f>IFERROR(__xludf.DUMMYFUNCTION("IFERROR(
$W41/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prs!$A$18:$D$24,
4,
FALSE
)
,"""")"),"")</f>
        <v/>
      </c>
      <c r="Y41" s="45" t="n"/>
      <c r="Z41" s="39" t="n"/>
    </row>
    <row r="42" ht="15.75" customHeight="1" s="98">
      <c r="A42" s="39" t="n"/>
      <c r="B42" s="40" t="n"/>
      <c r="C42" s="50" t="n"/>
      <c r="D42" s="50" t="n"/>
      <c r="E42" s="51" t="n"/>
      <c r="F42" s="45">
        <f>IFERROR(__xludf.DUMMYFUNCTION("IFERROR(
$E42/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prs!$A$18:$D$24,
4,
FALSE
)
,"""")"),"")</f>
        <v/>
      </c>
      <c r="G42" s="45" t="n"/>
      <c r="H42" s="47" t="n"/>
      <c r="I42" s="50" t="n"/>
      <c r="J42" s="50" t="n"/>
      <c r="K42" s="51" t="n"/>
      <c r="L42" s="45">
        <f>IFERROR(__xludf.DUMMYFUNCTION("IFERROR(
$K42/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prs!$A$18:$D$24,
4,
FALSE
)
,"""")"),"")</f>
        <v/>
      </c>
      <c r="M42" s="45" t="n"/>
      <c r="N42" s="49" t="n"/>
      <c r="O42" s="50" t="n"/>
      <c r="P42" s="50" t="n"/>
      <c r="Q42" s="51" t="n"/>
      <c r="R42" s="45">
        <f>IFERROR(__xludf.DUMMYFUNCTION("IFERROR(
$Q42/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prs!$A$18:$D$24,
4,
FALSE
)
,"""")"),"")</f>
        <v/>
      </c>
      <c r="S42" s="45" t="n"/>
      <c r="T42" s="49" t="n"/>
      <c r="U42" s="50" t="n"/>
      <c r="V42" s="50" t="n"/>
      <c r="W42" s="51" t="n"/>
      <c r="X42" s="45">
        <f>IFERROR(__xludf.DUMMYFUNCTION("IFERROR(
$W42/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prs!$A$18:$D$24,
4,
FALSE
)
,"""")"),"")</f>
        <v/>
      </c>
      <c r="Y42" s="45" t="n"/>
      <c r="Z42" s="39" t="n"/>
    </row>
    <row r="43" ht="15.75" customHeight="1" s="98">
      <c r="A43" s="39" t="n"/>
      <c r="B43" s="40" t="n"/>
      <c r="C43" s="50" t="n"/>
      <c r="D43" s="50" t="n"/>
      <c r="E43" s="51" t="n"/>
      <c r="F43" s="45">
        <f>IFERROR(__xludf.DUMMYFUNCTION("IFERROR(
$E43/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prs!$A$18:$D$24,
4,
FALSE
)
,"""")"),"")</f>
        <v/>
      </c>
      <c r="G43" s="45" t="n"/>
      <c r="H43" s="47" t="n"/>
      <c r="I43" s="50" t="n"/>
      <c r="J43" s="50" t="n"/>
      <c r="K43" s="51" t="n"/>
      <c r="L43" s="45">
        <f>IFERROR(__xludf.DUMMYFUNCTION("IFERROR(
$K43/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prs!$A$18:$D$24,
4,
FALSE
)
,"""")"),"")</f>
        <v/>
      </c>
      <c r="M43" s="45" t="n"/>
      <c r="N43" s="49" t="n"/>
      <c r="O43" s="50" t="n"/>
      <c r="P43" s="50" t="n"/>
      <c r="Q43" s="51" t="n"/>
      <c r="R43" s="45">
        <f>IFERROR(__xludf.DUMMYFUNCTION("IFERROR(
$Q43/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prs!$A$18:$D$24,
4,
FALSE
)
,"""")"),"")</f>
        <v/>
      </c>
      <c r="S43" s="45" t="n"/>
      <c r="T43" s="49" t="n"/>
      <c r="U43" s="50" t="n"/>
      <c r="V43" s="50" t="n"/>
      <c r="W43" s="51" t="n"/>
      <c r="X43" s="45">
        <f>IFERROR(__xludf.DUMMYFUNCTION("IFERROR(
$W43/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prs!$A$18:$D$24,
4,
FALSE
)
,"""")"),"")</f>
        <v/>
      </c>
      <c r="Y43" s="45" t="n"/>
      <c r="Z43" s="39" t="n"/>
    </row>
    <row r="44" ht="15.75" customHeight="1" s="98">
      <c r="A44" s="39" t="n"/>
      <c r="B44" s="40" t="n"/>
      <c r="C44" s="50" t="n"/>
      <c r="D44" s="50" t="n"/>
      <c r="E44" s="51" t="n"/>
      <c r="F44" s="45">
        <f>IFERROR(__xludf.DUMMYFUNCTION("IFERROR(
$E44/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prs!$A$18:$D$24,
4,
FALSE
)
,"""")"),"")</f>
        <v/>
      </c>
      <c r="G44" s="45" t="n"/>
      <c r="H44" s="47" t="n"/>
      <c r="I44" s="50" t="n"/>
      <c r="J44" s="50" t="n"/>
      <c r="K44" s="51" t="n"/>
      <c r="L44" s="45">
        <f>IFERROR(__xludf.DUMMYFUNCTION("IFERROR(
$K44/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prs!$A$18:$D$24,
4,
FALSE
)
,"""")"),"")</f>
        <v/>
      </c>
      <c r="M44" s="45" t="n"/>
      <c r="N44" s="49" t="n"/>
      <c r="O44" s="50" t="n"/>
      <c r="P44" s="50" t="n"/>
      <c r="Q44" s="51" t="n"/>
      <c r="R44" s="45">
        <f>IFERROR(__xludf.DUMMYFUNCTION("IFERROR(
$Q44/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prs!$A$18:$D$24,
4,
FALSE
)
,"""")"),"")</f>
        <v/>
      </c>
      <c r="S44" s="45" t="n"/>
      <c r="T44" s="49" t="n"/>
      <c r="U44" s="50" t="n"/>
      <c r="V44" s="50" t="n"/>
      <c r="W44" s="51" t="n"/>
      <c r="X44" s="45">
        <f>IFERROR(__xludf.DUMMYFUNCTION("IFERROR(
$W44/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prs!$A$18:$D$24,
4,
FALSE
)
,"""")"),"")</f>
        <v/>
      </c>
      <c r="Y44" s="45" t="n"/>
      <c r="Z44" s="39" t="n"/>
    </row>
    <row r="45" ht="15.75" customHeight="1" s="98">
      <c r="A45" s="39" t="n"/>
      <c r="B45" s="40" t="n"/>
      <c r="C45" s="50" t="n"/>
      <c r="D45" s="50" t="n"/>
      <c r="E45" s="51" t="n"/>
      <c r="F45" s="45">
        <f>IFERROR(__xludf.DUMMYFUNCTION("IFERROR(
$E45/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prs!$A$18:$D$24,
4,
FALSE
)
,"""")"),"")</f>
        <v/>
      </c>
      <c r="G45" s="45" t="n"/>
      <c r="H45" s="47" t="n"/>
      <c r="I45" s="50" t="n"/>
      <c r="J45" s="50" t="n"/>
      <c r="K45" s="51" t="n"/>
      <c r="L45" s="45">
        <f>IFERROR(__xludf.DUMMYFUNCTION("IFERROR(
$K45/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prs!$A$18:$D$24,
4,
FALSE
)
,"""")"),"")</f>
        <v/>
      </c>
      <c r="M45" s="45" t="n"/>
      <c r="N45" s="49" t="n"/>
      <c r="O45" s="50" t="n"/>
      <c r="P45" s="50" t="n"/>
      <c r="Q45" s="51" t="n"/>
      <c r="R45" s="45">
        <f>IFERROR(__xludf.DUMMYFUNCTION("IFERROR(
$Q45/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prs!$A$18:$D$24,
4,
FALSE
)
,"""")"),"")</f>
        <v/>
      </c>
      <c r="S45" s="45" t="n"/>
      <c r="T45" s="49" t="n"/>
      <c r="U45" s="50" t="n"/>
      <c r="V45" s="50" t="n"/>
      <c r="W45" s="51" t="n"/>
      <c r="X45" s="45">
        <f>IFERROR(__xludf.DUMMYFUNCTION("IFERROR(
$W45/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prs!$A$18:$D$24,
4,
FALSE
)
,"""")"),"")</f>
        <v/>
      </c>
      <c r="Y45" s="45" t="n"/>
      <c r="Z45" s="39" t="n"/>
    </row>
    <row r="46" ht="15.75" customHeight="1" s="98">
      <c r="A46" s="31" t="n"/>
      <c r="B46" s="52" t="n"/>
      <c r="C46" s="32" t="inlineStr">
        <is>
          <t>SEMANA 01</t>
        </is>
      </c>
      <c r="H46" s="24" t="n"/>
      <c r="I46" s="32" t="inlineStr">
        <is>
          <t>SEMANA 02</t>
        </is>
      </c>
      <c r="N46" s="24" t="n"/>
      <c r="O46" s="32" t="inlineStr">
        <is>
          <t>SEMANA 03</t>
        </is>
      </c>
      <c r="T46" s="24" t="n"/>
      <c r="U46" s="32" t="inlineStr">
        <is>
          <t>SEMANA 04</t>
        </is>
      </c>
      <c r="Z46" s="24" t="n"/>
    </row>
    <row r="47" ht="15.75" customHeight="1" s="98">
      <c r="A47" s="47" t="n"/>
      <c r="B47" s="47" t="n"/>
      <c r="C47" s="47" t="n"/>
      <c r="D47" s="47" t="n"/>
      <c r="H47" s="47" t="n"/>
      <c r="I47" s="47" t="n"/>
      <c r="J47" s="47" t="n"/>
      <c r="N47" s="47" t="n"/>
      <c r="O47" s="47" t="n"/>
      <c r="P47" s="47" t="n"/>
      <c r="T47" s="47" t="n"/>
      <c r="U47" s="47" t="n"/>
      <c r="V47" s="47" t="n"/>
      <c r="Z47" s="47" t="n"/>
    </row>
    <row r="48" ht="15.75" customHeight="1" s="9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 s="98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 s="98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 s="98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 s="98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 s="98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 s="98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 s="98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 s="98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 s="98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 s="9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 s="98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 s="98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 s="98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 s="98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 s="98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 s="98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 s="98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 s="98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 s="98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5.75" customHeight="1" s="9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5.75" customHeight="1" s="98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5.75" customHeight="1" s="98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5.75" customHeight="1" s="98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5.75" customHeight="1" s="98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5.75" customHeight="1" s="98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5.75" customHeight="1" s="98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5.75" customHeight="1" s="98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5.75" customHeight="1" s="98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5.75" customHeight="1" s="98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5.75" customHeight="1" s="9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5.75" customHeight="1" s="98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5.75" customHeight="1" s="98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5.75" customHeight="1" s="98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5.75" customHeight="1" s="98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5.75" customHeight="1" s="98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5.75" customHeight="1" s="98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5.75" customHeight="1" s="98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5.75" customHeight="1" s="98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5.75" customHeight="1" s="98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5.75" customHeight="1" s="9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5.75" customHeight="1" s="98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5.75" customHeight="1" s="98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5.75" customHeight="1" s="98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5.75" customHeight="1" s="98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5.75" customHeight="1" s="98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5.75" customHeight="1" s="98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5.75" customHeight="1" s="98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5.75" customHeight="1" s="98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5.75" customHeight="1" s="98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5.75" customHeight="1" s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5.75" customHeight="1" s="98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5.75" customHeight="1" s="98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5.75" customHeight="1" s="98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5.75" customHeight="1" s="98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5.75" customHeight="1" s="98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5.75" customHeight="1" s="98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5.75" customHeight="1" s="98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5.75" customHeight="1" s="98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5.75" customHeight="1" s="98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5.75" customHeight="1" s="9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5.75" customHeight="1" s="98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5.75" customHeight="1" s="98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5.75" customHeight="1" s="98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5.75" customHeight="1" s="98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5.75" customHeight="1" s="98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5.75" customHeight="1" s="98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5.75" customHeight="1" s="98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5.75" customHeight="1" s="98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5.75" customHeight="1" s="98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5.75" customHeight="1" s="9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5.75" customHeight="1" s="98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5.75" customHeight="1" s="98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5.75" customHeight="1" s="98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5.75" customHeight="1" s="98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5.75" customHeight="1" s="98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5.75" customHeight="1" s="98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5.75" customHeight="1" s="98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5.75" customHeight="1" s="98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5.75" customHeight="1" s="98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5.75" customHeight="1" s="9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5.75" customHeight="1" s="98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5.75" customHeight="1" s="98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5.75" customHeight="1" s="98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5.75" customHeight="1" s="98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5.75" customHeight="1" s="98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5.75" customHeight="1" s="98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5.75" customHeight="1" s="98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5.75" customHeight="1" s="98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5.75" customHeight="1" s="98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5.75" customHeight="1" s="9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5.75" customHeight="1" s="98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5.75" customHeight="1" s="98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5.75" customHeight="1" s="98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5.75" customHeight="1" s="98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5.75" customHeight="1" s="98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5.75" customHeight="1" s="98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5.75" customHeight="1" s="98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5.75" customHeight="1" s="98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5.75" customHeight="1" s="98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5.75" customHeight="1" s="9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5.75" customHeight="1" s="98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5.75" customHeight="1" s="98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5.75" customHeight="1" s="98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5.75" customHeight="1" s="98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5.75" customHeight="1" s="98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5.75" customHeight="1" s="98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5.75" customHeight="1" s="98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5.75" customHeight="1" s="98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5.75" customHeight="1" s="98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5.75" customHeight="1" s="9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5.75" customHeight="1" s="98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5.75" customHeight="1" s="98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5.75" customHeight="1" s="98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5.75" customHeight="1" s="98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5.75" customHeight="1" s="98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5.75" customHeight="1" s="98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5.75" customHeight="1" s="98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5.75" customHeight="1" s="98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5.75" customHeight="1" s="98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5.75" customHeight="1" s="9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5.75" customHeight="1" s="98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5.75" customHeight="1" s="98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5.75" customHeight="1" s="98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5.75" customHeight="1" s="98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5.75" customHeight="1" s="98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5.75" customHeight="1" s="98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5.75" customHeight="1" s="98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5.75" customHeight="1" s="98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5.75" customHeight="1" s="98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5.75" customHeight="1" s="9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5.75" customHeight="1" s="98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5.75" customHeight="1" s="98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5.75" customHeight="1" s="98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5.75" customHeight="1" s="98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5.75" customHeight="1" s="98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5.75" customHeight="1" s="98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5.75" customHeight="1" s="98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5.75" customHeight="1" s="98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5.75" customHeight="1" s="98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5.75" customHeight="1" s="9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5.75" customHeight="1" s="98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5.75" customHeight="1" s="98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5.75" customHeight="1" s="98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5.75" customHeight="1" s="98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5.75" customHeight="1" s="98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5.75" customHeight="1" s="98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5.75" customHeight="1" s="98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5.75" customHeight="1" s="98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5.75" customHeight="1" s="98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5.75" customHeight="1" s="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5.75" customHeight="1" s="98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5.75" customHeight="1" s="98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5.75" customHeight="1" s="98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5.75" customHeight="1" s="98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5.75" customHeight="1" s="98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5.75" customHeight="1" s="98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5.75" customHeight="1" s="98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5.75" customHeight="1" s="98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5.75" customHeight="1" s="98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5.75" customHeight="1" s="9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5.75" customHeight="1" s="98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5.75" customHeight="1" s="98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5.75" customHeight="1" s="98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5.75" customHeight="1" s="98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5.75" customHeight="1" s="98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5.75" customHeight="1" s="98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5.75" customHeight="1" s="98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5.75" customHeight="1" s="98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5.75" customHeight="1" s="98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5.75" customHeight="1" s="9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mergeCells count="40">
    <mergeCell ref="V32:Y32"/>
    <mergeCell ref="U31:Y31"/>
    <mergeCell ref="P47:S47"/>
    <mergeCell ref="O3:S3"/>
    <mergeCell ref="C18:G18"/>
    <mergeCell ref="J47:M47"/>
    <mergeCell ref="C33:G33"/>
    <mergeCell ref="I46:M46"/>
    <mergeCell ref="O33:S33"/>
    <mergeCell ref="J2:M2"/>
    <mergeCell ref="U46:Y46"/>
    <mergeCell ref="O18:S18"/>
    <mergeCell ref="V47:Y47"/>
    <mergeCell ref="J17:M17"/>
    <mergeCell ref="C16:G16"/>
    <mergeCell ref="I16:M16"/>
    <mergeCell ref="V2:Y2"/>
    <mergeCell ref="V17:Y17"/>
    <mergeCell ref="U16:Y16"/>
    <mergeCell ref="C31:G31"/>
    <mergeCell ref="O31:S31"/>
    <mergeCell ref="I18:M18"/>
    <mergeCell ref="I3:M3"/>
    <mergeCell ref="O16:S16"/>
    <mergeCell ref="C46:G46"/>
    <mergeCell ref="U3:Y3"/>
    <mergeCell ref="O46:S46"/>
    <mergeCell ref="I33:M33"/>
    <mergeCell ref="U33:Y33"/>
    <mergeCell ref="D2:G2"/>
    <mergeCell ref="U18:Y18"/>
    <mergeCell ref="P2:S2"/>
    <mergeCell ref="D32:G32"/>
    <mergeCell ref="D17:G17"/>
    <mergeCell ref="D47:G47"/>
    <mergeCell ref="P17:S17"/>
    <mergeCell ref="J32:M32"/>
    <mergeCell ref="P32:S32"/>
    <mergeCell ref="I31:M31"/>
    <mergeCell ref="C3:G3"/>
  </mergeCells>
  <conditionalFormatting sqref="B6:B15 B36:B45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G1000"/>
  <sheetViews>
    <sheetView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7.5" customHeight="1" s="98">
      <c r="A1" s="8" t="n"/>
      <c r="B1" s="9" t="inlineStr">
        <is>
          <t>PLANILHA DE TREINAMENTO</t>
        </is>
      </c>
    </row>
    <row r="2" ht="15.75" customHeight="1" s="98">
      <c r="B2" s="11" t="inlineStr">
        <is>
          <t>NOME</t>
        </is>
      </c>
      <c r="C2" s="18">
        <f>'aluno 01'!C2</f>
        <v/>
      </c>
    </row>
    <row r="3" ht="15.75" customHeight="1" s="98">
      <c r="B3" s="11" t="inlineStr">
        <is>
          <t>OBJETIVO</t>
        </is>
      </c>
      <c r="C3" s="18">
        <f>'aluno 01'!C3</f>
        <v/>
      </c>
    </row>
    <row r="4" ht="15.75" customHeight="1" s="98">
      <c r="A4" s="15" t="n"/>
      <c r="B4" s="16" t="n"/>
      <c r="C4" s="17" t="n"/>
      <c r="D4" s="19" t="n"/>
      <c r="E4" s="20" t="n"/>
      <c r="F4" s="21" t="n"/>
      <c r="G4" s="21" t="n"/>
    </row>
    <row r="5" ht="15.75" customHeight="1" s="98">
      <c r="A5" s="23" t="n"/>
      <c r="B5" s="25" t="inlineStr">
        <is>
          <t>SEGUNDA</t>
        </is>
      </c>
      <c r="C5" s="25" t="inlineStr">
        <is>
          <t>TERÇA</t>
        </is>
      </c>
      <c r="D5" s="25" t="inlineStr">
        <is>
          <t>QUARTA</t>
        </is>
      </c>
      <c r="E5" s="25" t="inlineStr">
        <is>
          <t>QUINTA</t>
        </is>
      </c>
      <c r="F5" s="25" t="inlineStr">
        <is>
          <t>SEXTA</t>
        </is>
      </c>
      <c r="G5" s="5" t="n"/>
    </row>
    <row r="6" ht="15.75" customHeight="1" s="98">
      <c r="A6" s="26" t="n"/>
      <c r="B6" s="27">
        <f>'aluno 01'!B6</f>
        <v/>
      </c>
      <c r="C6" s="27">
        <f>'aluno 01'!C6</f>
        <v/>
      </c>
      <c r="D6" s="27">
        <f>'aluno 01'!D6</f>
        <v/>
      </c>
      <c r="E6" s="27">
        <f>'aluno 01'!E6</f>
        <v/>
      </c>
      <c r="F6" s="27">
        <f>'aluno 01'!F6</f>
        <v/>
      </c>
      <c r="G6" s="5" t="n"/>
    </row>
    <row r="7" ht="15.75" customHeight="1" s="98">
      <c r="A7" s="26" t="n"/>
      <c r="B7" s="28" t="n"/>
      <c r="C7" s="28" t="n"/>
      <c r="D7" s="28" t="n"/>
      <c r="E7" s="28" t="n"/>
      <c r="F7" s="28" t="n"/>
      <c r="G7" s="28" t="n"/>
    </row>
    <row r="8" ht="15.75" customHeight="1" s="98">
      <c r="A8" s="29" t="inlineStr">
        <is>
          <t>OBS</t>
        </is>
      </c>
    </row>
    <row r="9" ht="15.75" customHeight="1" s="98">
      <c r="A9" s="35">
        <f>'aluno 01'!A9</f>
        <v/>
      </c>
    </row>
    <row r="10" ht="15.75" customHeight="1" s="98"/>
    <row r="11" ht="15.75" customHeight="1" s="98">
      <c r="A11" s="29" t="inlineStr">
        <is>
          <t>AQC</t>
        </is>
      </c>
    </row>
    <row r="12" ht="15.75" customHeight="1" s="98">
      <c r="A12" s="2" t="n"/>
      <c r="B12" s="31" t="inlineStr">
        <is>
          <t>SETS</t>
        </is>
      </c>
      <c r="C12" s="31" t="inlineStr">
        <is>
          <t>REPS / TEMPO</t>
        </is>
      </c>
      <c r="D12" s="32" t="inlineStr">
        <is>
          <t>KG</t>
        </is>
      </c>
      <c r="E12" s="32" t="inlineStr">
        <is>
          <t>OBS</t>
        </is>
      </c>
    </row>
    <row r="13" ht="15.75" customHeight="1" s="98">
      <c r="A13" s="33" t="n"/>
      <c r="B13" s="34" t="n"/>
      <c r="C13" s="34" t="n"/>
      <c r="D13" s="34" t="n"/>
      <c r="E13" s="35" t="n"/>
    </row>
    <row r="14" ht="15.75" customHeight="1" s="98">
      <c r="A14" s="36" t="n"/>
      <c r="B14" s="37" t="n"/>
      <c r="C14" s="37" t="n"/>
      <c r="D14" s="34" t="n"/>
      <c r="E14" s="35" t="n"/>
    </row>
    <row r="15" ht="15.75" customHeight="1" s="98">
      <c r="A15" s="33" t="n"/>
      <c r="B15" s="34" t="n"/>
      <c r="C15" s="34" t="n"/>
      <c r="D15" s="34" t="n"/>
      <c r="E15" s="35" t="n"/>
    </row>
    <row r="16" ht="15.75" customHeight="1" s="98">
      <c r="A16" s="43">
        <f>'bloco 03'!C3</f>
        <v/>
      </c>
    </row>
    <row r="17" ht="15.75" customHeight="1" s="98">
      <c r="A17" s="44" t="inlineStr">
        <is>
          <t>SEMANA 01</t>
        </is>
      </c>
    </row>
    <row r="18" ht="15.75" customHeight="1" s="98">
      <c r="A18" s="29" t="inlineStr">
        <is>
          <t>TREINO 01</t>
        </is>
      </c>
    </row>
    <row r="19" ht="15.75" customHeight="1" s="98">
      <c r="A19" s="31" t="n"/>
      <c r="B19" s="31" t="inlineStr">
        <is>
          <t>SETS</t>
        </is>
      </c>
      <c r="C19" s="32" t="inlineStr">
        <is>
          <t>REPS</t>
        </is>
      </c>
      <c r="D19" s="32" t="inlineStr">
        <is>
          <t>KG</t>
        </is>
      </c>
      <c r="E19" s="32" t="inlineStr">
        <is>
          <t>%1RM / PSE</t>
        </is>
      </c>
      <c r="F19" s="32" t="inlineStr">
        <is>
          <t>OBS</t>
        </is>
      </c>
    </row>
    <row r="20" ht="15.75" customHeight="1" s="98">
      <c r="A20" s="14">
        <f>'bloco 03'!$B6</f>
        <v/>
      </c>
      <c r="B20" s="46">
        <f>'bloco 03'!C6</f>
        <v/>
      </c>
      <c r="C20" s="46">
        <f>'bloco 03'!D6</f>
        <v/>
      </c>
      <c r="D20" s="46">
        <f>'bloco 03'!E6</f>
        <v/>
      </c>
      <c r="E20" s="45">
        <f>IFERROR(('bloco 03'!F6),"")</f>
        <v/>
      </c>
      <c r="F20" s="48">
        <f>'bloco 03'!G6</f>
        <v/>
      </c>
    </row>
    <row r="21" ht="15.75" customHeight="1" s="98">
      <c r="A21" s="14">
        <f>'bloco 03'!$B7</f>
        <v/>
      </c>
      <c r="B21" s="46">
        <f>'bloco 03'!C7</f>
        <v/>
      </c>
      <c r="C21" s="46">
        <f>'bloco 03'!D7</f>
        <v/>
      </c>
      <c r="D21" s="46">
        <f>'bloco 03'!E7</f>
        <v/>
      </c>
      <c r="E21" s="45">
        <f>IFERROR(('bloco 03'!F7),"")</f>
        <v/>
      </c>
      <c r="F21" s="48">
        <f>'bloco 03'!G7</f>
        <v/>
      </c>
    </row>
    <row r="22" ht="15.75" customHeight="1" s="98">
      <c r="A22" s="14">
        <f>'bloco 03'!$B8</f>
        <v/>
      </c>
      <c r="B22" s="46">
        <f>'bloco 03'!C8</f>
        <v/>
      </c>
      <c r="C22" s="46">
        <f>'bloco 03'!D8</f>
        <v/>
      </c>
      <c r="D22" s="46">
        <f>'bloco 03'!E8</f>
        <v/>
      </c>
      <c r="E22" s="45">
        <f>IFERROR(('bloco 03'!F8),"")</f>
        <v/>
      </c>
      <c r="F22" s="48">
        <f>'bloco 03'!G8</f>
        <v/>
      </c>
    </row>
    <row r="23" ht="15.75" customHeight="1" s="98">
      <c r="A23" s="14">
        <f>'bloco 03'!$B9</f>
        <v/>
      </c>
      <c r="B23" s="46">
        <f>'bloco 03'!C9</f>
        <v/>
      </c>
      <c r="C23" s="46">
        <f>'bloco 03'!D9</f>
        <v/>
      </c>
      <c r="D23" s="46">
        <f>'bloco 03'!E9</f>
        <v/>
      </c>
      <c r="E23" s="45">
        <f>IFERROR(('bloco 03'!F9),"")</f>
        <v/>
      </c>
      <c r="F23" s="48">
        <f>'bloco 03'!G9</f>
        <v/>
      </c>
    </row>
    <row r="24" ht="15.75" customHeight="1" s="98">
      <c r="A24" s="14">
        <f>'bloco 03'!$B10</f>
        <v/>
      </c>
      <c r="B24" s="46">
        <f>'bloco 03'!C10</f>
        <v/>
      </c>
      <c r="C24" s="46">
        <f>'bloco 03'!D10</f>
        <v/>
      </c>
      <c r="D24" s="46">
        <f>'bloco 03'!E10</f>
        <v/>
      </c>
      <c r="E24" s="45">
        <f>IFERROR(('bloco 03'!F10),"")</f>
        <v/>
      </c>
      <c r="F24" s="48">
        <f>'bloco 03'!G10</f>
        <v/>
      </c>
    </row>
    <row r="25" ht="15.75" customHeight="1" s="98">
      <c r="A25" s="14">
        <f>'bloco 03'!$B11</f>
        <v/>
      </c>
      <c r="B25" s="46">
        <f>'bloco 03'!C11</f>
        <v/>
      </c>
      <c r="C25" s="46">
        <f>'bloco 03'!D11</f>
        <v/>
      </c>
      <c r="D25" s="46">
        <f>'bloco 03'!E11</f>
        <v/>
      </c>
      <c r="E25" s="45">
        <f>IFERROR(('bloco 03'!F11),"")</f>
        <v/>
      </c>
      <c r="F25" s="48">
        <f>'bloco 03'!G11</f>
        <v/>
      </c>
    </row>
    <row r="26" ht="15.75" customHeight="1" s="98">
      <c r="A26" s="14">
        <f>'bloco 03'!$B12</f>
        <v/>
      </c>
      <c r="B26" s="46">
        <f>'bloco 03'!C12</f>
        <v/>
      </c>
      <c r="C26" s="46">
        <f>'bloco 03'!D12</f>
        <v/>
      </c>
      <c r="D26" s="46">
        <f>'bloco 03'!E12</f>
        <v/>
      </c>
      <c r="E26" s="45">
        <f>IFERROR(('bloco 03'!F12),"")</f>
        <v/>
      </c>
      <c r="F26" s="48">
        <f>'bloco 03'!G12</f>
        <v/>
      </c>
    </row>
    <row r="27" ht="15.75" customHeight="1" s="98">
      <c r="A27" s="14">
        <f>'bloco 03'!$B13</f>
        <v/>
      </c>
      <c r="B27" s="46">
        <f>'bloco 03'!C13</f>
        <v/>
      </c>
      <c r="C27" s="46">
        <f>'bloco 03'!D13</f>
        <v/>
      </c>
      <c r="D27" s="46">
        <f>'bloco 03'!E13</f>
        <v/>
      </c>
      <c r="E27" s="45">
        <f>IFERROR(('bloco 03'!F13),"")</f>
        <v/>
      </c>
      <c r="F27" s="48">
        <f>'bloco 03'!G13</f>
        <v/>
      </c>
    </row>
    <row r="28" ht="15.75" customHeight="1" s="98">
      <c r="A28" s="14">
        <f>'bloco 03'!$B14</f>
        <v/>
      </c>
      <c r="B28" s="46">
        <f>'bloco 03'!C14</f>
        <v/>
      </c>
      <c r="C28" s="46">
        <f>'bloco 03'!D14</f>
        <v/>
      </c>
      <c r="D28" s="46">
        <f>'bloco 03'!E14</f>
        <v/>
      </c>
      <c r="E28" s="45">
        <f>IFERROR(('bloco 03'!F14),"")</f>
        <v/>
      </c>
      <c r="F28" s="48">
        <f>'bloco 03'!G14</f>
        <v/>
      </c>
    </row>
    <row r="29" ht="15.75" customHeight="1" s="98">
      <c r="A29" s="14">
        <f>'bloco 03'!$B15</f>
        <v/>
      </c>
      <c r="B29" s="46">
        <f>'bloco 03'!C15</f>
        <v/>
      </c>
      <c r="C29" s="46">
        <f>'bloco 03'!D15</f>
        <v/>
      </c>
      <c r="D29" s="46">
        <f>'bloco 03'!E15</f>
        <v/>
      </c>
      <c r="E29" s="45">
        <f>IFERROR(('bloco 03'!F15),"")</f>
        <v/>
      </c>
      <c r="F29" s="48">
        <f>'bloco 03'!G15</f>
        <v/>
      </c>
    </row>
    <row r="30" ht="15.75" customHeight="1" s="98">
      <c r="A30" s="29" t="inlineStr">
        <is>
          <t>TREINO 02</t>
        </is>
      </c>
    </row>
    <row r="31" ht="15.75" customHeight="1" s="98">
      <c r="A31" s="31" t="n"/>
      <c r="B31" s="31" t="inlineStr">
        <is>
          <t>SETS</t>
        </is>
      </c>
      <c r="C31" s="32" t="inlineStr">
        <is>
          <t>REPS</t>
        </is>
      </c>
      <c r="D31" s="32" t="inlineStr">
        <is>
          <t>KG</t>
        </is>
      </c>
      <c r="E31" s="32" t="inlineStr">
        <is>
          <t>%1RM / PSE</t>
        </is>
      </c>
      <c r="F31" s="32" t="inlineStr">
        <is>
          <t>OBS</t>
        </is>
      </c>
    </row>
    <row r="32" ht="15.75" customHeight="1" s="98">
      <c r="A32" s="14">
        <f>'bloco 03'!$B21</f>
        <v/>
      </c>
      <c r="B32" s="46">
        <f>'bloco 03'!C21</f>
        <v/>
      </c>
      <c r="C32" s="46">
        <f>'bloco 03'!D21</f>
        <v/>
      </c>
      <c r="D32" s="46">
        <f>'bloco 03'!E21</f>
        <v/>
      </c>
      <c r="E32" s="45">
        <f>IFERROR(('bloco 03'!F21),"")</f>
        <v/>
      </c>
      <c r="F32" s="48">
        <f>'bloco 03'!G21</f>
        <v/>
      </c>
    </row>
    <row r="33" ht="15.75" customHeight="1" s="98">
      <c r="A33" s="14">
        <f>'bloco 03'!$B22</f>
        <v/>
      </c>
      <c r="B33" s="46">
        <f>'bloco 03'!C22</f>
        <v/>
      </c>
      <c r="C33" s="46">
        <f>'bloco 03'!D22</f>
        <v/>
      </c>
      <c r="D33" s="46">
        <f>'bloco 03'!E22</f>
        <v/>
      </c>
      <c r="E33" s="45">
        <f>IFERROR(('bloco 03'!F22),"")</f>
        <v/>
      </c>
      <c r="F33" s="48">
        <f>'bloco 03'!G22</f>
        <v/>
      </c>
    </row>
    <row r="34" ht="15.75" customHeight="1" s="98">
      <c r="A34" s="14">
        <f>'bloco 03'!$B23</f>
        <v/>
      </c>
      <c r="B34" s="46">
        <f>'bloco 03'!C23</f>
        <v/>
      </c>
      <c r="C34" s="46">
        <f>'bloco 03'!D23</f>
        <v/>
      </c>
      <c r="D34" s="46">
        <f>'bloco 03'!E23</f>
        <v/>
      </c>
      <c r="E34" s="45">
        <f>IFERROR(('bloco 03'!F23),"")</f>
        <v/>
      </c>
      <c r="F34" s="48">
        <f>'bloco 03'!G23</f>
        <v/>
      </c>
    </row>
    <row r="35" ht="15.75" customHeight="1" s="98">
      <c r="A35" s="14">
        <f>'bloco 03'!$B24</f>
        <v/>
      </c>
      <c r="B35" s="46">
        <f>'bloco 03'!C24</f>
        <v/>
      </c>
      <c r="C35" s="46">
        <f>'bloco 03'!D24</f>
        <v/>
      </c>
      <c r="D35" s="46">
        <f>'bloco 03'!E24</f>
        <v/>
      </c>
      <c r="E35" s="45">
        <f>IFERROR(('bloco 03'!F24),"")</f>
        <v/>
      </c>
      <c r="F35" s="48">
        <f>'bloco 03'!G24</f>
        <v/>
      </c>
    </row>
    <row r="36" ht="15.75" customHeight="1" s="98">
      <c r="A36" s="14">
        <f>'bloco 03'!$B25</f>
        <v/>
      </c>
      <c r="B36" s="46">
        <f>'bloco 03'!C25</f>
        <v/>
      </c>
      <c r="C36" s="46">
        <f>'bloco 03'!D25</f>
        <v/>
      </c>
      <c r="D36" s="46">
        <f>'bloco 03'!E25</f>
        <v/>
      </c>
      <c r="E36" s="45">
        <f>IFERROR(('bloco 03'!F25),"")</f>
        <v/>
      </c>
      <c r="F36" s="48">
        <f>'bloco 03'!G25</f>
        <v/>
      </c>
    </row>
    <row r="37" ht="15.75" customHeight="1" s="98">
      <c r="A37" s="14">
        <f>'bloco 03'!$B26</f>
        <v/>
      </c>
      <c r="B37" s="46">
        <f>'bloco 03'!C26</f>
        <v/>
      </c>
      <c r="C37" s="46">
        <f>'bloco 03'!D26</f>
        <v/>
      </c>
      <c r="D37" s="46">
        <f>'bloco 03'!E26</f>
        <v/>
      </c>
      <c r="E37" s="45">
        <f>IFERROR(('bloco 03'!F26),"")</f>
        <v/>
      </c>
      <c r="F37" s="48">
        <f>'bloco 03'!G26</f>
        <v/>
      </c>
    </row>
    <row r="38" ht="15.75" customHeight="1" s="98">
      <c r="A38" s="14">
        <f>'bloco 03'!$B27</f>
        <v/>
      </c>
      <c r="B38" s="46">
        <f>'bloco 03'!C27</f>
        <v/>
      </c>
      <c r="C38" s="46">
        <f>'bloco 03'!D27</f>
        <v/>
      </c>
      <c r="D38" s="46">
        <f>'bloco 03'!E27</f>
        <v/>
      </c>
      <c r="E38" s="45">
        <f>IFERROR(('bloco 03'!F27),"")</f>
        <v/>
      </c>
      <c r="F38" s="48">
        <f>'bloco 03'!G27</f>
        <v/>
      </c>
    </row>
    <row r="39" ht="15.75" customHeight="1" s="98">
      <c r="A39" s="14">
        <f>'bloco 03'!$B28</f>
        <v/>
      </c>
      <c r="B39" s="46">
        <f>'bloco 03'!C28</f>
        <v/>
      </c>
      <c r="C39" s="46">
        <f>'bloco 03'!D28</f>
        <v/>
      </c>
      <c r="D39" s="46">
        <f>'bloco 03'!E28</f>
        <v/>
      </c>
      <c r="E39" s="45">
        <f>IFERROR(('bloco 03'!F28),"")</f>
        <v/>
      </c>
      <c r="F39" s="48">
        <f>'bloco 03'!G28</f>
        <v/>
      </c>
    </row>
    <row r="40" ht="15.75" customHeight="1" s="98">
      <c r="A40" s="14">
        <f>'bloco 03'!$B29</f>
        <v/>
      </c>
      <c r="B40" s="46">
        <f>'bloco 03'!C29</f>
        <v/>
      </c>
      <c r="C40" s="46">
        <f>'bloco 03'!D29</f>
        <v/>
      </c>
      <c r="D40" s="46">
        <f>'bloco 03'!E29</f>
        <v/>
      </c>
      <c r="E40" s="45">
        <f>IFERROR(('bloco 03'!F29),"")</f>
        <v/>
      </c>
      <c r="F40" s="48">
        <f>'bloco 03'!G29</f>
        <v/>
      </c>
    </row>
    <row r="41" ht="15.75" customHeight="1" s="98">
      <c r="A41" s="14">
        <f>'bloco 03'!$B30</f>
        <v/>
      </c>
      <c r="B41" s="46">
        <f>'bloco 03'!C30</f>
        <v/>
      </c>
      <c r="C41" s="46">
        <f>'bloco 03'!D30</f>
        <v/>
      </c>
      <c r="D41" s="46">
        <f>'bloco 03'!E30</f>
        <v/>
      </c>
      <c r="E41" s="45">
        <f>IFERROR(('bloco 03'!F30),"")</f>
        <v/>
      </c>
      <c r="F41" s="48">
        <f>'bloco 03'!G30</f>
        <v/>
      </c>
    </row>
    <row r="42" ht="15.75" customHeight="1" s="98">
      <c r="A42" s="29" t="inlineStr">
        <is>
          <t>TREINO 03</t>
        </is>
      </c>
    </row>
    <row r="43" ht="15.75" customHeight="1" s="98">
      <c r="A43" s="31" t="n"/>
      <c r="B43" s="31" t="inlineStr">
        <is>
          <t>SETS</t>
        </is>
      </c>
      <c r="C43" s="32" t="inlineStr">
        <is>
          <t>REPS</t>
        </is>
      </c>
      <c r="D43" s="32" t="inlineStr">
        <is>
          <t>KG</t>
        </is>
      </c>
      <c r="E43" s="32" t="inlineStr">
        <is>
          <t>%1RM / PSE</t>
        </is>
      </c>
      <c r="F43" s="32" t="inlineStr">
        <is>
          <t>OBS</t>
        </is>
      </c>
    </row>
    <row r="44" ht="15.75" customHeight="1" s="98">
      <c r="A44" s="14">
        <f>'bloco 03'!$B36</f>
        <v/>
      </c>
      <c r="B44" s="46">
        <f>'bloco 03'!C36</f>
        <v/>
      </c>
      <c r="C44" s="46">
        <f>'bloco 03'!D36</f>
        <v/>
      </c>
      <c r="D44" s="46">
        <f>'bloco 03'!E36</f>
        <v/>
      </c>
      <c r="E44" s="45">
        <f>IFERROR(('bloco 03'!F36),"")</f>
        <v/>
      </c>
      <c r="F44" s="48">
        <f>'bloco 03'!G36</f>
        <v/>
      </c>
    </row>
    <row r="45" ht="15.75" customHeight="1" s="98">
      <c r="A45" s="14">
        <f>'bloco 03'!$B37</f>
        <v/>
      </c>
      <c r="B45" s="46">
        <f>'bloco 03'!C37</f>
        <v/>
      </c>
      <c r="C45" s="46">
        <f>'bloco 03'!D37</f>
        <v/>
      </c>
      <c r="D45" s="46">
        <f>'bloco 03'!E37</f>
        <v/>
      </c>
      <c r="E45" s="45">
        <f>IFERROR(('bloco 03'!F37),"")</f>
        <v/>
      </c>
      <c r="F45" s="48">
        <f>'bloco 03'!G37</f>
        <v/>
      </c>
    </row>
    <row r="46" ht="15.75" customHeight="1" s="98">
      <c r="A46" s="14">
        <f>'bloco 03'!$B38</f>
        <v/>
      </c>
      <c r="B46" s="46">
        <f>'bloco 03'!C38</f>
        <v/>
      </c>
      <c r="C46" s="46">
        <f>'bloco 03'!D38</f>
        <v/>
      </c>
      <c r="D46" s="46">
        <f>'bloco 03'!E38</f>
        <v/>
      </c>
      <c r="E46" s="45">
        <f>IFERROR(('bloco 03'!F38),"")</f>
        <v/>
      </c>
      <c r="F46" s="48">
        <f>'bloco 03'!G38</f>
        <v/>
      </c>
    </row>
    <row r="47" ht="15.75" customHeight="1" s="98">
      <c r="A47" s="14">
        <f>'bloco 03'!$B39</f>
        <v/>
      </c>
      <c r="B47" s="46">
        <f>'bloco 03'!C39</f>
        <v/>
      </c>
      <c r="C47" s="46">
        <f>'bloco 03'!D39</f>
        <v/>
      </c>
      <c r="D47" s="46">
        <f>'bloco 03'!E39</f>
        <v/>
      </c>
      <c r="E47" s="45">
        <f>IFERROR(('bloco 03'!F39),"")</f>
        <v/>
      </c>
      <c r="F47" s="48">
        <f>'bloco 03'!G39</f>
        <v/>
      </c>
    </row>
    <row r="48" ht="15.75" customHeight="1" s="98">
      <c r="A48" s="14">
        <f>'bloco 03'!$B40</f>
        <v/>
      </c>
      <c r="B48" s="46">
        <f>'bloco 03'!C40</f>
        <v/>
      </c>
      <c r="C48" s="46">
        <f>'bloco 03'!D40</f>
        <v/>
      </c>
      <c r="D48" s="46">
        <f>'bloco 03'!E40</f>
        <v/>
      </c>
      <c r="E48" s="45">
        <f>IFERROR(('bloco 03'!F40),"")</f>
        <v/>
      </c>
      <c r="F48" s="48">
        <f>'bloco 03'!G40</f>
        <v/>
      </c>
    </row>
    <row r="49" ht="15.75" customHeight="1" s="98">
      <c r="A49" s="14">
        <f>'bloco 03'!$B41</f>
        <v/>
      </c>
      <c r="B49" s="46">
        <f>'bloco 03'!C41</f>
        <v/>
      </c>
      <c r="C49" s="46">
        <f>'bloco 03'!D41</f>
        <v/>
      </c>
      <c r="D49" s="46">
        <f>'bloco 03'!E41</f>
        <v/>
      </c>
      <c r="E49" s="45">
        <f>IFERROR(('bloco 03'!F41),"")</f>
        <v/>
      </c>
      <c r="F49" s="48">
        <f>'bloco 03'!G41</f>
        <v/>
      </c>
    </row>
    <row r="50" ht="15.75" customHeight="1" s="98">
      <c r="A50" s="14">
        <f>'bloco 03'!$B42</f>
        <v/>
      </c>
      <c r="B50" s="46">
        <f>'bloco 03'!C42</f>
        <v/>
      </c>
      <c r="C50" s="46">
        <f>'bloco 03'!D42</f>
        <v/>
      </c>
      <c r="D50" s="46">
        <f>'bloco 03'!E42</f>
        <v/>
      </c>
      <c r="E50" s="45">
        <f>IFERROR(('bloco 03'!F42),"")</f>
        <v/>
      </c>
      <c r="F50" s="48">
        <f>'bloco 03'!G42</f>
        <v/>
      </c>
    </row>
    <row r="51" ht="15.75" customHeight="1" s="98">
      <c r="A51" s="14">
        <f>'bloco 03'!$B43</f>
        <v/>
      </c>
      <c r="B51" s="46">
        <f>'bloco 03'!C43</f>
        <v/>
      </c>
      <c r="C51" s="46">
        <f>'bloco 03'!D43</f>
        <v/>
      </c>
      <c r="D51" s="46">
        <f>'bloco 03'!E43</f>
        <v/>
      </c>
      <c r="E51" s="45">
        <f>IFERROR(('bloco 03'!F43),"")</f>
        <v/>
      </c>
      <c r="F51" s="48">
        <f>'bloco 03'!G43</f>
        <v/>
      </c>
    </row>
    <row r="52" ht="15.75" customHeight="1" s="98">
      <c r="A52" s="14">
        <f>'bloco 03'!$B44</f>
        <v/>
      </c>
      <c r="B52" s="46">
        <f>'bloco 03'!C44</f>
        <v/>
      </c>
      <c r="C52" s="46">
        <f>'bloco 03'!D44</f>
        <v/>
      </c>
      <c r="D52" s="46">
        <f>'bloco 03'!E44</f>
        <v/>
      </c>
      <c r="E52" s="45">
        <f>IFERROR(('bloco 03'!F44),"")</f>
        <v/>
      </c>
      <c r="F52" s="48">
        <f>'bloco 03'!G44</f>
        <v/>
      </c>
    </row>
    <row r="53" ht="15.75" customHeight="1" s="98">
      <c r="A53" s="14">
        <f>'bloco 03'!$B45</f>
        <v/>
      </c>
      <c r="B53" s="46">
        <f>'bloco 03'!C45</f>
        <v/>
      </c>
      <c r="C53" s="46">
        <f>'bloco 03'!D45</f>
        <v/>
      </c>
      <c r="D53" s="46">
        <f>'bloco 03'!E45</f>
        <v/>
      </c>
      <c r="E53" s="45">
        <f>IFERROR(('bloco 03'!F45),"")</f>
        <v/>
      </c>
      <c r="F53" s="48">
        <f>'bloco 03'!G45</f>
        <v/>
      </c>
    </row>
    <row r="54" ht="15.75" customHeight="1" s="98">
      <c r="A54" s="43">
        <f>'bloco 03'!I3</f>
        <v/>
      </c>
    </row>
    <row r="55" ht="15.75" customHeight="1" s="98">
      <c r="A55" s="44" t="inlineStr">
        <is>
          <t>SEMANA 02</t>
        </is>
      </c>
    </row>
    <row r="56" ht="15.75" customHeight="1" s="98">
      <c r="A56" s="29" t="inlineStr">
        <is>
          <t>TREINO 01</t>
        </is>
      </c>
    </row>
    <row r="57" ht="15.75" customHeight="1" s="98">
      <c r="A57" s="31" t="n"/>
      <c r="B57" s="31" t="inlineStr">
        <is>
          <t>SETS</t>
        </is>
      </c>
      <c r="C57" s="32" t="inlineStr">
        <is>
          <t>REPS</t>
        </is>
      </c>
      <c r="D57" s="32" t="inlineStr">
        <is>
          <t>KG</t>
        </is>
      </c>
      <c r="E57" s="55" t="inlineStr">
        <is>
          <t>%1RM / PSE</t>
        </is>
      </c>
      <c r="F57" s="32" t="inlineStr">
        <is>
          <t>OBS</t>
        </is>
      </c>
    </row>
    <row r="58" ht="15.75" customHeight="1" s="98">
      <c r="A58" s="14">
        <f>'bloco 03'!$B6</f>
        <v/>
      </c>
      <c r="B58" s="46">
        <f>'bloco 03'!I6</f>
        <v/>
      </c>
      <c r="C58" s="46">
        <f>'bloco 03'!J6</f>
        <v/>
      </c>
      <c r="D58" s="46">
        <f>'bloco 03'!K6</f>
        <v/>
      </c>
      <c r="E58" s="45">
        <f>IFERROR(('bloco 03'!L6),"")</f>
        <v/>
      </c>
      <c r="F58" s="48">
        <f>'bloco 03'!M6</f>
        <v/>
      </c>
    </row>
    <row r="59" ht="15.75" customHeight="1" s="98">
      <c r="A59" s="14">
        <f>'bloco 03'!$B7</f>
        <v/>
      </c>
      <c r="B59" s="46">
        <f>'bloco 03'!I7</f>
        <v/>
      </c>
      <c r="C59" s="46">
        <f>'bloco 03'!J7</f>
        <v/>
      </c>
      <c r="D59" s="46">
        <f>'bloco 03'!K7</f>
        <v/>
      </c>
      <c r="E59" s="45">
        <f>IFERROR(('bloco 03'!L7),"")</f>
        <v/>
      </c>
      <c r="F59" s="48">
        <f>'bloco 03'!M7</f>
        <v/>
      </c>
    </row>
    <row r="60" ht="15.75" customHeight="1" s="98">
      <c r="A60" s="14">
        <f>'bloco 03'!$B8</f>
        <v/>
      </c>
      <c r="B60" s="46">
        <f>'bloco 03'!I8</f>
        <v/>
      </c>
      <c r="C60" s="46">
        <f>'bloco 03'!J8</f>
        <v/>
      </c>
      <c r="D60" s="46">
        <f>'bloco 03'!K8</f>
        <v/>
      </c>
      <c r="E60" s="45">
        <f>IFERROR(('bloco 03'!L8),"")</f>
        <v/>
      </c>
      <c r="F60" s="48">
        <f>'bloco 03'!M8</f>
        <v/>
      </c>
    </row>
    <row r="61" ht="15.75" customHeight="1" s="98">
      <c r="A61" s="14">
        <f>'bloco 03'!$B9</f>
        <v/>
      </c>
      <c r="B61" s="46">
        <f>'bloco 03'!I9</f>
        <v/>
      </c>
      <c r="C61" s="46">
        <f>'bloco 03'!J9</f>
        <v/>
      </c>
      <c r="D61" s="46">
        <f>'bloco 03'!K9</f>
        <v/>
      </c>
      <c r="E61" s="45">
        <f>IFERROR(('bloco 03'!L9),"")</f>
        <v/>
      </c>
      <c r="F61" s="48">
        <f>'bloco 03'!M9</f>
        <v/>
      </c>
    </row>
    <row r="62" ht="15.75" customHeight="1" s="98">
      <c r="A62" s="14">
        <f>'bloco 03'!$B10</f>
        <v/>
      </c>
      <c r="B62" s="46">
        <f>'bloco 03'!I10</f>
        <v/>
      </c>
      <c r="C62" s="46">
        <f>'bloco 03'!J10</f>
        <v/>
      </c>
      <c r="D62" s="46">
        <f>'bloco 03'!K10</f>
        <v/>
      </c>
      <c r="E62" s="45">
        <f>IFERROR(('bloco 03'!L10),"")</f>
        <v/>
      </c>
      <c r="F62" s="48">
        <f>'bloco 03'!M10</f>
        <v/>
      </c>
    </row>
    <row r="63" ht="15.75" customHeight="1" s="98">
      <c r="A63" s="14">
        <f>'bloco 03'!$B11</f>
        <v/>
      </c>
      <c r="B63" s="46">
        <f>'bloco 03'!I11</f>
        <v/>
      </c>
      <c r="C63" s="46">
        <f>'bloco 03'!J11</f>
        <v/>
      </c>
      <c r="D63" s="46">
        <f>'bloco 03'!K11</f>
        <v/>
      </c>
      <c r="E63" s="45">
        <f>IFERROR(('bloco 03'!L11),"")</f>
        <v/>
      </c>
      <c r="F63" s="48">
        <f>'bloco 03'!M11</f>
        <v/>
      </c>
    </row>
    <row r="64" ht="15.75" customHeight="1" s="98">
      <c r="A64" s="14">
        <f>'bloco 03'!$B12</f>
        <v/>
      </c>
      <c r="B64" s="46">
        <f>'bloco 03'!I12</f>
        <v/>
      </c>
      <c r="C64" s="46">
        <f>'bloco 03'!J12</f>
        <v/>
      </c>
      <c r="D64" s="46">
        <f>'bloco 03'!K12</f>
        <v/>
      </c>
      <c r="E64" s="45">
        <f>IFERROR(('bloco 03'!L12),"")</f>
        <v/>
      </c>
      <c r="F64" s="48">
        <f>'bloco 03'!M12</f>
        <v/>
      </c>
    </row>
    <row r="65" ht="15.75" customHeight="1" s="98">
      <c r="A65" s="14">
        <f>'bloco 03'!$B13</f>
        <v/>
      </c>
      <c r="B65" s="46">
        <f>'bloco 03'!I13</f>
        <v/>
      </c>
      <c r="C65" s="46">
        <f>'bloco 03'!J13</f>
        <v/>
      </c>
      <c r="D65" s="46">
        <f>'bloco 03'!K13</f>
        <v/>
      </c>
      <c r="E65" s="45">
        <f>IFERROR(('bloco 03'!L13),"")</f>
        <v/>
      </c>
      <c r="F65" s="48">
        <f>'bloco 03'!M13</f>
        <v/>
      </c>
    </row>
    <row r="66" ht="15.75" customHeight="1" s="98">
      <c r="A66" s="14">
        <f>'bloco 03'!$B14</f>
        <v/>
      </c>
      <c r="B66" s="46">
        <f>'bloco 03'!I14</f>
        <v/>
      </c>
      <c r="C66" s="46">
        <f>'bloco 03'!J14</f>
        <v/>
      </c>
      <c r="D66" s="46">
        <f>'bloco 03'!K14</f>
        <v/>
      </c>
      <c r="E66" s="45">
        <f>IFERROR(('bloco 03'!L14),"")</f>
        <v/>
      </c>
      <c r="F66" s="48">
        <f>'bloco 03'!M14</f>
        <v/>
      </c>
    </row>
    <row r="67" ht="15.75" customHeight="1" s="98">
      <c r="A67" s="14">
        <f>'bloco 03'!$B15</f>
        <v/>
      </c>
      <c r="B67" s="46">
        <f>'bloco 03'!I15</f>
        <v/>
      </c>
      <c r="C67" s="46">
        <f>'bloco 03'!J15</f>
        <v/>
      </c>
      <c r="D67" s="46">
        <f>'bloco 03'!K15</f>
        <v/>
      </c>
      <c r="E67" s="45">
        <f>IFERROR(('bloco 03'!L15),"")</f>
        <v/>
      </c>
      <c r="F67" s="48">
        <f>'bloco 03'!M15</f>
        <v/>
      </c>
    </row>
    <row r="68" ht="15.75" customHeight="1" s="98">
      <c r="A68" s="29" t="inlineStr">
        <is>
          <t>TREINO 02</t>
        </is>
      </c>
    </row>
    <row r="69" ht="15.75" customHeight="1" s="98">
      <c r="A69" s="31" t="n"/>
      <c r="B69" s="31" t="inlineStr">
        <is>
          <t>SETS</t>
        </is>
      </c>
      <c r="C69" s="32" t="inlineStr">
        <is>
          <t>REPS</t>
        </is>
      </c>
      <c r="D69" s="32" t="inlineStr">
        <is>
          <t>KG</t>
        </is>
      </c>
      <c r="E69" s="32" t="inlineStr">
        <is>
          <t>%1RM / PSE</t>
        </is>
      </c>
      <c r="F69" s="32" t="inlineStr">
        <is>
          <t>OBS</t>
        </is>
      </c>
    </row>
    <row r="70" ht="15.75" customHeight="1" s="98">
      <c r="A70" s="14">
        <f>'bloco 03'!$B21</f>
        <v/>
      </c>
      <c r="B70" s="46">
        <f>'bloco 03'!I21</f>
        <v/>
      </c>
      <c r="C70" s="46">
        <f>'bloco 03'!J21</f>
        <v/>
      </c>
      <c r="D70" s="46">
        <f>'bloco 03'!K21</f>
        <v/>
      </c>
      <c r="E70" s="45">
        <f>IFERROR(('bloco 03'!L21),"")</f>
        <v/>
      </c>
      <c r="F70" s="48">
        <f>'bloco 03'!M21</f>
        <v/>
      </c>
    </row>
    <row r="71" ht="15.75" customHeight="1" s="98">
      <c r="A71" s="14">
        <f>'bloco 03'!$B22</f>
        <v/>
      </c>
      <c r="B71" s="46">
        <f>'bloco 03'!I22</f>
        <v/>
      </c>
      <c r="C71" s="46">
        <f>'bloco 03'!J22</f>
        <v/>
      </c>
      <c r="D71" s="46">
        <f>'bloco 03'!K22</f>
        <v/>
      </c>
      <c r="E71" s="45">
        <f>IFERROR(('bloco 03'!L22),"")</f>
        <v/>
      </c>
      <c r="F71" s="48">
        <f>'bloco 03'!M22</f>
        <v/>
      </c>
    </row>
    <row r="72" ht="15.75" customHeight="1" s="98">
      <c r="A72" s="14">
        <f>'bloco 03'!$B23</f>
        <v/>
      </c>
      <c r="B72" s="46">
        <f>'bloco 03'!I23</f>
        <v/>
      </c>
      <c r="C72" s="46">
        <f>'bloco 03'!J23</f>
        <v/>
      </c>
      <c r="D72" s="46">
        <f>'bloco 03'!K23</f>
        <v/>
      </c>
      <c r="E72" s="45">
        <f>IFERROR(('bloco 03'!L23),"")</f>
        <v/>
      </c>
      <c r="F72" s="48">
        <f>'bloco 03'!M23</f>
        <v/>
      </c>
    </row>
    <row r="73" ht="15.75" customHeight="1" s="98">
      <c r="A73" s="14">
        <f>'bloco 03'!$B24</f>
        <v/>
      </c>
      <c r="B73" s="46">
        <f>'bloco 03'!I24</f>
        <v/>
      </c>
      <c r="C73" s="46">
        <f>'bloco 03'!J24</f>
        <v/>
      </c>
      <c r="D73" s="46">
        <f>'bloco 03'!K24</f>
        <v/>
      </c>
      <c r="E73" s="45">
        <f>IFERROR(('bloco 03'!L24),"")</f>
        <v/>
      </c>
      <c r="F73" s="48">
        <f>'bloco 03'!M24</f>
        <v/>
      </c>
    </row>
    <row r="74" ht="15.75" customHeight="1" s="98">
      <c r="A74" s="14">
        <f>'bloco 03'!$B25</f>
        <v/>
      </c>
      <c r="B74" s="46">
        <f>'bloco 03'!I25</f>
        <v/>
      </c>
      <c r="C74" s="46">
        <f>'bloco 03'!J25</f>
        <v/>
      </c>
      <c r="D74" s="46">
        <f>'bloco 03'!K25</f>
        <v/>
      </c>
      <c r="E74" s="45">
        <f>IFERROR(('bloco 03'!L25),"")</f>
        <v/>
      </c>
      <c r="F74" s="48">
        <f>'bloco 03'!M25</f>
        <v/>
      </c>
    </row>
    <row r="75" ht="15.75" customHeight="1" s="98">
      <c r="A75" s="14">
        <f>'bloco 03'!$B26</f>
        <v/>
      </c>
      <c r="B75" s="46">
        <f>'bloco 03'!I26</f>
        <v/>
      </c>
      <c r="C75" s="46">
        <f>'bloco 03'!J26</f>
        <v/>
      </c>
      <c r="D75" s="46">
        <f>'bloco 03'!K26</f>
        <v/>
      </c>
      <c r="E75" s="45">
        <f>IFERROR(('bloco 03'!L26),"")</f>
        <v/>
      </c>
      <c r="F75" s="48">
        <f>'bloco 03'!M26</f>
        <v/>
      </c>
    </row>
    <row r="76" ht="15.75" customHeight="1" s="98">
      <c r="A76" s="14">
        <f>'bloco 03'!$B27</f>
        <v/>
      </c>
      <c r="B76" s="46">
        <f>'bloco 03'!I27</f>
        <v/>
      </c>
      <c r="C76" s="46">
        <f>'bloco 03'!J27</f>
        <v/>
      </c>
      <c r="D76" s="46">
        <f>'bloco 03'!K27</f>
        <v/>
      </c>
      <c r="E76" s="45">
        <f>IFERROR(('bloco 03'!L27),"")</f>
        <v/>
      </c>
      <c r="F76" s="48">
        <f>'bloco 03'!M27</f>
        <v/>
      </c>
    </row>
    <row r="77" ht="15.75" customHeight="1" s="98">
      <c r="A77" s="14">
        <f>'bloco 03'!$B28</f>
        <v/>
      </c>
      <c r="B77" s="46">
        <f>'bloco 03'!I28</f>
        <v/>
      </c>
      <c r="C77" s="46">
        <f>'bloco 03'!J28</f>
        <v/>
      </c>
      <c r="D77" s="46">
        <f>'bloco 03'!K28</f>
        <v/>
      </c>
      <c r="E77" s="45">
        <f>IFERROR(('bloco 03'!L28),"")</f>
        <v/>
      </c>
      <c r="F77" s="48">
        <f>'bloco 03'!M28</f>
        <v/>
      </c>
    </row>
    <row r="78" ht="15.75" customHeight="1" s="98">
      <c r="A78" s="14">
        <f>'bloco 03'!$B29</f>
        <v/>
      </c>
      <c r="B78" s="46">
        <f>'bloco 03'!I29</f>
        <v/>
      </c>
      <c r="C78" s="46">
        <f>'bloco 03'!J29</f>
        <v/>
      </c>
      <c r="D78" s="46">
        <f>'bloco 03'!K29</f>
        <v/>
      </c>
      <c r="E78" s="45">
        <f>IFERROR(('bloco 03'!L29),"")</f>
        <v/>
      </c>
      <c r="F78" s="48">
        <f>'bloco 03'!M29</f>
        <v/>
      </c>
    </row>
    <row r="79" ht="15.75" customHeight="1" s="98">
      <c r="A79" s="14">
        <f>'bloco 03'!$B30</f>
        <v/>
      </c>
      <c r="B79" s="46">
        <f>'bloco 03'!I30</f>
        <v/>
      </c>
      <c r="C79" s="46">
        <f>'bloco 03'!J30</f>
        <v/>
      </c>
      <c r="D79" s="46">
        <f>'bloco 03'!K30</f>
        <v/>
      </c>
      <c r="E79" s="45">
        <f>IFERROR(('bloco 03'!L30),"")</f>
        <v/>
      </c>
      <c r="F79" s="48">
        <f>'bloco 03'!M30</f>
        <v/>
      </c>
    </row>
    <row r="80" ht="15.75" customHeight="1" s="98">
      <c r="A80" s="29" t="inlineStr">
        <is>
          <t>TREINO 03</t>
        </is>
      </c>
    </row>
    <row r="81" ht="15.75" customHeight="1" s="98">
      <c r="A81" s="31" t="n"/>
      <c r="B81" s="31" t="inlineStr">
        <is>
          <t>SETS</t>
        </is>
      </c>
      <c r="C81" s="32" t="inlineStr">
        <is>
          <t>REPS</t>
        </is>
      </c>
      <c r="D81" s="32" t="inlineStr">
        <is>
          <t>KG</t>
        </is>
      </c>
      <c r="E81" s="32" t="inlineStr">
        <is>
          <t>%1RM / PSE</t>
        </is>
      </c>
      <c r="F81" s="32" t="inlineStr">
        <is>
          <t>OBS</t>
        </is>
      </c>
    </row>
    <row r="82" ht="15.75" customHeight="1" s="98">
      <c r="A82" s="14">
        <f>'bloco 03'!$B36</f>
        <v/>
      </c>
      <c r="B82" s="46">
        <f>'bloco 03'!I36</f>
        <v/>
      </c>
      <c r="C82" s="46">
        <f>'bloco 03'!J36</f>
        <v/>
      </c>
      <c r="D82" s="46">
        <f>'bloco 03'!K36</f>
        <v/>
      </c>
      <c r="E82" s="45">
        <f>IFERROR(('bloco 03'!L36),"")</f>
        <v/>
      </c>
      <c r="F82" s="48">
        <f>'bloco 03'!M36</f>
        <v/>
      </c>
    </row>
    <row r="83" ht="15.75" customHeight="1" s="98">
      <c r="A83" s="14">
        <f>'bloco 03'!$B37</f>
        <v/>
      </c>
      <c r="B83" s="46">
        <f>'bloco 03'!I37</f>
        <v/>
      </c>
      <c r="C83" s="46">
        <f>'bloco 03'!J37</f>
        <v/>
      </c>
      <c r="D83" s="46">
        <f>'bloco 03'!K37</f>
        <v/>
      </c>
      <c r="E83" s="45">
        <f>IFERROR(('bloco 03'!L37),"")</f>
        <v/>
      </c>
      <c r="F83" s="48">
        <f>'bloco 03'!M37</f>
        <v/>
      </c>
    </row>
    <row r="84" ht="15.75" customHeight="1" s="98">
      <c r="A84" s="14">
        <f>'bloco 03'!$B38</f>
        <v/>
      </c>
      <c r="B84" s="46">
        <f>'bloco 03'!I38</f>
        <v/>
      </c>
      <c r="C84" s="46">
        <f>'bloco 03'!J38</f>
        <v/>
      </c>
      <c r="D84" s="46">
        <f>'bloco 03'!K38</f>
        <v/>
      </c>
      <c r="E84" s="45">
        <f>IFERROR(('bloco 03'!L38),"")</f>
        <v/>
      </c>
      <c r="F84" s="48">
        <f>'bloco 03'!M38</f>
        <v/>
      </c>
    </row>
    <row r="85" ht="15.75" customHeight="1" s="98">
      <c r="A85" s="14">
        <f>'bloco 03'!$B39</f>
        <v/>
      </c>
      <c r="B85" s="46">
        <f>'bloco 03'!I39</f>
        <v/>
      </c>
      <c r="C85" s="46">
        <f>'bloco 03'!J39</f>
        <v/>
      </c>
      <c r="D85" s="46">
        <f>'bloco 03'!K39</f>
        <v/>
      </c>
      <c r="E85" s="45">
        <f>IFERROR(('bloco 03'!L39),"")</f>
        <v/>
      </c>
      <c r="F85" s="48">
        <f>'bloco 03'!M39</f>
        <v/>
      </c>
    </row>
    <row r="86" ht="15.75" customHeight="1" s="98">
      <c r="A86" s="14">
        <f>'bloco 03'!$B40</f>
        <v/>
      </c>
      <c r="B86" s="46">
        <f>'bloco 03'!I40</f>
        <v/>
      </c>
      <c r="C86" s="46">
        <f>'bloco 03'!J40</f>
        <v/>
      </c>
      <c r="D86" s="46">
        <f>'bloco 03'!K40</f>
        <v/>
      </c>
      <c r="E86" s="45">
        <f>IFERROR(('bloco 03'!L40),"")</f>
        <v/>
      </c>
      <c r="F86" s="48">
        <f>'bloco 03'!M40</f>
        <v/>
      </c>
    </row>
    <row r="87" ht="15.75" customHeight="1" s="98">
      <c r="A87" s="14">
        <f>'bloco 03'!$B41</f>
        <v/>
      </c>
      <c r="B87" s="46">
        <f>'bloco 03'!I41</f>
        <v/>
      </c>
      <c r="C87" s="46">
        <f>'bloco 03'!J41</f>
        <v/>
      </c>
      <c r="D87" s="46">
        <f>'bloco 03'!K41</f>
        <v/>
      </c>
      <c r="E87" s="45">
        <f>IFERROR(('bloco 03'!L41),"")</f>
        <v/>
      </c>
      <c r="F87" s="48">
        <f>'bloco 03'!M41</f>
        <v/>
      </c>
    </row>
    <row r="88" ht="15.75" customHeight="1" s="98">
      <c r="A88" s="14">
        <f>'bloco 03'!$B42</f>
        <v/>
      </c>
      <c r="B88" s="46">
        <f>'bloco 03'!I42</f>
        <v/>
      </c>
      <c r="C88" s="46">
        <f>'bloco 03'!J42</f>
        <v/>
      </c>
      <c r="D88" s="46">
        <f>'bloco 03'!K42</f>
        <v/>
      </c>
      <c r="E88" s="45">
        <f>IFERROR(('bloco 03'!L42),"")</f>
        <v/>
      </c>
      <c r="F88" s="48">
        <f>'bloco 03'!M42</f>
        <v/>
      </c>
    </row>
    <row r="89" ht="15.75" customHeight="1" s="98">
      <c r="A89" s="14">
        <f>'bloco 03'!$B43</f>
        <v/>
      </c>
      <c r="B89" s="46">
        <f>'bloco 03'!I43</f>
        <v/>
      </c>
      <c r="C89" s="46">
        <f>'bloco 03'!J43</f>
        <v/>
      </c>
      <c r="D89" s="46">
        <f>'bloco 03'!K43</f>
        <v/>
      </c>
      <c r="E89" s="45">
        <f>IFERROR(('bloco 03'!L43),"")</f>
        <v/>
      </c>
      <c r="F89" s="48">
        <f>'bloco 03'!M43</f>
        <v/>
      </c>
    </row>
    <row r="90" ht="15.75" customHeight="1" s="98">
      <c r="A90" s="14">
        <f>'bloco 03'!$B44</f>
        <v/>
      </c>
      <c r="B90" s="46">
        <f>'bloco 03'!I44</f>
        <v/>
      </c>
      <c r="C90" s="46">
        <f>'bloco 03'!J44</f>
        <v/>
      </c>
      <c r="D90" s="46">
        <f>'bloco 03'!K44</f>
        <v/>
      </c>
      <c r="E90" s="45">
        <f>IFERROR(('bloco 03'!L44),"")</f>
        <v/>
      </c>
      <c r="F90" s="48">
        <f>'bloco 03'!M44</f>
        <v/>
      </c>
    </row>
    <row r="91" ht="15.75" customHeight="1" s="98">
      <c r="A91" s="14">
        <f>'bloco 03'!$B45</f>
        <v/>
      </c>
      <c r="B91" s="46">
        <f>'bloco 03'!I45</f>
        <v/>
      </c>
      <c r="C91" s="46">
        <f>'bloco 03'!J45</f>
        <v/>
      </c>
      <c r="D91" s="46">
        <f>'bloco 03'!K45</f>
        <v/>
      </c>
      <c r="E91" s="45">
        <f>IFERROR(('bloco 03'!L45),"")</f>
        <v/>
      </c>
      <c r="F91" s="48">
        <f>'bloco 03'!M45</f>
        <v/>
      </c>
    </row>
    <row r="92" ht="15.75" customHeight="1" s="98">
      <c r="A92" s="46" t="n"/>
    </row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>
      <c r="A109" s="43">
        <f>'bloco 03'!O3</f>
        <v/>
      </c>
    </row>
    <row r="110" ht="15.75" customHeight="1" s="98">
      <c r="A110" s="44" t="inlineStr">
        <is>
          <t>SEMANA 03</t>
        </is>
      </c>
    </row>
    <row r="111" ht="15.75" customHeight="1" s="98">
      <c r="A111" s="29" t="inlineStr">
        <is>
          <t>TREINO 01</t>
        </is>
      </c>
    </row>
    <row r="112" ht="15.75" customHeight="1" s="98">
      <c r="A112" s="31" t="n"/>
      <c r="B112" s="31" t="inlineStr">
        <is>
          <t>SETS</t>
        </is>
      </c>
      <c r="C112" s="32" t="inlineStr">
        <is>
          <t>REPS</t>
        </is>
      </c>
      <c r="D112" s="32" t="inlineStr">
        <is>
          <t>KG</t>
        </is>
      </c>
      <c r="E112" s="32" t="inlineStr">
        <is>
          <t>%1RM / PSE</t>
        </is>
      </c>
      <c r="F112" s="32" t="inlineStr">
        <is>
          <t>OBS</t>
        </is>
      </c>
    </row>
    <row r="113" ht="15.75" customHeight="1" s="98">
      <c r="A113" s="14">
        <f>'bloco 03'!$B6</f>
        <v/>
      </c>
      <c r="B113" s="46">
        <f>'bloco 03'!O6</f>
        <v/>
      </c>
      <c r="C113" s="46">
        <f>'bloco 03'!P6</f>
        <v/>
      </c>
      <c r="D113" s="46">
        <f>'bloco 03'!Q6</f>
        <v/>
      </c>
      <c r="E113" s="45">
        <f>IFERROR(('bloco 03'!R6),"")</f>
        <v/>
      </c>
      <c r="F113" s="48">
        <f>'bloco 03'!S6</f>
        <v/>
      </c>
    </row>
    <row r="114" ht="15.75" customHeight="1" s="98">
      <c r="A114" s="14">
        <f>'bloco 03'!$B7</f>
        <v/>
      </c>
      <c r="B114" s="46">
        <f>'bloco 03'!O7</f>
        <v/>
      </c>
      <c r="C114" s="46">
        <f>'bloco 03'!P7</f>
        <v/>
      </c>
      <c r="D114" s="46">
        <f>'bloco 03'!Q7</f>
        <v/>
      </c>
      <c r="E114" s="45">
        <f>IFERROR(('bloco 03'!R7),"")</f>
        <v/>
      </c>
      <c r="F114" s="48">
        <f>'bloco 03'!S7</f>
        <v/>
      </c>
    </row>
    <row r="115" ht="15.75" customHeight="1" s="98">
      <c r="A115" s="14">
        <f>'bloco 03'!$B8</f>
        <v/>
      </c>
      <c r="B115" s="46">
        <f>'bloco 03'!O8</f>
        <v/>
      </c>
      <c r="C115" s="46">
        <f>'bloco 03'!P8</f>
        <v/>
      </c>
      <c r="D115" s="46">
        <f>'bloco 03'!Q8</f>
        <v/>
      </c>
      <c r="E115" s="45">
        <f>IFERROR(('bloco 03'!R8),"")</f>
        <v/>
      </c>
      <c r="F115" s="48">
        <f>'bloco 03'!S8</f>
        <v/>
      </c>
    </row>
    <row r="116" ht="15.75" customHeight="1" s="98">
      <c r="A116" s="14">
        <f>'bloco 03'!$B9</f>
        <v/>
      </c>
      <c r="B116" s="46">
        <f>'bloco 03'!O9</f>
        <v/>
      </c>
      <c r="C116" s="46">
        <f>'bloco 03'!P9</f>
        <v/>
      </c>
      <c r="D116" s="46">
        <f>'bloco 03'!Q9</f>
        <v/>
      </c>
      <c r="E116" s="45">
        <f>IFERROR(('bloco 03'!R9),"")</f>
        <v/>
      </c>
      <c r="F116" s="48">
        <f>'bloco 03'!S9</f>
        <v/>
      </c>
    </row>
    <row r="117" ht="15.75" customHeight="1" s="98">
      <c r="A117" s="14">
        <f>'bloco 03'!$B10</f>
        <v/>
      </c>
      <c r="B117" s="46">
        <f>'bloco 03'!O10</f>
        <v/>
      </c>
      <c r="C117" s="46">
        <f>'bloco 03'!P10</f>
        <v/>
      </c>
      <c r="D117" s="46">
        <f>'bloco 03'!Q10</f>
        <v/>
      </c>
      <c r="E117" s="45">
        <f>IFERROR(('bloco 03'!R10),"")</f>
        <v/>
      </c>
      <c r="F117" s="48">
        <f>'bloco 03'!S10</f>
        <v/>
      </c>
    </row>
    <row r="118" ht="15.75" customHeight="1" s="98">
      <c r="A118" s="14">
        <f>'bloco 03'!$B11</f>
        <v/>
      </c>
      <c r="B118" s="46">
        <f>'bloco 03'!O11</f>
        <v/>
      </c>
      <c r="C118" s="46">
        <f>'bloco 03'!P11</f>
        <v/>
      </c>
      <c r="D118" s="46">
        <f>'bloco 03'!Q11</f>
        <v/>
      </c>
      <c r="E118" s="45">
        <f>IFERROR(('bloco 03'!R11),"")</f>
        <v/>
      </c>
      <c r="F118" s="48">
        <f>'bloco 03'!S11</f>
        <v/>
      </c>
    </row>
    <row r="119" ht="15.75" customHeight="1" s="98">
      <c r="A119" s="14">
        <f>'bloco 03'!$B12</f>
        <v/>
      </c>
      <c r="B119" s="46">
        <f>'bloco 03'!O12</f>
        <v/>
      </c>
      <c r="C119" s="46">
        <f>'bloco 03'!P12</f>
        <v/>
      </c>
      <c r="D119" s="46">
        <f>'bloco 03'!Q12</f>
        <v/>
      </c>
      <c r="E119" s="45">
        <f>IFERROR(('bloco 03'!R12),"")</f>
        <v/>
      </c>
      <c r="F119" s="48">
        <f>'bloco 03'!S12</f>
        <v/>
      </c>
    </row>
    <row r="120" ht="15.75" customHeight="1" s="98">
      <c r="A120" s="14">
        <f>'bloco 03'!$B13</f>
        <v/>
      </c>
      <c r="B120" s="46">
        <f>'bloco 03'!O13</f>
        <v/>
      </c>
      <c r="C120" s="46">
        <f>'bloco 03'!P13</f>
        <v/>
      </c>
      <c r="D120" s="46">
        <f>'bloco 03'!Q13</f>
        <v/>
      </c>
      <c r="E120" s="45">
        <f>IFERROR(('bloco 03'!R13),"")</f>
        <v/>
      </c>
      <c r="F120" s="48">
        <f>'bloco 03'!S13</f>
        <v/>
      </c>
    </row>
    <row r="121" ht="15.75" customHeight="1" s="98">
      <c r="A121" s="14">
        <f>'bloco 03'!$B14</f>
        <v/>
      </c>
      <c r="B121" s="46">
        <f>'bloco 03'!O14</f>
        <v/>
      </c>
      <c r="C121" s="46">
        <f>'bloco 03'!P14</f>
        <v/>
      </c>
      <c r="D121" s="46">
        <f>'bloco 03'!Q14</f>
        <v/>
      </c>
      <c r="E121" s="45">
        <f>IFERROR(('bloco 03'!R14),"")</f>
        <v/>
      </c>
      <c r="F121" s="48">
        <f>'bloco 03'!S14</f>
        <v/>
      </c>
    </row>
    <row r="122" ht="15.75" customHeight="1" s="98">
      <c r="A122" s="14">
        <f>'bloco 03'!$B15</f>
        <v/>
      </c>
      <c r="B122" s="46">
        <f>'bloco 03'!O15</f>
        <v/>
      </c>
      <c r="C122" s="46">
        <f>'bloco 03'!P15</f>
        <v/>
      </c>
      <c r="D122" s="46">
        <f>'bloco 03'!Q15</f>
        <v/>
      </c>
      <c r="E122" s="45">
        <f>IFERROR(('bloco 03'!R15),"")</f>
        <v/>
      </c>
      <c r="F122" s="48">
        <f>'bloco 03'!S15</f>
        <v/>
      </c>
    </row>
    <row r="123" ht="15.75" customHeight="1" s="98">
      <c r="A123" s="29" t="inlineStr">
        <is>
          <t>TREINO 02</t>
        </is>
      </c>
    </row>
    <row r="124" ht="15.75" customHeight="1" s="98">
      <c r="A124" s="31" t="n"/>
      <c r="B124" s="31" t="inlineStr">
        <is>
          <t>SETS</t>
        </is>
      </c>
      <c r="C124" s="32" t="inlineStr">
        <is>
          <t>REPS</t>
        </is>
      </c>
      <c r="D124" s="32" t="inlineStr">
        <is>
          <t>KG</t>
        </is>
      </c>
      <c r="E124" s="32" t="inlineStr">
        <is>
          <t>%1RM / PSE</t>
        </is>
      </c>
      <c r="F124" s="32" t="inlineStr">
        <is>
          <t>OBS</t>
        </is>
      </c>
    </row>
    <row r="125" ht="15.75" customHeight="1" s="98">
      <c r="A125" s="14">
        <f>'bloco 03'!$B21</f>
        <v/>
      </c>
      <c r="B125" s="46">
        <f>'bloco 03'!O21</f>
        <v/>
      </c>
      <c r="C125" s="46">
        <f>'bloco 03'!P21</f>
        <v/>
      </c>
      <c r="D125" s="46">
        <f>'bloco 03'!Q21</f>
        <v/>
      </c>
      <c r="E125" s="45">
        <f>IFERROR(('bloco 03'!R21),"")</f>
        <v/>
      </c>
      <c r="F125" s="48">
        <f>'bloco 03'!S21</f>
        <v/>
      </c>
    </row>
    <row r="126" ht="15.75" customHeight="1" s="98">
      <c r="A126" s="14">
        <f>'bloco 03'!$B22</f>
        <v/>
      </c>
      <c r="B126" s="46">
        <f>'bloco 03'!O22</f>
        <v/>
      </c>
      <c r="C126" s="46">
        <f>'bloco 03'!P22</f>
        <v/>
      </c>
      <c r="D126" s="46">
        <f>'bloco 03'!Q22</f>
        <v/>
      </c>
      <c r="E126" s="45">
        <f>IFERROR(('bloco 03'!R22),"")</f>
        <v/>
      </c>
      <c r="F126" s="48">
        <f>'bloco 03'!S22</f>
        <v/>
      </c>
    </row>
    <row r="127" ht="15.75" customHeight="1" s="98">
      <c r="A127" s="14">
        <f>'bloco 03'!$B23</f>
        <v/>
      </c>
      <c r="B127" s="46">
        <f>'bloco 03'!O23</f>
        <v/>
      </c>
      <c r="C127" s="46">
        <f>'bloco 03'!P23</f>
        <v/>
      </c>
      <c r="D127" s="46">
        <f>'bloco 03'!Q23</f>
        <v/>
      </c>
      <c r="E127" s="45">
        <f>IFERROR(('bloco 03'!R23),"")</f>
        <v/>
      </c>
      <c r="F127" s="48">
        <f>'bloco 03'!S23</f>
        <v/>
      </c>
    </row>
    <row r="128" ht="15.75" customHeight="1" s="98">
      <c r="A128" s="14">
        <f>'bloco 03'!$B24</f>
        <v/>
      </c>
      <c r="B128" s="46">
        <f>'bloco 03'!O24</f>
        <v/>
      </c>
      <c r="C128" s="46">
        <f>'bloco 03'!P24</f>
        <v/>
      </c>
      <c r="D128" s="46">
        <f>'bloco 03'!Q24</f>
        <v/>
      </c>
      <c r="E128" s="45">
        <f>IFERROR(('bloco 03'!R24),"")</f>
        <v/>
      </c>
      <c r="F128" s="48">
        <f>'bloco 03'!S24</f>
        <v/>
      </c>
    </row>
    <row r="129" ht="15.75" customHeight="1" s="98">
      <c r="A129" s="14">
        <f>'bloco 03'!$B25</f>
        <v/>
      </c>
      <c r="B129" s="46">
        <f>'bloco 03'!O25</f>
        <v/>
      </c>
      <c r="C129" s="46">
        <f>'bloco 03'!P25</f>
        <v/>
      </c>
      <c r="D129" s="46">
        <f>'bloco 03'!Q25</f>
        <v/>
      </c>
      <c r="E129" s="45">
        <f>IFERROR(('bloco 03'!R25),"")</f>
        <v/>
      </c>
      <c r="F129" s="48">
        <f>'bloco 03'!S25</f>
        <v/>
      </c>
    </row>
    <row r="130" ht="15.75" customHeight="1" s="98">
      <c r="A130" s="14">
        <f>'bloco 03'!$B26</f>
        <v/>
      </c>
      <c r="B130" s="46">
        <f>'bloco 03'!O26</f>
        <v/>
      </c>
      <c r="C130" s="46">
        <f>'bloco 03'!P26</f>
        <v/>
      </c>
      <c r="D130" s="46">
        <f>'bloco 03'!Q26</f>
        <v/>
      </c>
      <c r="E130" s="45">
        <f>IFERROR(('bloco 03'!R26),"")</f>
        <v/>
      </c>
      <c r="F130" s="48">
        <f>'bloco 03'!S26</f>
        <v/>
      </c>
    </row>
    <row r="131" ht="15.75" customHeight="1" s="98">
      <c r="A131" s="14">
        <f>'bloco 03'!$B27</f>
        <v/>
      </c>
      <c r="B131" s="46">
        <f>'bloco 03'!O27</f>
        <v/>
      </c>
      <c r="C131" s="46">
        <f>'bloco 03'!P27</f>
        <v/>
      </c>
      <c r="D131" s="46">
        <f>'bloco 03'!Q27</f>
        <v/>
      </c>
      <c r="E131" s="45">
        <f>IFERROR(('bloco 03'!R27),"")</f>
        <v/>
      </c>
      <c r="F131" s="48">
        <f>'bloco 03'!S27</f>
        <v/>
      </c>
    </row>
    <row r="132" ht="15.75" customHeight="1" s="98">
      <c r="A132" s="14">
        <f>'bloco 03'!$B28</f>
        <v/>
      </c>
      <c r="B132" s="46">
        <f>'bloco 03'!O28</f>
        <v/>
      </c>
      <c r="C132" s="46">
        <f>'bloco 03'!P28</f>
        <v/>
      </c>
      <c r="D132" s="46">
        <f>'bloco 03'!Q28</f>
        <v/>
      </c>
      <c r="E132" s="45">
        <f>IFERROR(('bloco 03'!R28),"")</f>
        <v/>
      </c>
      <c r="F132" s="48">
        <f>'bloco 03'!S28</f>
        <v/>
      </c>
    </row>
    <row r="133" ht="15.75" customHeight="1" s="98">
      <c r="A133" s="14">
        <f>'bloco 03'!$B29</f>
        <v/>
      </c>
      <c r="B133" s="46">
        <f>'bloco 03'!O29</f>
        <v/>
      </c>
      <c r="C133" s="46">
        <f>'bloco 03'!P29</f>
        <v/>
      </c>
      <c r="D133" s="46">
        <f>'bloco 03'!Q29</f>
        <v/>
      </c>
      <c r="E133" s="45">
        <f>IFERROR(('bloco 03'!R29),"")</f>
        <v/>
      </c>
      <c r="F133" s="48">
        <f>'bloco 03'!S29</f>
        <v/>
      </c>
    </row>
    <row r="134" ht="15.75" customHeight="1" s="98">
      <c r="A134" s="14">
        <f>'bloco 03'!$B30</f>
        <v/>
      </c>
      <c r="B134" s="46">
        <f>'bloco 03'!O30</f>
        <v/>
      </c>
      <c r="C134" s="46">
        <f>'bloco 03'!P30</f>
        <v/>
      </c>
      <c r="D134" s="46">
        <f>'bloco 03'!Q30</f>
        <v/>
      </c>
      <c r="E134" s="45">
        <f>IFERROR(('bloco 03'!R30),"")</f>
        <v/>
      </c>
      <c r="F134" s="48">
        <f>'bloco 03'!S30</f>
        <v/>
      </c>
    </row>
    <row r="135" ht="15.75" customHeight="1" s="98">
      <c r="A135" s="29" t="inlineStr">
        <is>
          <t>TREINO 03</t>
        </is>
      </c>
    </row>
    <row r="136" ht="15.75" customHeight="1" s="98">
      <c r="A136" s="31" t="n"/>
      <c r="B136" s="31" t="inlineStr">
        <is>
          <t>SETS</t>
        </is>
      </c>
      <c r="C136" s="32" t="inlineStr">
        <is>
          <t>REPS</t>
        </is>
      </c>
      <c r="D136" s="32" t="inlineStr">
        <is>
          <t>KG</t>
        </is>
      </c>
      <c r="E136" s="32" t="inlineStr">
        <is>
          <t>%1RM / PSE</t>
        </is>
      </c>
      <c r="F136" s="32" t="inlineStr">
        <is>
          <t>OBS</t>
        </is>
      </c>
    </row>
    <row r="137" ht="15.75" customHeight="1" s="98">
      <c r="A137" s="14">
        <f>'bloco 03'!$B36</f>
        <v/>
      </c>
      <c r="B137" s="46">
        <f>'bloco 03'!O36</f>
        <v/>
      </c>
      <c r="C137" s="46">
        <f>'bloco 03'!P36</f>
        <v/>
      </c>
      <c r="D137" s="46">
        <f>'bloco 03'!Q36</f>
        <v/>
      </c>
      <c r="E137" s="45">
        <f>IFERROR(('bloco 03'!R36),"")</f>
        <v/>
      </c>
      <c r="F137" s="48">
        <f>'bloco 03'!S36</f>
        <v/>
      </c>
    </row>
    <row r="138" ht="15.75" customHeight="1" s="98">
      <c r="A138" s="14">
        <f>'bloco 03'!$B37</f>
        <v/>
      </c>
      <c r="B138" s="46">
        <f>'bloco 03'!O37</f>
        <v/>
      </c>
      <c r="C138" s="46">
        <f>'bloco 03'!P37</f>
        <v/>
      </c>
      <c r="D138" s="46">
        <f>'bloco 03'!Q37</f>
        <v/>
      </c>
      <c r="E138" s="45">
        <f>IFERROR(('bloco 03'!R37),"")</f>
        <v/>
      </c>
      <c r="F138" s="48">
        <f>'bloco 03'!S37</f>
        <v/>
      </c>
    </row>
    <row r="139" ht="15.75" customHeight="1" s="98">
      <c r="A139" s="14">
        <f>'bloco 03'!$B38</f>
        <v/>
      </c>
      <c r="B139" s="46">
        <f>'bloco 03'!O38</f>
        <v/>
      </c>
      <c r="C139" s="46">
        <f>'bloco 03'!P38</f>
        <v/>
      </c>
      <c r="D139" s="46">
        <f>'bloco 03'!Q38</f>
        <v/>
      </c>
      <c r="E139" s="45">
        <f>IFERROR(('bloco 03'!R38),"")</f>
        <v/>
      </c>
      <c r="F139" s="48">
        <f>'bloco 03'!S38</f>
        <v/>
      </c>
    </row>
    <row r="140" ht="15.75" customHeight="1" s="98">
      <c r="A140" s="14">
        <f>'bloco 03'!$B39</f>
        <v/>
      </c>
      <c r="B140" s="46">
        <f>'bloco 03'!O39</f>
        <v/>
      </c>
      <c r="C140" s="46">
        <f>'bloco 03'!P39</f>
        <v/>
      </c>
      <c r="D140" s="46">
        <f>'bloco 03'!Q39</f>
        <v/>
      </c>
      <c r="E140" s="45">
        <f>IFERROR(('bloco 03'!R39),"")</f>
        <v/>
      </c>
      <c r="F140" s="48">
        <f>'bloco 03'!S39</f>
        <v/>
      </c>
    </row>
    <row r="141" ht="15.75" customHeight="1" s="98">
      <c r="A141" s="14">
        <f>'bloco 03'!$B40</f>
        <v/>
      </c>
      <c r="B141" s="46">
        <f>'bloco 03'!O40</f>
        <v/>
      </c>
      <c r="C141" s="46">
        <f>'bloco 03'!P40</f>
        <v/>
      </c>
      <c r="D141" s="46">
        <f>'bloco 03'!Q40</f>
        <v/>
      </c>
      <c r="E141" s="45">
        <f>IFERROR(('bloco 03'!R40),"")</f>
        <v/>
      </c>
      <c r="F141" s="48">
        <f>'bloco 03'!S40</f>
        <v/>
      </c>
    </row>
    <row r="142" ht="15.75" customHeight="1" s="98">
      <c r="A142" s="14">
        <f>'bloco 03'!$B41</f>
        <v/>
      </c>
      <c r="B142" s="46">
        <f>'bloco 03'!O41</f>
        <v/>
      </c>
      <c r="C142" s="46">
        <f>'bloco 03'!P41</f>
        <v/>
      </c>
      <c r="D142" s="46">
        <f>'bloco 03'!Q41</f>
        <v/>
      </c>
      <c r="E142" s="45">
        <f>IFERROR(('bloco 03'!R41),"")</f>
        <v/>
      </c>
      <c r="F142" s="48">
        <f>'bloco 03'!S41</f>
        <v/>
      </c>
    </row>
    <row r="143" ht="15.75" customHeight="1" s="98">
      <c r="A143" s="14">
        <f>'bloco 03'!$B42</f>
        <v/>
      </c>
      <c r="B143" s="46">
        <f>'bloco 03'!O42</f>
        <v/>
      </c>
      <c r="C143" s="46">
        <f>'bloco 03'!P42</f>
        <v/>
      </c>
      <c r="D143" s="46">
        <f>'bloco 03'!Q42</f>
        <v/>
      </c>
      <c r="E143" s="45">
        <f>IFERROR(('bloco 03'!R42),"")</f>
        <v/>
      </c>
      <c r="F143" s="48">
        <f>'bloco 03'!S42</f>
        <v/>
      </c>
    </row>
    <row r="144" ht="15.75" customHeight="1" s="98">
      <c r="A144" s="14">
        <f>'bloco 03'!$B43</f>
        <v/>
      </c>
      <c r="B144" s="46">
        <f>'bloco 03'!O43</f>
        <v/>
      </c>
      <c r="C144" s="46">
        <f>'bloco 03'!P43</f>
        <v/>
      </c>
      <c r="D144" s="46">
        <f>'bloco 03'!Q43</f>
        <v/>
      </c>
      <c r="E144" s="45">
        <f>IFERROR(('bloco 03'!R43),"")</f>
        <v/>
      </c>
      <c r="F144" s="48">
        <f>'bloco 03'!S43</f>
        <v/>
      </c>
    </row>
    <row r="145" ht="15.75" customHeight="1" s="98">
      <c r="A145" s="14">
        <f>'bloco 03'!$B44</f>
        <v/>
      </c>
      <c r="B145" s="46">
        <f>'bloco 03'!O44</f>
        <v/>
      </c>
      <c r="C145" s="46">
        <f>'bloco 03'!P44</f>
        <v/>
      </c>
      <c r="D145" s="46">
        <f>'bloco 03'!Q44</f>
        <v/>
      </c>
      <c r="E145" s="45">
        <f>IFERROR(('bloco 03'!R44),"")</f>
        <v/>
      </c>
      <c r="F145" s="48">
        <f>'bloco 03'!S44</f>
        <v/>
      </c>
    </row>
    <row r="146" ht="15.75" customHeight="1" s="98">
      <c r="A146" s="14">
        <f>'bloco 03'!$B45</f>
        <v/>
      </c>
      <c r="B146" s="46">
        <f>'bloco 03'!O45</f>
        <v/>
      </c>
      <c r="C146" s="46">
        <f>'bloco 03'!P45</f>
        <v/>
      </c>
      <c r="D146" s="46">
        <f>'bloco 03'!Q45</f>
        <v/>
      </c>
      <c r="E146" s="45">
        <f>IFERROR(('bloco 03'!R45),"")</f>
        <v/>
      </c>
      <c r="F146" s="48">
        <f>'bloco 03'!S45</f>
        <v/>
      </c>
    </row>
    <row r="147" ht="15.75" customHeight="1" s="98">
      <c r="A147" s="46" t="n"/>
    </row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>
      <c r="A164" s="43">
        <f>'bloco 03'!U3</f>
        <v/>
      </c>
    </row>
    <row r="165" ht="15.75" customHeight="1" s="98">
      <c r="A165" s="44" t="inlineStr">
        <is>
          <t>SEMANA 04</t>
        </is>
      </c>
    </row>
    <row r="166" ht="15.75" customHeight="1" s="98">
      <c r="A166" s="29" t="inlineStr">
        <is>
          <t>TREINO 01</t>
        </is>
      </c>
    </row>
    <row r="167" ht="15.75" customHeight="1" s="98">
      <c r="A167" s="31" t="n"/>
      <c r="B167" s="31" t="inlineStr">
        <is>
          <t>SETS</t>
        </is>
      </c>
      <c r="C167" s="32" t="inlineStr">
        <is>
          <t>REPS</t>
        </is>
      </c>
      <c r="D167" s="32" t="inlineStr">
        <is>
          <t>KG</t>
        </is>
      </c>
      <c r="E167" s="32" t="inlineStr">
        <is>
          <t>%1RM / PSE</t>
        </is>
      </c>
      <c r="F167" s="32" t="inlineStr">
        <is>
          <t>OBS</t>
        </is>
      </c>
    </row>
    <row r="168" ht="15.75" customHeight="1" s="98">
      <c r="A168" s="14">
        <f>'bloco 03'!$B6</f>
        <v/>
      </c>
      <c r="B168" s="46">
        <f>'bloco 03'!U6</f>
        <v/>
      </c>
      <c r="C168" s="46">
        <f>'bloco 03'!V6</f>
        <v/>
      </c>
      <c r="D168" s="46">
        <f>'bloco 03'!W6</f>
        <v/>
      </c>
      <c r="E168" s="45">
        <f>IFERROR(('bloco 03'!X6),"")</f>
        <v/>
      </c>
      <c r="F168" s="48">
        <f>'bloco 03'!Y6</f>
        <v/>
      </c>
    </row>
    <row r="169" ht="15.75" customHeight="1" s="98">
      <c r="A169" s="14">
        <f>'bloco 03'!$B7</f>
        <v/>
      </c>
      <c r="B169" s="46">
        <f>'bloco 03'!U7</f>
        <v/>
      </c>
      <c r="C169" s="46">
        <f>'bloco 03'!V7</f>
        <v/>
      </c>
      <c r="D169" s="46">
        <f>'bloco 03'!W7</f>
        <v/>
      </c>
      <c r="E169" s="45">
        <f>IFERROR(('bloco 03'!X7),"")</f>
        <v/>
      </c>
      <c r="F169" s="48">
        <f>'bloco 03'!Y7</f>
        <v/>
      </c>
    </row>
    <row r="170" ht="15.75" customHeight="1" s="98">
      <c r="A170" s="14">
        <f>'bloco 03'!$B8</f>
        <v/>
      </c>
      <c r="B170" s="46">
        <f>'bloco 03'!U8</f>
        <v/>
      </c>
      <c r="C170" s="46">
        <f>'bloco 03'!V8</f>
        <v/>
      </c>
      <c r="D170" s="46">
        <f>'bloco 03'!W8</f>
        <v/>
      </c>
      <c r="E170" s="45">
        <f>IFERROR(('bloco 03'!X8),"")</f>
        <v/>
      </c>
      <c r="F170" s="48">
        <f>'bloco 03'!Y8</f>
        <v/>
      </c>
    </row>
    <row r="171" ht="15.75" customHeight="1" s="98">
      <c r="A171" s="14">
        <f>'bloco 03'!$B9</f>
        <v/>
      </c>
      <c r="B171" s="46">
        <f>'bloco 03'!U9</f>
        <v/>
      </c>
      <c r="C171" s="46">
        <f>'bloco 03'!V9</f>
        <v/>
      </c>
      <c r="D171" s="46">
        <f>'bloco 03'!W9</f>
        <v/>
      </c>
      <c r="E171" s="45">
        <f>IFERROR(('bloco 03'!X9),"")</f>
        <v/>
      </c>
      <c r="F171" s="48">
        <f>'bloco 03'!Y9</f>
        <v/>
      </c>
    </row>
    <row r="172" ht="15.75" customHeight="1" s="98">
      <c r="A172" s="14">
        <f>'bloco 03'!$B10</f>
        <v/>
      </c>
      <c r="B172" s="46">
        <f>'bloco 03'!U10</f>
        <v/>
      </c>
      <c r="C172" s="46">
        <f>'bloco 03'!V10</f>
        <v/>
      </c>
      <c r="D172" s="46">
        <f>'bloco 03'!W10</f>
        <v/>
      </c>
      <c r="E172" s="45">
        <f>IFERROR(('bloco 03'!X10),"")</f>
        <v/>
      </c>
      <c r="F172" s="48">
        <f>'bloco 03'!Y10</f>
        <v/>
      </c>
    </row>
    <row r="173" ht="15.75" customHeight="1" s="98">
      <c r="A173" s="14">
        <f>'bloco 03'!$B11</f>
        <v/>
      </c>
      <c r="B173" s="46">
        <f>'bloco 03'!U11</f>
        <v/>
      </c>
      <c r="C173" s="46">
        <f>'bloco 03'!V11</f>
        <v/>
      </c>
      <c r="D173" s="46">
        <f>'bloco 03'!W11</f>
        <v/>
      </c>
      <c r="E173" s="45">
        <f>IFERROR(('bloco 03'!X11),"")</f>
        <v/>
      </c>
      <c r="F173" s="48">
        <f>'bloco 03'!Y11</f>
        <v/>
      </c>
    </row>
    <row r="174" ht="15.75" customHeight="1" s="98">
      <c r="A174" s="14">
        <f>'bloco 03'!$B12</f>
        <v/>
      </c>
      <c r="B174" s="46">
        <f>'bloco 03'!U12</f>
        <v/>
      </c>
      <c r="C174" s="46">
        <f>'bloco 03'!V12</f>
        <v/>
      </c>
      <c r="D174" s="46">
        <f>'bloco 03'!W12</f>
        <v/>
      </c>
      <c r="E174" s="45">
        <f>IFERROR(('bloco 03'!X12),"")</f>
        <v/>
      </c>
      <c r="F174" s="48">
        <f>'bloco 03'!Y12</f>
        <v/>
      </c>
    </row>
    <row r="175" ht="15.75" customHeight="1" s="98">
      <c r="A175" s="14">
        <f>'bloco 03'!$B13</f>
        <v/>
      </c>
      <c r="B175" s="46">
        <f>'bloco 03'!U13</f>
        <v/>
      </c>
      <c r="C175" s="46">
        <f>'bloco 03'!V13</f>
        <v/>
      </c>
      <c r="D175" s="46">
        <f>'bloco 03'!W13</f>
        <v/>
      </c>
      <c r="E175" s="45">
        <f>IFERROR(('bloco 03'!X13),"")</f>
        <v/>
      </c>
      <c r="F175" s="48">
        <f>'bloco 03'!Y13</f>
        <v/>
      </c>
    </row>
    <row r="176" ht="15.75" customHeight="1" s="98">
      <c r="A176" s="14">
        <f>'bloco 03'!$B14</f>
        <v/>
      </c>
      <c r="B176" s="46">
        <f>'bloco 03'!U14</f>
        <v/>
      </c>
      <c r="C176" s="46">
        <f>'bloco 03'!V14</f>
        <v/>
      </c>
      <c r="D176" s="46">
        <f>'bloco 03'!W14</f>
        <v/>
      </c>
      <c r="E176" s="45">
        <f>IFERROR(('bloco 03'!X14),"")</f>
        <v/>
      </c>
      <c r="F176" s="48">
        <f>'bloco 03'!Y14</f>
        <v/>
      </c>
    </row>
    <row r="177" ht="15.75" customHeight="1" s="98">
      <c r="A177" s="14">
        <f>'bloco 03'!$B15</f>
        <v/>
      </c>
      <c r="B177" s="46">
        <f>'bloco 03'!U15</f>
        <v/>
      </c>
      <c r="C177" s="46">
        <f>'bloco 03'!V15</f>
        <v/>
      </c>
      <c r="D177" s="46">
        <f>'bloco 03'!W15</f>
        <v/>
      </c>
      <c r="E177" s="45">
        <f>IFERROR(('bloco 03'!X15),"")</f>
        <v/>
      </c>
      <c r="F177" s="48">
        <f>'bloco 03'!Y15</f>
        <v/>
      </c>
    </row>
    <row r="178" ht="15.75" customHeight="1" s="98">
      <c r="A178" s="29" t="inlineStr">
        <is>
          <t>TREINO 02</t>
        </is>
      </c>
    </row>
    <row r="179" ht="15.75" customHeight="1" s="98">
      <c r="A179" s="31" t="n"/>
      <c r="B179" s="31" t="inlineStr">
        <is>
          <t>SETS</t>
        </is>
      </c>
      <c r="C179" s="32" t="inlineStr">
        <is>
          <t>REPS</t>
        </is>
      </c>
      <c r="D179" s="32" t="inlineStr">
        <is>
          <t>KG</t>
        </is>
      </c>
      <c r="E179" s="32" t="inlineStr">
        <is>
          <t>%1RM / PSE</t>
        </is>
      </c>
      <c r="F179" s="32" t="inlineStr">
        <is>
          <t>OBS</t>
        </is>
      </c>
    </row>
    <row r="180" ht="15.75" customHeight="1" s="98">
      <c r="A180" s="14">
        <f>'bloco 03'!$B21</f>
        <v/>
      </c>
      <c r="B180" s="46">
        <f>'bloco 03'!U21</f>
        <v/>
      </c>
      <c r="C180" s="46">
        <f>'bloco 03'!V21</f>
        <v/>
      </c>
      <c r="D180" s="46">
        <f>'bloco 03'!W21</f>
        <v/>
      </c>
      <c r="E180" s="45">
        <f>IFERROR(('bloco 03'!X21),"")</f>
        <v/>
      </c>
      <c r="F180" s="48">
        <f>'bloco 03'!Y21</f>
        <v/>
      </c>
    </row>
    <row r="181" ht="15.75" customHeight="1" s="98">
      <c r="A181" s="14">
        <f>'bloco 03'!$B22</f>
        <v/>
      </c>
      <c r="B181" s="46">
        <f>'bloco 03'!U22</f>
        <v/>
      </c>
      <c r="C181" s="46">
        <f>'bloco 03'!V22</f>
        <v/>
      </c>
      <c r="D181" s="46">
        <f>'bloco 03'!W22</f>
        <v/>
      </c>
      <c r="E181" s="45">
        <f>IFERROR(('bloco 03'!X22),"")</f>
        <v/>
      </c>
      <c r="F181" s="48">
        <f>'bloco 03'!Y22</f>
        <v/>
      </c>
    </row>
    <row r="182" ht="15.75" customHeight="1" s="98">
      <c r="A182" s="14">
        <f>'bloco 03'!$B23</f>
        <v/>
      </c>
      <c r="B182" s="46">
        <f>'bloco 03'!U23</f>
        <v/>
      </c>
      <c r="C182" s="46">
        <f>'bloco 03'!V23</f>
        <v/>
      </c>
      <c r="D182" s="46">
        <f>'bloco 03'!W23</f>
        <v/>
      </c>
      <c r="E182" s="45">
        <f>IFERROR(('bloco 03'!X23),"")</f>
        <v/>
      </c>
      <c r="F182" s="48">
        <f>'bloco 03'!Y23</f>
        <v/>
      </c>
    </row>
    <row r="183" ht="15.75" customHeight="1" s="98">
      <c r="A183" s="14">
        <f>'bloco 03'!$B24</f>
        <v/>
      </c>
      <c r="B183" s="46">
        <f>'bloco 03'!U24</f>
        <v/>
      </c>
      <c r="C183" s="46">
        <f>'bloco 03'!V24</f>
        <v/>
      </c>
      <c r="D183" s="46">
        <f>'bloco 03'!W24</f>
        <v/>
      </c>
      <c r="E183" s="45">
        <f>IFERROR(('bloco 03'!X24),"")</f>
        <v/>
      </c>
      <c r="F183" s="48">
        <f>'bloco 03'!Y24</f>
        <v/>
      </c>
    </row>
    <row r="184" ht="15.75" customHeight="1" s="98">
      <c r="A184" s="14">
        <f>'bloco 03'!$B25</f>
        <v/>
      </c>
      <c r="B184" s="46">
        <f>'bloco 03'!U25</f>
        <v/>
      </c>
      <c r="C184" s="46">
        <f>'bloco 03'!V25</f>
        <v/>
      </c>
      <c r="D184" s="46">
        <f>'bloco 03'!W25</f>
        <v/>
      </c>
      <c r="E184" s="45">
        <f>IFERROR(('bloco 03'!X25),"")</f>
        <v/>
      </c>
      <c r="F184" s="48">
        <f>'bloco 03'!Y25</f>
        <v/>
      </c>
    </row>
    <row r="185" ht="15.75" customHeight="1" s="98">
      <c r="A185" s="14">
        <f>'bloco 03'!$B26</f>
        <v/>
      </c>
      <c r="B185" s="46">
        <f>'bloco 03'!U26</f>
        <v/>
      </c>
      <c r="C185" s="46">
        <f>'bloco 03'!V26</f>
        <v/>
      </c>
      <c r="D185" s="46">
        <f>'bloco 03'!W26</f>
        <v/>
      </c>
      <c r="E185" s="45">
        <f>IFERROR(('bloco 03'!X26),"")</f>
        <v/>
      </c>
      <c r="F185" s="48">
        <f>'bloco 03'!Y26</f>
        <v/>
      </c>
    </row>
    <row r="186" ht="15.75" customHeight="1" s="98">
      <c r="A186" s="14">
        <f>'bloco 03'!$B27</f>
        <v/>
      </c>
      <c r="B186" s="46">
        <f>'bloco 03'!U27</f>
        <v/>
      </c>
      <c r="C186" s="46">
        <f>'bloco 03'!V27</f>
        <v/>
      </c>
      <c r="D186" s="46">
        <f>'bloco 03'!W27</f>
        <v/>
      </c>
      <c r="E186" s="45">
        <f>IFERROR(('bloco 03'!X27),"")</f>
        <v/>
      </c>
      <c r="F186" s="48">
        <f>'bloco 03'!Y27</f>
        <v/>
      </c>
    </row>
    <row r="187" ht="15.75" customHeight="1" s="98">
      <c r="A187" s="14">
        <f>'bloco 03'!$B28</f>
        <v/>
      </c>
      <c r="B187" s="46">
        <f>'bloco 03'!U28</f>
        <v/>
      </c>
      <c r="C187" s="46">
        <f>'bloco 03'!V28</f>
        <v/>
      </c>
      <c r="D187" s="46">
        <f>'bloco 03'!W28</f>
        <v/>
      </c>
      <c r="E187" s="45">
        <f>IFERROR(('bloco 03'!X28),"")</f>
        <v/>
      </c>
      <c r="F187" s="48">
        <f>'bloco 03'!Y28</f>
        <v/>
      </c>
    </row>
    <row r="188" ht="15.75" customHeight="1" s="98">
      <c r="A188" s="14">
        <f>'bloco 03'!$B29</f>
        <v/>
      </c>
      <c r="B188" s="46">
        <f>'bloco 03'!U29</f>
        <v/>
      </c>
      <c r="C188" s="46">
        <f>'bloco 03'!V29</f>
        <v/>
      </c>
      <c r="D188" s="46">
        <f>'bloco 03'!W29</f>
        <v/>
      </c>
      <c r="E188" s="45">
        <f>IFERROR(('bloco 03'!X29),"")</f>
        <v/>
      </c>
      <c r="F188" s="48">
        <f>'bloco 03'!Y29</f>
        <v/>
      </c>
    </row>
    <row r="189" ht="15.75" customHeight="1" s="98">
      <c r="A189" s="14">
        <f>'bloco 03'!$B30</f>
        <v/>
      </c>
      <c r="B189" s="46">
        <f>'bloco 03'!U30</f>
        <v/>
      </c>
      <c r="C189" s="46">
        <f>'bloco 03'!V30</f>
        <v/>
      </c>
      <c r="D189" s="46">
        <f>'bloco 03'!W30</f>
        <v/>
      </c>
      <c r="E189" s="45">
        <f>IFERROR(('bloco 03'!X30),"")</f>
        <v/>
      </c>
      <c r="F189" s="48">
        <f>'bloco 03'!Y30</f>
        <v/>
      </c>
    </row>
    <row r="190" ht="15.75" customHeight="1" s="98">
      <c r="A190" s="29" t="inlineStr">
        <is>
          <t>TREINO 03</t>
        </is>
      </c>
    </row>
    <row r="191" ht="15.75" customHeight="1" s="98">
      <c r="A191" s="31" t="n"/>
      <c r="B191" s="31" t="inlineStr">
        <is>
          <t>SETS</t>
        </is>
      </c>
      <c r="C191" s="32" t="inlineStr">
        <is>
          <t>REPS</t>
        </is>
      </c>
      <c r="D191" s="32" t="inlineStr">
        <is>
          <t>KG</t>
        </is>
      </c>
      <c r="E191" s="32" t="inlineStr">
        <is>
          <t>%1RM / PSE</t>
        </is>
      </c>
      <c r="F191" s="32" t="inlineStr">
        <is>
          <t>OBS</t>
        </is>
      </c>
    </row>
    <row r="192" ht="15.75" customHeight="1" s="98">
      <c r="A192" s="14">
        <f>'bloco 03'!$B36</f>
        <v/>
      </c>
      <c r="B192" s="46">
        <f>'bloco 03'!U36</f>
        <v/>
      </c>
      <c r="C192" s="46">
        <f>'bloco 03'!V36</f>
        <v/>
      </c>
      <c r="D192" s="46">
        <f>'bloco 03'!W36</f>
        <v/>
      </c>
      <c r="E192" s="45">
        <f>IFERROR(('bloco 03'!X36),"")</f>
        <v/>
      </c>
      <c r="F192" s="48">
        <f>'bloco 03'!Y36</f>
        <v/>
      </c>
    </row>
    <row r="193" ht="15.75" customHeight="1" s="98">
      <c r="A193" s="14">
        <f>'bloco 03'!$B37</f>
        <v/>
      </c>
      <c r="B193" s="46">
        <f>'bloco 03'!U37</f>
        <v/>
      </c>
      <c r="C193" s="46">
        <f>'bloco 03'!V37</f>
        <v/>
      </c>
      <c r="D193" s="46">
        <f>'bloco 03'!W37</f>
        <v/>
      </c>
      <c r="E193" s="45">
        <f>IFERROR(('bloco 03'!X37),"")</f>
        <v/>
      </c>
      <c r="F193" s="48">
        <f>'bloco 03'!Y37</f>
        <v/>
      </c>
    </row>
    <row r="194" ht="15.75" customHeight="1" s="98">
      <c r="A194" s="14">
        <f>'bloco 03'!$B38</f>
        <v/>
      </c>
      <c r="B194" s="46">
        <f>'bloco 03'!U38</f>
        <v/>
      </c>
      <c r="C194" s="46">
        <f>'bloco 03'!V38</f>
        <v/>
      </c>
      <c r="D194" s="46">
        <f>'bloco 03'!W38</f>
        <v/>
      </c>
      <c r="E194" s="45">
        <f>IFERROR(('bloco 03'!X38),"")</f>
        <v/>
      </c>
      <c r="F194" s="48">
        <f>'bloco 03'!Y38</f>
        <v/>
      </c>
    </row>
    <row r="195" ht="15.75" customHeight="1" s="98">
      <c r="A195" s="14">
        <f>'bloco 03'!$B39</f>
        <v/>
      </c>
      <c r="B195" s="46">
        <f>'bloco 03'!U39</f>
        <v/>
      </c>
      <c r="C195" s="46">
        <f>'bloco 03'!V39</f>
        <v/>
      </c>
      <c r="D195" s="46">
        <f>'bloco 03'!W39</f>
        <v/>
      </c>
      <c r="E195" s="45">
        <f>IFERROR(('bloco 03'!X39),"")</f>
        <v/>
      </c>
      <c r="F195" s="48">
        <f>'bloco 03'!Y39</f>
        <v/>
      </c>
    </row>
    <row r="196" ht="15.75" customHeight="1" s="98">
      <c r="A196" s="14">
        <f>'bloco 03'!$B40</f>
        <v/>
      </c>
      <c r="B196" s="46">
        <f>'bloco 03'!U40</f>
        <v/>
      </c>
      <c r="C196" s="46">
        <f>'bloco 03'!V40</f>
        <v/>
      </c>
      <c r="D196" s="46">
        <f>'bloco 03'!W40</f>
        <v/>
      </c>
      <c r="E196" s="45">
        <f>IFERROR(('bloco 03'!X40),"")</f>
        <v/>
      </c>
      <c r="F196" s="48">
        <f>'bloco 03'!Y40</f>
        <v/>
      </c>
    </row>
    <row r="197" ht="15.75" customHeight="1" s="98">
      <c r="A197" s="14">
        <f>'bloco 03'!$B41</f>
        <v/>
      </c>
      <c r="B197" s="46">
        <f>'bloco 03'!U41</f>
        <v/>
      </c>
      <c r="C197" s="46">
        <f>'bloco 03'!V41</f>
        <v/>
      </c>
      <c r="D197" s="46">
        <f>'bloco 03'!W41</f>
        <v/>
      </c>
      <c r="E197" s="45">
        <f>IFERROR(('bloco 03'!X41),"")</f>
        <v/>
      </c>
      <c r="F197" s="48">
        <f>'bloco 03'!Y41</f>
        <v/>
      </c>
    </row>
    <row r="198" ht="15.75" customHeight="1" s="98">
      <c r="A198" s="14">
        <f>'bloco 03'!$B42</f>
        <v/>
      </c>
      <c r="B198" s="46">
        <f>'bloco 03'!U42</f>
        <v/>
      </c>
      <c r="C198" s="46">
        <f>'bloco 03'!V42</f>
        <v/>
      </c>
      <c r="D198" s="46">
        <f>'bloco 03'!W42</f>
        <v/>
      </c>
      <c r="E198" s="45">
        <f>IFERROR(('bloco 03'!X42),"")</f>
        <v/>
      </c>
      <c r="F198" s="48">
        <f>'bloco 03'!Y42</f>
        <v/>
      </c>
    </row>
    <row r="199" ht="15.75" customHeight="1" s="98">
      <c r="A199" s="14">
        <f>'bloco 03'!$B43</f>
        <v/>
      </c>
      <c r="B199" s="46">
        <f>'bloco 03'!U43</f>
        <v/>
      </c>
      <c r="C199" s="46">
        <f>'bloco 03'!V43</f>
        <v/>
      </c>
      <c r="D199" s="46">
        <f>'bloco 03'!W43</f>
        <v/>
      </c>
      <c r="E199" s="45">
        <f>IFERROR(('bloco 03'!X43),"")</f>
        <v/>
      </c>
      <c r="F199" s="48">
        <f>'bloco 03'!Y43</f>
        <v/>
      </c>
    </row>
    <row r="200" ht="15.75" customHeight="1" s="98">
      <c r="A200" s="14">
        <f>'bloco 03'!$B44</f>
        <v/>
      </c>
      <c r="B200" s="46">
        <f>'bloco 03'!U44</f>
        <v/>
      </c>
      <c r="C200" s="46">
        <f>'bloco 03'!V44</f>
        <v/>
      </c>
      <c r="D200" s="46">
        <f>'bloco 03'!W44</f>
        <v/>
      </c>
      <c r="E200" s="45">
        <f>IFERROR(('bloco 03'!X44),"")</f>
        <v/>
      </c>
      <c r="F200" s="48">
        <f>'bloco 03'!Y44</f>
        <v/>
      </c>
    </row>
    <row r="201" ht="15.75" customHeight="1" s="98">
      <c r="A201" s="14">
        <f>'bloco 03'!$B45</f>
        <v/>
      </c>
      <c r="B201" s="46">
        <f>'bloco 03'!U45</f>
        <v/>
      </c>
      <c r="C201" s="46">
        <f>'bloco 03'!V45</f>
        <v/>
      </c>
      <c r="D201" s="46">
        <f>'bloco 03'!W45</f>
        <v/>
      </c>
      <c r="E201" s="45">
        <f>IFERROR(('bloco 03'!X45),"")</f>
        <v/>
      </c>
      <c r="F201" s="48">
        <f>'bloco 03'!Y45</f>
        <v/>
      </c>
    </row>
    <row r="202" ht="15.75" customHeight="1" s="98">
      <c r="A202" s="46" t="n"/>
    </row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</row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12"/>
    <col width="9.5" customWidth="1" style="98" min="13" max="13"/>
    <col width="6.38" customWidth="1" style="98" min="14" max="18"/>
    <col width="9.5" customWidth="1" style="98" min="19" max="19"/>
    <col width="6.38" customWidth="1" style="98" min="20" max="24"/>
    <col width="9.5" customWidth="1" style="98" min="25" max="25"/>
    <col width="6.38" customWidth="1" style="98" min="26" max="26"/>
  </cols>
  <sheetData>
    <row r="1" ht="15.75" customHeight="1" s="98">
      <c r="A1" s="1" t="inlineStr">
        <is>
          <t>BLOCO 03</t>
        </is>
      </c>
      <c r="B1" s="1" t="n"/>
      <c r="C1" s="3" t="n"/>
      <c r="D1" s="4" t="n"/>
      <c r="E1" s="5" t="n"/>
      <c r="F1" s="5" t="n"/>
      <c r="G1" s="6" t="n"/>
      <c r="H1" s="7" t="n"/>
      <c r="I1" s="5" t="n"/>
      <c r="J1" s="5" t="n"/>
      <c r="K1" s="5" t="n"/>
      <c r="L1" s="1" t="n"/>
      <c r="M1" s="6" t="n"/>
      <c r="N1" s="1" t="n"/>
      <c r="O1" s="5" t="n"/>
      <c r="P1" s="5" t="n"/>
      <c r="Q1" s="5" t="n"/>
      <c r="R1" s="5" t="n"/>
      <c r="S1" s="6" t="n"/>
      <c r="T1" s="1" t="n"/>
      <c r="U1" s="5" t="n"/>
      <c r="V1" s="5" t="n"/>
      <c r="W1" s="5" t="n"/>
      <c r="X1" s="5" t="n"/>
      <c r="Y1" s="5" t="n"/>
      <c r="Z1" s="5" t="n"/>
    </row>
    <row r="2" ht="15.75" customHeight="1" s="98">
      <c r="A2" s="10" t="n"/>
      <c r="B2" s="10" t="n"/>
      <c r="C2" s="10" t="n"/>
      <c r="D2" s="10" t="n"/>
      <c r="H2" s="10" t="n"/>
      <c r="I2" s="10" t="n"/>
      <c r="J2" s="10" t="n"/>
      <c r="N2" s="10" t="n"/>
      <c r="O2" s="10" t="n"/>
      <c r="P2" s="10" t="n"/>
      <c r="T2" s="10" t="n"/>
      <c r="U2" s="10" t="n"/>
      <c r="V2" s="10" t="n"/>
      <c r="Z2" s="10" t="n"/>
    </row>
    <row r="3" ht="15.75" customHeight="1" s="98">
      <c r="A3" s="2" t="inlineStr">
        <is>
          <t>TREINO 01</t>
        </is>
      </c>
      <c r="B3" s="13" t="n"/>
      <c r="C3" s="22">
        <f>macro!J6</f>
        <v/>
      </c>
      <c r="H3" s="24" t="n"/>
      <c r="I3" s="4">
        <f>C3+7</f>
        <v/>
      </c>
      <c r="N3" s="24" t="n"/>
      <c r="O3" s="22">
        <f>I3+7</f>
        <v/>
      </c>
      <c r="T3" s="24" t="n"/>
      <c r="U3" s="22">
        <f>O3+7</f>
        <v/>
      </c>
      <c r="Z3" s="10" t="n"/>
    </row>
    <row r="4" ht="15.75" customHeight="1" s="98">
      <c r="A4" s="2" t="n"/>
      <c r="B4" s="2" t="n"/>
      <c r="C4" s="5" t="inlineStr">
        <is>
          <t>SETS</t>
        </is>
      </c>
      <c r="D4" s="5" t="inlineStr">
        <is>
          <t>REPS</t>
        </is>
      </c>
      <c r="E4" s="5" t="inlineStr">
        <is>
          <t>KG</t>
        </is>
      </c>
      <c r="F4" s="5" t="inlineStr">
        <is>
          <t>%1RM</t>
        </is>
      </c>
      <c r="G4" s="5" t="inlineStr">
        <is>
          <t>OBS</t>
        </is>
      </c>
      <c r="H4" s="24" t="n"/>
      <c r="I4" s="5" t="inlineStr">
        <is>
          <t>SETS</t>
        </is>
      </c>
      <c r="J4" s="5" t="inlineStr">
        <is>
          <t>REPS</t>
        </is>
      </c>
      <c r="K4" s="5" t="inlineStr">
        <is>
          <t>KG</t>
        </is>
      </c>
      <c r="L4" s="5" t="inlineStr">
        <is>
          <t>%1RM</t>
        </is>
      </c>
      <c r="M4" s="5" t="inlineStr">
        <is>
          <t>OBS</t>
        </is>
      </c>
      <c r="N4" s="24" t="n"/>
      <c r="O4" s="5" t="inlineStr">
        <is>
          <t>SETS</t>
        </is>
      </c>
      <c r="P4" s="5" t="inlineStr">
        <is>
          <t>REPS</t>
        </is>
      </c>
      <c r="Q4" s="5" t="inlineStr">
        <is>
          <t>KG</t>
        </is>
      </c>
      <c r="R4" s="5" t="inlineStr">
        <is>
          <t>%1RM</t>
        </is>
      </c>
      <c r="S4" s="5" t="inlineStr">
        <is>
          <t>OBS</t>
        </is>
      </c>
      <c r="T4" s="24" t="n"/>
      <c r="U4" s="5" t="inlineStr">
        <is>
          <t>SETS</t>
        </is>
      </c>
      <c r="V4" s="5" t="inlineStr">
        <is>
          <t>REPS</t>
        </is>
      </c>
      <c r="W4" s="5" t="inlineStr">
        <is>
          <t>KG</t>
        </is>
      </c>
      <c r="X4" s="5" t="inlineStr">
        <is>
          <t>%1RM</t>
        </is>
      </c>
      <c r="Y4" s="5" t="inlineStr">
        <is>
          <t>OBS</t>
        </is>
      </c>
      <c r="Z4" s="24" t="n"/>
    </row>
    <row r="5" ht="15.75" customHeight="1" s="98">
      <c r="A5" s="2" t="n"/>
      <c r="B5" s="2" t="inlineStr">
        <is>
          <t>exercícios</t>
        </is>
      </c>
      <c r="C5" s="38" t="n"/>
      <c r="D5" s="5" t="n"/>
      <c r="E5" s="5" t="n"/>
      <c r="F5" s="5" t="inlineStr">
        <is>
          <t>pse</t>
        </is>
      </c>
      <c r="G5" s="5" t="n"/>
      <c r="H5" s="24" t="n"/>
      <c r="I5" s="38" t="n"/>
      <c r="J5" s="5" t="n"/>
      <c r="K5" s="5" t="n"/>
      <c r="L5" s="5" t="inlineStr">
        <is>
          <t>pse</t>
        </is>
      </c>
      <c r="M5" s="5" t="n"/>
      <c r="N5" s="24" t="n"/>
      <c r="O5" s="38" t="n"/>
      <c r="P5" s="5" t="n"/>
      <c r="Q5" s="5" t="n"/>
      <c r="R5" s="5" t="inlineStr">
        <is>
          <t>pse</t>
        </is>
      </c>
      <c r="S5" s="5" t="n"/>
      <c r="T5" s="24" t="n"/>
      <c r="U5" s="38" t="n"/>
      <c r="V5" s="5" t="n"/>
      <c r="W5" s="5" t="n"/>
      <c r="X5" s="5" t="inlineStr">
        <is>
          <t>pse</t>
        </is>
      </c>
      <c r="Y5" s="5" t="n"/>
      <c r="Z5" s="24" t="n"/>
    </row>
    <row r="6" ht="15.75" customHeight="1" s="98">
      <c r="A6" s="39" t="n"/>
      <c r="B6" s="40" t="n"/>
      <c r="C6" s="41" t="n"/>
      <c r="D6" s="41" t="n"/>
      <c r="E6" s="42" t="n"/>
      <c r="F6" s="45">
        <f>IFERROR(__xludf.DUMMYFUNCTION("IFERROR(
$E6/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prs!$A$30:$D$36,
4,
FALSE
)
,"""")"),"")</f>
        <v/>
      </c>
      <c r="G6" s="45" t="n"/>
      <c r="H6" s="47" t="n"/>
      <c r="I6" s="41" t="n"/>
      <c r="J6" s="41" t="n"/>
      <c r="K6" s="42" t="n"/>
      <c r="L6" s="45">
        <f>IFERROR(__xludf.DUMMYFUNCTION("IFERROR(
$K6/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prs!$A$30:$D$36,
4,
FALSE
)
,"""")"),"")</f>
        <v/>
      </c>
      <c r="M6" s="45" t="n"/>
      <c r="N6" s="49" t="n"/>
      <c r="O6" s="41" t="n"/>
      <c r="P6" s="41" t="n"/>
      <c r="Q6" s="42" t="n"/>
      <c r="R6" s="45">
        <f>IFERROR(__xludf.DUMMYFUNCTION("IFERROR(
$Q6/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prs!$A$30:$D$36,
4,
FALSE
)
,"""")"),"")</f>
        <v/>
      </c>
      <c r="S6" s="45" t="n"/>
      <c r="T6" s="49" t="n"/>
      <c r="U6" s="41" t="n"/>
      <c r="V6" s="41" t="n"/>
      <c r="W6" s="42" t="n"/>
      <c r="X6" s="45">
        <f>IFERROR(__xludf.DUMMYFUNCTION("IFERROR(
$W6/
VLOOKUP(
IF(
 REGEXMATCH($B6,""(?i)agachamento""),""Agachamento"",
 IF(
  REGEXMATCH($B6,""(?i)supino""),""Supino"",
  IF(
   REGEXMATCH($B6,""(?i)terra""),""Terra"",
   IF(
    REGEXMATCH($B6,""(?i)desenvolvimento""),""Desenvolvimento"",
  "&amp;"  IF(
     REGEXMATCH($B6,""(?i)remada""),""Remada"",
     IF(REGEXMATCH($B6,""(?i)arranco""),""Arranco"",IF(REGEXMATCH($B6,""(?i)arremesso""),""Arremesso"",""""))
    )
   )
  )
 )
),
prs!$A$30:$D$36,
4,
FALSE
)
,"""")"),"")</f>
        <v/>
      </c>
      <c r="Y6" s="45" t="n"/>
      <c r="Z6" s="39" t="n"/>
    </row>
    <row r="7" ht="15.75" customHeight="1" s="98">
      <c r="A7" s="39" t="n"/>
      <c r="B7" s="40" t="n"/>
      <c r="C7" s="41" t="n"/>
      <c r="D7" s="41" t="n"/>
      <c r="E7" s="42" t="n"/>
      <c r="F7" s="45">
        <f>IFERROR(__xludf.DUMMYFUNCTION("IFERROR(
$E7/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prs!$A$30:$D$36,
4,
FALSE
)
,"""")"),"")</f>
        <v/>
      </c>
      <c r="G7" s="45" t="n"/>
      <c r="H7" s="47" t="n"/>
      <c r="I7" s="41" t="n"/>
      <c r="J7" s="41" t="n"/>
      <c r="K7" s="42" t="n"/>
      <c r="L7" s="45">
        <f>IFERROR(__xludf.DUMMYFUNCTION("IFERROR(
$K7/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prs!$A$30:$D$36,
4,
FALSE
)
,"""")"),"")</f>
        <v/>
      </c>
      <c r="M7" s="45" t="n"/>
      <c r="N7" s="49" t="n"/>
      <c r="O7" s="41" t="n"/>
      <c r="P7" s="41" t="n"/>
      <c r="Q7" s="42" t="n"/>
      <c r="R7" s="45">
        <f>IFERROR(__xludf.DUMMYFUNCTION("IFERROR(
$Q7/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prs!$A$30:$D$36,
4,
FALSE
)
,"""")"),"")</f>
        <v/>
      </c>
      <c r="S7" s="45" t="n"/>
      <c r="T7" s="49" t="n"/>
      <c r="U7" s="41" t="n"/>
      <c r="V7" s="41" t="n"/>
      <c r="W7" s="42" t="n"/>
      <c r="X7" s="45">
        <f>IFERROR(__xludf.DUMMYFUNCTION("IFERROR(
$W7/
VLOOKUP(
IF(
 REGEXMATCH($B7,""(?i)agachamento""),""Agachamento"",
 IF(
  REGEXMATCH($B7,""(?i)supino""),""Supino"",
  IF(
   REGEXMATCH($B7,""(?i)terra""),""Terra"",
   IF(
    REGEXMATCH($B7,""(?i)desenvolvimento""),""Desenvolvimento"",
  "&amp;"  IF(
     REGEXMATCH($B7,""(?i)remada""),""Remada"",
     IF(REGEXMATCH($B7,""(?i)arranco""),""Arranco"",IF(REGEXMATCH($B7,""(?i)arremesso""),""Arremesso"",""""))
    )
   )
  )
 )
),
prs!$A$30:$D$36,
4,
FALSE
)
,"""")"),"")</f>
        <v/>
      </c>
      <c r="Y7" s="45" t="n"/>
      <c r="Z7" s="39" t="n"/>
    </row>
    <row r="8" ht="15.75" customHeight="1" s="98">
      <c r="A8" s="39" t="n"/>
      <c r="B8" s="40" t="n"/>
      <c r="C8" s="41" t="n"/>
      <c r="D8" s="41" t="n"/>
      <c r="E8" s="42" t="n"/>
      <c r="F8" s="45">
        <f>IFERROR(__xludf.DUMMYFUNCTION("IFERROR(
$E8/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prs!$A$30:$D$36,
4,
FALSE
)
,"""")"),"")</f>
        <v/>
      </c>
      <c r="G8" s="45" t="n"/>
      <c r="H8" s="47" t="n"/>
      <c r="I8" s="41" t="n"/>
      <c r="J8" s="41" t="n"/>
      <c r="K8" s="42" t="n"/>
      <c r="L8" s="45">
        <f>IFERROR(__xludf.DUMMYFUNCTION("IFERROR(
$K8/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prs!$A$30:$D$36,
4,
FALSE
)
,"""")"),"")</f>
        <v/>
      </c>
      <c r="M8" s="45" t="n"/>
      <c r="N8" s="49" t="n"/>
      <c r="O8" s="41" t="n"/>
      <c r="P8" s="41" t="n"/>
      <c r="Q8" s="42" t="n"/>
      <c r="R8" s="45">
        <f>IFERROR(__xludf.DUMMYFUNCTION("IFERROR(
$Q8/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prs!$A$30:$D$36,
4,
FALSE
)
,"""")"),"")</f>
        <v/>
      </c>
      <c r="S8" s="45" t="n"/>
      <c r="T8" s="49" t="n"/>
      <c r="U8" s="41" t="n"/>
      <c r="V8" s="41" t="n"/>
      <c r="W8" s="42" t="n"/>
      <c r="X8" s="45">
        <f>IFERROR(__xludf.DUMMYFUNCTION("IFERROR(
$W8/
VLOOKUP(
IF(
 REGEXMATCH($B8,""(?i)agachamento""),""Agachamento"",
 IF(
  REGEXMATCH($B8,""(?i)supino""),""Supino"",
  IF(
   REGEXMATCH($B8,""(?i)terra""),""Terra"",
   IF(
    REGEXMATCH($B8,""(?i)desenvolvimento""),""Desenvolvimento"",
  "&amp;"  IF(
     REGEXMATCH($B8,""(?i)remada""),""Remada"",
     IF(REGEXMATCH($B8,""(?i)arranco""),""Arranco"",IF(REGEXMATCH($B8,""(?i)arremesso""),""Arremesso"",""""))
    )
   )
  )
 )
),
prs!$A$30:$D$36,
4,
FALSE
)
,"""")"),"")</f>
        <v/>
      </c>
      <c r="Y8" s="45" t="n"/>
      <c r="Z8" s="39" t="n"/>
    </row>
    <row r="9" ht="15.75" customHeight="1" s="98">
      <c r="A9" s="39" t="n"/>
      <c r="B9" s="40" t="n"/>
      <c r="C9" s="50" t="n"/>
      <c r="D9" s="50" t="n"/>
      <c r="E9" s="51" t="n"/>
      <c r="F9" s="45">
        <f>IFERROR(__xludf.DUMMYFUNCTION("IFERROR(
$E9/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prs!$A$30:$D$36,
4,
FALSE
)
,"""")"),"")</f>
        <v/>
      </c>
      <c r="G9" s="45" t="n"/>
      <c r="H9" s="47" t="n"/>
      <c r="I9" s="50" t="n"/>
      <c r="J9" s="50" t="n"/>
      <c r="K9" s="51" t="n"/>
      <c r="L9" s="45">
        <f>IFERROR(__xludf.DUMMYFUNCTION("IFERROR(
$K9/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prs!$A$30:$D$36,
4,
FALSE
)
,"""")"),"")</f>
        <v/>
      </c>
      <c r="M9" s="45" t="n"/>
      <c r="N9" s="49" t="n"/>
      <c r="O9" s="50" t="n"/>
      <c r="P9" s="50" t="n"/>
      <c r="Q9" s="51" t="n"/>
      <c r="R9" s="45">
        <f>IFERROR(__xludf.DUMMYFUNCTION("IFERROR(
$Q9/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prs!$A$30:$D$36,
4,
FALSE
)
,"""")"),"")</f>
        <v/>
      </c>
      <c r="S9" s="45" t="n"/>
      <c r="T9" s="49" t="n"/>
      <c r="U9" s="50" t="n"/>
      <c r="V9" s="50" t="n"/>
      <c r="W9" s="51" t="n"/>
      <c r="X9" s="45">
        <f>IFERROR(__xludf.DUMMYFUNCTION("IFERROR(
$W9/
VLOOKUP(
IF(
 REGEXMATCH($B9,""(?i)agachamento""),""Agachamento"",
 IF(
  REGEXMATCH($B9,""(?i)supino""),""Supino"",
  IF(
   REGEXMATCH($B9,""(?i)terra""),""Terra"",
   IF(
    REGEXMATCH($B9,""(?i)desenvolvimento""),""Desenvolvimento"",
  "&amp;"  IF(
     REGEXMATCH($B9,""(?i)remada""),""Remada"",
     IF(REGEXMATCH($B9,""(?i)arranco""),""Arranco"",IF(REGEXMATCH($B9,""(?i)arremesso""),""Arremesso"",""""))
    )
   )
  )
 )
),
prs!$A$30:$D$36,
4,
FALSE
)
,"""")"),"")</f>
        <v/>
      </c>
      <c r="Y9" s="45" t="n"/>
      <c r="Z9" s="39" t="n"/>
    </row>
    <row r="10" ht="15.75" customHeight="1" s="98">
      <c r="A10" s="39" t="n"/>
      <c r="B10" s="40" t="n"/>
      <c r="C10" s="50" t="n"/>
      <c r="D10" s="50" t="n"/>
      <c r="E10" s="51" t="n"/>
      <c r="F10" s="45">
        <f>IFERROR(__xludf.DUMMYFUNCTION("IFERROR(
$E10/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prs!$A$30:$D$36,
4,
FALSE
)
,"""")"),"")</f>
        <v/>
      </c>
      <c r="G10" s="45" t="n"/>
      <c r="H10" s="47" t="n"/>
      <c r="I10" s="50" t="n"/>
      <c r="J10" s="50" t="n"/>
      <c r="K10" s="51" t="n"/>
      <c r="L10" s="45">
        <f>IFERROR(__xludf.DUMMYFUNCTION("IFERROR(
$K10/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prs!$A$30:$D$36,
4,
FALSE
)
,"""")"),"")</f>
        <v/>
      </c>
      <c r="M10" s="45" t="n"/>
      <c r="N10" s="49" t="n"/>
      <c r="O10" s="50" t="n"/>
      <c r="P10" s="50" t="n"/>
      <c r="Q10" s="51" t="n"/>
      <c r="R10" s="45">
        <f>IFERROR(__xludf.DUMMYFUNCTION("IFERROR(
$Q10/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prs!$A$30:$D$36,
4,
FALSE
)
,"""")"),"")</f>
        <v/>
      </c>
      <c r="S10" s="45" t="n"/>
      <c r="T10" s="49" t="n"/>
      <c r="U10" s="50" t="n"/>
      <c r="V10" s="50" t="n"/>
      <c r="W10" s="51" t="n"/>
      <c r="X10" s="45">
        <f>IFERROR(__xludf.DUMMYFUNCTION("IFERROR(
$W10/
VLOOKUP(
IF(
 REGEXMATCH($B10,""(?i)agachamento""),""Agachamento"",
 IF(
  REGEXMATCH($B10,""(?i)supino""),""Supino"",
  IF(
   REGEXMATCH($B10,""(?i)terra""),""Terra"",
   IF(
    REGEXMATCH($B10,""(?i)desenvolvimento""),""Desenvolvimento"&amp;""",
    IF(
     REGEXMATCH($B10,""(?i)remada""),""Remada"",
     IF(REGEXMATCH($B10,""(?i)arranco""),""Arranco"",IF(REGEXMATCH($B10,""(?i)arremesso""),""Arremesso"",""""))
    )
   )
  )
 )
),
prs!$A$30:$D$36,
4,
FALSE
)
,"""")"),"")</f>
        <v/>
      </c>
      <c r="Y10" s="45" t="n"/>
      <c r="Z10" s="39" t="n"/>
    </row>
    <row r="11" ht="15.75" customHeight="1" s="98">
      <c r="A11" s="39" t="n"/>
      <c r="B11" s="40" t="n"/>
      <c r="C11" s="50" t="n"/>
      <c r="D11" s="50" t="n"/>
      <c r="E11" s="51" t="n"/>
      <c r="F11" s="45">
        <f>IFERROR(__xludf.DUMMYFUNCTION("IFERROR(
$E11/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prs!$A$30:$D$36,
4,
FALSE
)
,"""")"),"")</f>
        <v/>
      </c>
      <c r="G11" s="45" t="n"/>
      <c r="H11" s="47" t="n"/>
      <c r="I11" s="50" t="n"/>
      <c r="J11" s="50" t="n"/>
      <c r="K11" s="51" t="n"/>
      <c r="L11" s="45">
        <f>IFERROR(__xludf.DUMMYFUNCTION("IFERROR(
$K11/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prs!$A$30:$D$36,
4,
FALSE
)
,"""")"),"")</f>
        <v/>
      </c>
      <c r="M11" s="45" t="n"/>
      <c r="N11" s="49" t="n"/>
      <c r="O11" s="50" t="n"/>
      <c r="P11" s="50" t="n"/>
      <c r="Q11" s="51" t="n"/>
      <c r="R11" s="45">
        <f>IFERROR(__xludf.DUMMYFUNCTION("IFERROR(
$Q11/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prs!$A$30:$D$36,
4,
FALSE
)
,"""")"),"")</f>
        <v/>
      </c>
      <c r="S11" s="45" t="n"/>
      <c r="T11" s="49" t="n"/>
      <c r="U11" s="50" t="n"/>
      <c r="V11" s="50" t="n"/>
      <c r="W11" s="51" t="n"/>
      <c r="X11" s="45">
        <f>IFERROR(__xludf.DUMMYFUNCTION("IFERROR(
$W11/
VLOOKUP(
IF(
 REGEXMATCH($B11,""(?i)agachamento""),""Agachamento"",
 IF(
  REGEXMATCH($B11,""(?i)supino""),""Supino"",
  IF(
   REGEXMATCH($B11,""(?i)terra""),""Terra"",
   IF(
    REGEXMATCH($B11,""(?i)desenvolvimento""),""Desenvolvimento"&amp;""",
    IF(
     REGEXMATCH($B11,""(?i)remada""),""Remada"",
     IF(REGEXMATCH($B11,""(?i)arranco""),""Arranco"",IF(REGEXMATCH($B11,""(?i)arremesso""),""Arremesso"",""""))
    )
   )
  )
 )
),
prs!$A$30:$D$36,
4,
FALSE
)
,"""")"),"")</f>
        <v/>
      </c>
      <c r="Y11" s="45" t="n"/>
      <c r="Z11" s="39" t="n"/>
    </row>
    <row r="12" ht="15.75" customHeight="1" s="98">
      <c r="A12" s="39" t="n"/>
      <c r="B12" s="40" t="n"/>
      <c r="C12" s="50" t="n"/>
      <c r="D12" s="50" t="n"/>
      <c r="E12" s="51" t="n"/>
      <c r="F12" s="45">
        <f>IFERROR(__xludf.DUMMYFUNCTION("IFERROR(
$E12/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prs!$A$30:$D$36,
4,
FALSE
)
,"""")"),"")</f>
        <v/>
      </c>
      <c r="G12" s="45" t="n"/>
      <c r="H12" s="47" t="n"/>
      <c r="I12" s="50" t="n"/>
      <c r="J12" s="50" t="n"/>
      <c r="K12" s="51" t="n"/>
      <c r="L12" s="45">
        <f>IFERROR(__xludf.DUMMYFUNCTION("IFERROR(
$K12/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prs!$A$30:$D$36,
4,
FALSE
)
,"""")"),"")</f>
        <v/>
      </c>
      <c r="M12" s="45" t="n"/>
      <c r="N12" s="49" t="n"/>
      <c r="O12" s="50" t="n"/>
      <c r="P12" s="50" t="n"/>
      <c r="Q12" s="51" t="n"/>
      <c r="R12" s="45">
        <f>IFERROR(__xludf.DUMMYFUNCTION("IFERROR(
$Q12/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prs!$A$30:$D$36,
4,
FALSE
)
,"""")"),"")</f>
        <v/>
      </c>
      <c r="S12" s="45" t="n"/>
      <c r="T12" s="49" t="n"/>
      <c r="U12" s="50" t="n"/>
      <c r="V12" s="50" t="n"/>
      <c r="W12" s="51" t="n"/>
      <c r="X12" s="45">
        <f>IFERROR(__xludf.DUMMYFUNCTION("IFERROR(
$W12/
VLOOKUP(
IF(
 REGEXMATCH($B12,""(?i)agachamento""),""Agachamento"",
 IF(
  REGEXMATCH($B12,""(?i)supino""),""Supino"",
  IF(
   REGEXMATCH($B12,""(?i)terra""),""Terra"",
   IF(
    REGEXMATCH($B12,""(?i)desenvolvimento""),""Desenvolvimento"&amp;""",
    IF(
     REGEXMATCH($B12,""(?i)remada""),""Remada"",
     IF(REGEXMATCH($B12,""(?i)arranco""),""Arranco"",IF(REGEXMATCH($B12,""(?i)arremesso""),""Arremesso"",""""))
    )
   )
  )
 )
),
prs!$A$30:$D$36,
4,
FALSE
)
,"""")"),"")</f>
        <v/>
      </c>
      <c r="Y12" s="45" t="n"/>
      <c r="Z12" s="39" t="n"/>
    </row>
    <row r="13" ht="15.75" customHeight="1" s="98">
      <c r="A13" s="39" t="n"/>
      <c r="B13" s="40" t="n"/>
      <c r="C13" s="50" t="n"/>
      <c r="D13" s="50" t="n"/>
      <c r="E13" s="51" t="n"/>
      <c r="F13" s="45">
        <f>IFERROR(__xludf.DUMMYFUNCTION("IFERROR(
$E13/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prs!$A$30:$D$36,
4,
FALSE
)
,"""")"),"")</f>
        <v/>
      </c>
      <c r="G13" s="45" t="n"/>
      <c r="H13" s="47" t="n"/>
      <c r="I13" s="50" t="n"/>
      <c r="J13" s="50" t="n"/>
      <c r="K13" s="51" t="n"/>
      <c r="L13" s="45">
        <f>IFERROR(__xludf.DUMMYFUNCTION("IFERROR(
$K13/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prs!$A$30:$D$36,
4,
FALSE
)
,"""")"),"")</f>
        <v/>
      </c>
      <c r="M13" s="45" t="n"/>
      <c r="N13" s="49" t="n"/>
      <c r="O13" s="50" t="n"/>
      <c r="P13" s="50" t="n"/>
      <c r="Q13" s="51" t="n"/>
      <c r="R13" s="45">
        <f>IFERROR(__xludf.DUMMYFUNCTION("IFERROR(
$Q13/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prs!$A$30:$D$36,
4,
FALSE
)
,"""")"),"")</f>
        <v/>
      </c>
      <c r="S13" s="45" t="n"/>
      <c r="T13" s="49" t="n"/>
      <c r="U13" s="50" t="n"/>
      <c r="V13" s="50" t="n"/>
      <c r="W13" s="51" t="n"/>
      <c r="X13" s="45">
        <f>IFERROR(__xludf.DUMMYFUNCTION("IFERROR(
$W13/
VLOOKUP(
IF(
 REGEXMATCH($B13,""(?i)agachamento""),""Agachamento"",
 IF(
  REGEXMATCH($B13,""(?i)supino""),""Supino"",
  IF(
   REGEXMATCH($B13,""(?i)terra""),""Terra"",
   IF(
    REGEXMATCH($B13,""(?i)desenvolvimento""),""Desenvolvimento"&amp;""",
    IF(
     REGEXMATCH($B13,""(?i)remada""),""Remada"",
     IF(REGEXMATCH($B13,""(?i)arranco""),""Arranco"",IF(REGEXMATCH($B13,""(?i)arremesso""),""Arremesso"",""""))
    )
   )
  )
 )
),
prs!$A$30:$D$36,
4,
FALSE
)
,"""")"),"")</f>
        <v/>
      </c>
      <c r="Y13" s="45" t="n"/>
      <c r="Z13" s="39" t="n"/>
    </row>
    <row r="14" ht="15.75" customHeight="1" s="98">
      <c r="A14" s="39" t="n"/>
      <c r="B14" s="40" t="n"/>
      <c r="C14" s="50" t="n"/>
      <c r="D14" s="50" t="n"/>
      <c r="E14" s="51" t="n"/>
      <c r="F14" s="45">
        <f>IFERROR(__xludf.DUMMYFUNCTION("IFERROR(
$E14/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prs!$A$30:$D$36,
4,
FALSE
)
,"""")"),"")</f>
        <v/>
      </c>
      <c r="G14" s="45" t="n"/>
      <c r="H14" s="47" t="n"/>
      <c r="I14" s="50" t="n"/>
      <c r="J14" s="50" t="n"/>
      <c r="K14" s="51" t="n"/>
      <c r="L14" s="45">
        <f>IFERROR(__xludf.DUMMYFUNCTION("IFERROR(
$K14/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prs!$A$30:$D$36,
4,
FALSE
)
,"""")"),"")</f>
        <v/>
      </c>
      <c r="M14" s="45" t="n"/>
      <c r="N14" s="49" t="n"/>
      <c r="O14" s="50" t="n"/>
      <c r="P14" s="50" t="n"/>
      <c r="Q14" s="51" t="n"/>
      <c r="R14" s="45">
        <f>IFERROR(__xludf.DUMMYFUNCTION("IFERROR(
$Q14/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prs!$A$30:$D$36,
4,
FALSE
)
,"""")"),"")</f>
        <v/>
      </c>
      <c r="S14" s="45" t="n"/>
      <c r="T14" s="49" t="n"/>
      <c r="U14" s="50" t="n"/>
      <c r="V14" s="50" t="n"/>
      <c r="W14" s="51" t="n"/>
      <c r="X14" s="45">
        <f>IFERROR(__xludf.DUMMYFUNCTION("IFERROR(
$W14/
VLOOKUP(
IF(
 REGEXMATCH($B14,""(?i)agachamento""),""Agachamento"",
 IF(
  REGEXMATCH($B14,""(?i)supino""),""Supino"",
  IF(
   REGEXMATCH($B14,""(?i)terra""),""Terra"",
   IF(
    REGEXMATCH($B14,""(?i)desenvolvimento""),""Desenvolvimento"&amp;""",
    IF(
     REGEXMATCH($B14,""(?i)remada""),""Remada"",
     IF(REGEXMATCH($B14,""(?i)arranco""),""Arranco"",IF(REGEXMATCH($B14,""(?i)arremesso""),""Arremesso"",""""))
    )
   )
  )
 )
),
prs!$A$30:$D$36,
4,
FALSE
)
,"""")"),"")</f>
        <v/>
      </c>
      <c r="Y14" s="45" t="n"/>
      <c r="Z14" s="39" t="n"/>
    </row>
    <row r="15" ht="15.75" customHeight="1" s="98">
      <c r="A15" s="39" t="n"/>
      <c r="B15" s="40" t="n"/>
      <c r="C15" s="50" t="n"/>
      <c r="D15" s="50" t="n"/>
      <c r="E15" s="51" t="n"/>
      <c r="F15" s="45">
        <f>IFERROR(__xludf.DUMMYFUNCTION("IFERROR(
$E15/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prs!$A$30:$D$36,
4,
FALSE
)
,"""")"),"")</f>
        <v/>
      </c>
      <c r="G15" s="45" t="n"/>
      <c r="H15" s="47" t="n"/>
      <c r="I15" s="50" t="n"/>
      <c r="J15" s="50" t="n"/>
      <c r="K15" s="51" t="n"/>
      <c r="L15" s="45">
        <f>IFERROR(__xludf.DUMMYFUNCTION("IFERROR(
$K15/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prs!$A$30:$D$36,
4,
FALSE
)
,"""")"),"")</f>
        <v/>
      </c>
      <c r="M15" s="45" t="n"/>
      <c r="N15" s="49" t="n"/>
      <c r="O15" s="50" t="n"/>
      <c r="P15" s="50" t="n"/>
      <c r="Q15" s="51" t="n"/>
      <c r="R15" s="45">
        <f>IFERROR(__xludf.DUMMYFUNCTION("IFERROR(
$Q15/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prs!$A$30:$D$36,
4,
FALSE
)
,"""")"),"")</f>
        <v/>
      </c>
      <c r="S15" s="45" t="n"/>
      <c r="T15" s="49" t="n"/>
      <c r="U15" s="50" t="n"/>
      <c r="V15" s="50" t="n"/>
      <c r="W15" s="51" t="n"/>
      <c r="X15" s="45">
        <f>IFERROR(__xludf.DUMMYFUNCTION("IFERROR(
$W15/
VLOOKUP(
IF(
 REGEXMATCH($B15,""(?i)agachamento""),""Agachamento"",
 IF(
  REGEXMATCH($B15,""(?i)supino""),""Supino"",
  IF(
   REGEXMATCH($B15,""(?i)terra""),""Terra"",
   IF(
    REGEXMATCH($B15,""(?i)desenvolvimento""),""Desenvolvimento"&amp;""",
    IF(
     REGEXMATCH($B15,""(?i)remada""),""Remada"",
     IF(REGEXMATCH($B15,""(?i)arranco""),""Arranco"",IF(REGEXMATCH($B15,""(?i)arremesso""),""Arremesso"",""""))
    )
   )
  )
 )
),
prs!$A$30:$D$36,
4,
FALSE
)
,"""")"),"")</f>
        <v/>
      </c>
      <c r="Y15" s="45" t="n"/>
      <c r="Z15" s="39" t="n"/>
    </row>
    <row r="16" ht="15.75" customHeight="1" s="98">
      <c r="A16" s="31" t="n"/>
      <c r="B16" s="52" t="n"/>
      <c r="C16" s="32" t="inlineStr">
        <is>
          <t>SEMANA 01</t>
        </is>
      </c>
      <c r="H16" s="24" t="n"/>
      <c r="I16" s="32" t="inlineStr">
        <is>
          <t>SEMANA 02</t>
        </is>
      </c>
      <c r="N16" s="24" t="n"/>
      <c r="O16" s="32" t="inlineStr">
        <is>
          <t>SEMANA 03</t>
        </is>
      </c>
      <c r="T16" s="24" t="n"/>
      <c r="U16" s="32" t="inlineStr">
        <is>
          <t>SEMANA 04</t>
        </is>
      </c>
      <c r="Z16" s="24" t="n"/>
    </row>
    <row r="17" ht="15.75" customHeight="1" s="98">
      <c r="A17" s="47" t="n"/>
      <c r="B17" s="47" t="n"/>
      <c r="C17" s="47" t="n"/>
      <c r="D17" s="47" t="n"/>
      <c r="H17" s="47" t="n"/>
      <c r="I17" s="47" t="n"/>
      <c r="J17" s="47" t="n"/>
      <c r="N17" s="47" t="n"/>
      <c r="O17" s="47" t="n"/>
      <c r="P17" s="47" t="n"/>
      <c r="T17" s="47" t="n"/>
      <c r="U17" s="47" t="n"/>
      <c r="V17" s="47" t="n"/>
      <c r="Z17" s="47" t="n"/>
    </row>
    <row r="18" ht="15.75" customHeight="1" s="98">
      <c r="A18" s="31" t="inlineStr">
        <is>
          <t>TREINO 02</t>
        </is>
      </c>
      <c r="B18" s="13" t="n"/>
      <c r="C18" s="22" t="n"/>
      <c r="H18" s="24" t="n"/>
      <c r="I18" s="4" t="n"/>
      <c r="N18" s="24" t="n"/>
      <c r="O18" s="22" t="n"/>
      <c r="T18" s="24" t="n"/>
      <c r="U18" s="22" t="n"/>
      <c r="Z18" s="47" t="n"/>
    </row>
    <row r="19" ht="15.75" customHeight="1" s="98">
      <c r="A19" s="31" t="n"/>
      <c r="B19" s="52" t="n"/>
      <c r="C19" s="5" t="inlineStr">
        <is>
          <t>SETS</t>
        </is>
      </c>
      <c r="D19" s="5" t="inlineStr">
        <is>
          <t>REPS</t>
        </is>
      </c>
      <c r="E19" s="5" t="inlineStr">
        <is>
          <t>KG</t>
        </is>
      </c>
      <c r="F19" s="5" t="inlineStr">
        <is>
          <t>%1RM</t>
        </is>
      </c>
      <c r="G19" s="5" t="inlineStr">
        <is>
          <t>OBS</t>
        </is>
      </c>
      <c r="H19" s="24" t="n"/>
      <c r="I19" s="5" t="inlineStr">
        <is>
          <t>SETS</t>
        </is>
      </c>
      <c r="J19" s="5" t="inlineStr">
        <is>
          <t>REPS</t>
        </is>
      </c>
      <c r="K19" s="5" t="inlineStr">
        <is>
          <t>KG</t>
        </is>
      </c>
      <c r="L19" s="5" t="inlineStr">
        <is>
          <t>%1RM</t>
        </is>
      </c>
      <c r="M19" s="5" t="inlineStr">
        <is>
          <t>OBS</t>
        </is>
      </c>
      <c r="N19" s="24" t="n"/>
      <c r="O19" s="5" t="inlineStr">
        <is>
          <t>SETS</t>
        </is>
      </c>
      <c r="P19" s="5" t="inlineStr">
        <is>
          <t>REPS</t>
        </is>
      </c>
      <c r="Q19" s="5" t="inlineStr">
        <is>
          <t>KG</t>
        </is>
      </c>
      <c r="R19" s="5" t="inlineStr">
        <is>
          <t>%1RM</t>
        </is>
      </c>
      <c r="S19" s="5" t="inlineStr">
        <is>
          <t>OBS</t>
        </is>
      </c>
      <c r="T19" s="24" t="n"/>
      <c r="U19" s="5" t="inlineStr">
        <is>
          <t>SETS</t>
        </is>
      </c>
      <c r="V19" s="5" t="inlineStr">
        <is>
          <t>REPS</t>
        </is>
      </c>
      <c r="W19" s="5" t="inlineStr">
        <is>
          <t>KG</t>
        </is>
      </c>
      <c r="X19" s="5" t="inlineStr">
        <is>
          <t>%1RM</t>
        </is>
      </c>
      <c r="Y19" s="5" t="inlineStr">
        <is>
          <t>OBS</t>
        </is>
      </c>
      <c r="Z19" s="47" t="n"/>
    </row>
    <row r="20" ht="15.75" customHeight="1" s="98">
      <c r="A20" s="2" t="n"/>
      <c r="B20" s="2" t="inlineStr">
        <is>
          <t>exercícios</t>
        </is>
      </c>
      <c r="C20" s="38" t="n"/>
      <c r="D20" s="5" t="n"/>
      <c r="E20" s="5" t="n"/>
      <c r="F20" s="5" t="inlineStr">
        <is>
          <t>pse</t>
        </is>
      </c>
      <c r="G20" s="5" t="n"/>
      <c r="H20" s="24" t="n"/>
      <c r="I20" s="38" t="n"/>
      <c r="J20" s="5" t="n"/>
      <c r="K20" s="5" t="n"/>
      <c r="L20" s="5" t="inlineStr">
        <is>
          <t>pse</t>
        </is>
      </c>
      <c r="M20" s="5" t="n"/>
      <c r="N20" s="24" t="n"/>
      <c r="O20" s="38" t="n"/>
      <c r="P20" s="5" t="n"/>
      <c r="Q20" s="5" t="n"/>
      <c r="R20" s="5" t="inlineStr">
        <is>
          <t>pse</t>
        </is>
      </c>
      <c r="S20" s="5" t="n"/>
      <c r="T20" s="24" t="n"/>
      <c r="U20" s="38" t="n"/>
      <c r="V20" s="5" t="n"/>
      <c r="W20" s="5" t="n"/>
      <c r="X20" s="5" t="inlineStr">
        <is>
          <t>pse</t>
        </is>
      </c>
      <c r="Y20" s="5" t="n"/>
      <c r="Z20" s="47" t="n"/>
    </row>
    <row r="21" ht="15.75" customHeight="1" s="98">
      <c r="A21" s="49" t="n"/>
      <c r="B21" s="53" t="n"/>
      <c r="C21" s="41" t="n"/>
      <c r="D21" s="41" t="n"/>
      <c r="E21" s="42" t="n"/>
      <c r="F21" s="45">
        <f>IFERROR(__xludf.DUMMYFUNCTION("IFERROR(
$E21/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prs!$A$30:$D$36,
4,
FALSE
)
,"""")"),"")</f>
        <v/>
      </c>
      <c r="G21" s="45" t="n"/>
      <c r="H21" s="47" t="n"/>
      <c r="I21" s="41" t="n"/>
      <c r="J21" s="41" t="n"/>
      <c r="K21" s="42" t="n"/>
      <c r="L21" s="45">
        <f>IFERROR(__xludf.DUMMYFUNCTION("IFERROR(
$E21/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prs!$A$30:$D$36,
4,
FALSE
)
,"""")"),"")</f>
        <v/>
      </c>
      <c r="M21" s="45" t="n"/>
      <c r="N21" s="49" t="n"/>
      <c r="O21" s="41" t="n"/>
      <c r="P21" s="41" t="n"/>
      <c r="Q21" s="42" t="n"/>
      <c r="R21" s="45">
        <f>IFERROR(__xludf.DUMMYFUNCTION("IFERROR(
$Q21/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prs!$A$30:$D$36,
4,
FALSE
)
,"""")"),"")</f>
        <v/>
      </c>
      <c r="S21" s="45" t="n"/>
      <c r="T21" s="49" t="n"/>
      <c r="U21" s="41" t="n"/>
      <c r="V21" s="41" t="n"/>
      <c r="W21" s="42" t="n"/>
      <c r="X21" s="45">
        <f>IFERROR(__xludf.DUMMYFUNCTION("IFERROR(
$W21/
VLOOKUP(
IF(
 REGEXMATCH($B21,""(?i)agachamento""),""Agachamento"",
 IF(
  REGEXMATCH($B21,""(?i)supino""),""Supino"",
  IF(
   REGEXMATCH($B21,""(?i)terra""),""Terra"",
   IF(
    REGEXMATCH($B21,""(?i)desenvolvimento""),""Desenvolvimento"&amp;""",
    IF(
     REGEXMATCH($B21,""(?i)remada""),""Remada"",
     IF(REGEXMATCH($B21,""(?i)arranco""),""Arranco"",IF(REGEXMATCH($B21,""(?i)arremesso""),""Arremesso"",""""))
    )
   )
  )
 )
),
prs!$A$30:$D$36,
4,
FALSE
)
,"""")"),"")</f>
        <v/>
      </c>
      <c r="Y21" s="45" t="n"/>
      <c r="Z21" s="49" t="n"/>
    </row>
    <row r="22" ht="15.75" customHeight="1" s="98">
      <c r="A22" s="49" t="n"/>
      <c r="B22" s="53" t="n"/>
      <c r="C22" s="41" t="n"/>
      <c r="D22" s="41" t="n"/>
      <c r="E22" s="42" t="n"/>
      <c r="F22" s="45">
        <f>IFERROR(__xludf.DUMMYFUNCTION("IFERROR(
$E22/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prs!$A$30:$D$36,
4,
FALSE
)
,"""")"),"")</f>
        <v/>
      </c>
      <c r="G22" s="45" t="n"/>
      <c r="H22" s="47" t="n"/>
      <c r="I22" s="41" t="n"/>
      <c r="J22" s="41" t="n"/>
      <c r="K22" s="42" t="n"/>
      <c r="L22" s="45">
        <f>IFERROR(__xludf.DUMMYFUNCTION("IFERROR(
$E22/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prs!$A$30:$D$36,
4,
FALSE
)
,"""")"),"")</f>
        <v/>
      </c>
      <c r="M22" s="45" t="n"/>
      <c r="N22" s="49" t="n"/>
      <c r="O22" s="41" t="n"/>
      <c r="P22" s="41" t="n"/>
      <c r="Q22" s="42" t="n"/>
      <c r="R22" s="45">
        <f>IFERROR(__xludf.DUMMYFUNCTION("IFERROR(
$Q22/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prs!$A$30:$D$36,
4,
FALSE
)
,"""")"),"")</f>
        <v/>
      </c>
      <c r="S22" s="45" t="n"/>
      <c r="T22" s="49" t="n"/>
      <c r="U22" s="41" t="n"/>
      <c r="V22" s="41" t="n"/>
      <c r="W22" s="42" t="n"/>
      <c r="X22" s="45">
        <f>IFERROR(__xludf.DUMMYFUNCTION("IFERROR(
$W22/
VLOOKUP(
IF(
 REGEXMATCH($B22,""(?i)agachamento""),""Agachamento"",
 IF(
  REGEXMATCH($B22,""(?i)supino""),""Supino"",
  IF(
   REGEXMATCH($B22,""(?i)terra""),""Terra"",
   IF(
    REGEXMATCH($B22,""(?i)desenvolvimento""),""Desenvolvimento"&amp;""",
    IF(
     REGEXMATCH($B22,""(?i)remada""),""Remada"",
     IF(REGEXMATCH($B22,""(?i)arranco""),""Arranco"",IF(REGEXMATCH($B22,""(?i)arremesso""),""Arremesso"",""""))
    )
   )
  )
 )
),
prs!$A$30:$D$36,
4,
FALSE
)
,"""")"),"")</f>
        <v/>
      </c>
      <c r="Y22" s="45" t="n"/>
      <c r="Z22" s="49" t="n"/>
    </row>
    <row r="23" ht="15.75" customHeight="1" s="98">
      <c r="A23" s="49" t="n"/>
      <c r="B23" s="53" t="n"/>
      <c r="C23" s="41" t="n"/>
      <c r="D23" s="41" t="n"/>
      <c r="E23" s="42" t="n"/>
      <c r="F23" s="45">
        <f>IFERROR(__xludf.DUMMYFUNCTION("IFERROR(
$E23/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prs!$A$30:$D$36,
4,
FALSE
)
,"""")"),"")</f>
        <v/>
      </c>
      <c r="G23" s="45" t="n"/>
      <c r="H23" s="47" t="n"/>
      <c r="I23" s="41" t="n"/>
      <c r="J23" s="41" t="n"/>
      <c r="K23" s="42" t="n"/>
      <c r="L23" s="45">
        <f>IFERROR(__xludf.DUMMYFUNCTION("IFERROR(
$E23/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prs!$A$30:$D$36,
4,
FALSE
)
,"""")"),"")</f>
        <v/>
      </c>
      <c r="M23" s="45" t="n"/>
      <c r="N23" s="49" t="n"/>
      <c r="O23" s="41" t="n"/>
      <c r="P23" s="41" t="n"/>
      <c r="Q23" s="42" t="n"/>
      <c r="R23" s="45">
        <f>IFERROR(__xludf.DUMMYFUNCTION("IFERROR(
$Q23/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prs!$A$30:$D$36,
4,
FALSE
)
,"""")"),"")</f>
        <v/>
      </c>
      <c r="S23" s="45" t="n"/>
      <c r="T23" s="49" t="n"/>
      <c r="U23" s="41" t="n"/>
      <c r="V23" s="41" t="n"/>
      <c r="W23" s="42" t="n"/>
      <c r="X23" s="45">
        <f>IFERROR(__xludf.DUMMYFUNCTION("IFERROR(
$W23/
VLOOKUP(
IF(
 REGEXMATCH($B23,""(?i)agachamento""),""Agachamento"",
 IF(
  REGEXMATCH($B23,""(?i)supino""),""Supino"",
  IF(
   REGEXMATCH($B23,""(?i)terra""),""Terra"",
   IF(
    REGEXMATCH($B23,""(?i)desenvolvimento""),""Desenvolvimento"&amp;""",
    IF(
     REGEXMATCH($B23,""(?i)remada""),""Remada"",
     IF(REGEXMATCH($B23,""(?i)arranco""),""Arranco"",IF(REGEXMATCH($B23,""(?i)arremesso""),""Arremesso"",""""))
    )
   )
  )
 )
),
prs!$A$30:$D$36,
4,
FALSE
)
,"""")"),"")</f>
        <v/>
      </c>
      <c r="Y23" s="45" t="n"/>
      <c r="Z23" s="49" t="n"/>
    </row>
    <row r="24" ht="15.75" customHeight="1" s="98">
      <c r="A24" s="49" t="n"/>
      <c r="B24" s="53" t="n"/>
      <c r="C24" s="50" t="n"/>
      <c r="D24" s="50" t="n"/>
      <c r="E24" s="51" t="n"/>
      <c r="F24" s="45">
        <f>IFERROR(__xludf.DUMMYFUNCTION("IFERROR(
$E24/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prs!$A$30:$D$36,
4,
FALSE
)
,"""")"),"")</f>
        <v/>
      </c>
      <c r="G24" s="45" t="n"/>
      <c r="H24" s="47" t="n"/>
      <c r="I24" s="50" t="n"/>
      <c r="J24" s="50" t="n"/>
      <c r="K24" s="51" t="n"/>
      <c r="L24" s="45">
        <f>IFERROR(__xludf.DUMMYFUNCTION("IFERROR(
$E24/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prs!$A$30:$D$36,
4,
FALSE
)
,"""")"),"")</f>
        <v/>
      </c>
      <c r="M24" s="45" t="n"/>
      <c r="N24" s="49" t="n"/>
      <c r="O24" s="50" t="n"/>
      <c r="P24" s="50" t="n"/>
      <c r="Q24" s="51" t="n"/>
      <c r="R24" s="45">
        <f>IFERROR(__xludf.DUMMYFUNCTION("IFERROR(
$Q24/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prs!$A$30:$D$36,
4,
FALSE
)
,"""")"),"")</f>
        <v/>
      </c>
      <c r="S24" s="45" t="n"/>
      <c r="T24" s="49" t="n"/>
      <c r="U24" s="50" t="n"/>
      <c r="V24" s="50" t="n"/>
      <c r="W24" s="51" t="n"/>
      <c r="X24" s="45">
        <f>IFERROR(__xludf.DUMMYFUNCTION("IFERROR(
$W24/
VLOOKUP(
IF(
 REGEXMATCH($B24,""(?i)agachamento""),""Agachamento"",
 IF(
  REGEXMATCH($B24,""(?i)supino""),""Supino"",
  IF(
   REGEXMATCH($B24,""(?i)terra""),""Terra"",
   IF(
    REGEXMATCH($B24,""(?i)desenvolvimento""),""Desenvolvimento"&amp;""",
    IF(
     REGEXMATCH($B24,""(?i)remada""),""Remada"",
     IF(REGEXMATCH($B24,""(?i)arranco""),""Arranco"",IF(REGEXMATCH($B24,""(?i)arremesso""),""Arremesso"",""""))
    )
   )
  )
 )
),
prs!$A$30:$D$36,
4,
FALSE
)
,"""")"),"")</f>
        <v/>
      </c>
      <c r="Y24" s="45" t="n"/>
      <c r="Z24" s="49" t="n"/>
    </row>
    <row r="25" ht="15.75" customHeight="1" s="98">
      <c r="A25" s="49" t="n"/>
      <c r="B25" s="53" t="n"/>
      <c r="C25" s="50" t="n"/>
      <c r="D25" s="50" t="n"/>
      <c r="E25" s="51" t="n"/>
      <c r="F25" s="45">
        <f>IFERROR(__xludf.DUMMYFUNCTION("IFERROR(
$E25/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prs!$A$30:$D$36,
4,
FALSE
)
,"""")"),"")</f>
        <v/>
      </c>
      <c r="G25" s="45" t="n"/>
      <c r="H25" s="47" t="n"/>
      <c r="I25" s="50" t="n"/>
      <c r="J25" s="50" t="n"/>
      <c r="K25" s="51" t="n"/>
      <c r="L25" s="45">
        <f>IFERROR(__xludf.DUMMYFUNCTION("IFERROR(
$E25/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prs!$A$30:$D$36,
4,
FALSE
)
,"""")"),"")</f>
        <v/>
      </c>
      <c r="M25" s="45" t="n"/>
      <c r="N25" s="49" t="n"/>
      <c r="O25" s="50" t="n"/>
      <c r="P25" s="50" t="n"/>
      <c r="Q25" s="51" t="n"/>
      <c r="R25" s="45">
        <f>IFERROR(__xludf.DUMMYFUNCTION("IFERROR(
$Q25/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prs!$A$30:$D$36,
4,
FALSE
)
,"""")"),"")</f>
        <v/>
      </c>
      <c r="S25" s="45" t="n"/>
      <c r="T25" s="49" t="n"/>
      <c r="U25" s="50" t="n"/>
      <c r="V25" s="50" t="n"/>
      <c r="W25" s="51" t="n"/>
      <c r="X25" s="45">
        <f>IFERROR(__xludf.DUMMYFUNCTION("IFERROR(
$W25/
VLOOKUP(
IF(
 REGEXMATCH($B25,""(?i)agachamento""),""Agachamento"",
 IF(
  REGEXMATCH($B25,""(?i)supino""),""Supino"",
  IF(
   REGEXMATCH($B25,""(?i)terra""),""Terra"",
   IF(
    REGEXMATCH($B25,""(?i)desenvolvimento""),""Desenvolvimento"&amp;""",
    IF(
     REGEXMATCH($B25,""(?i)remada""),""Remada"",
     IF(REGEXMATCH($B25,""(?i)arranco""),""Arranco"",IF(REGEXMATCH($B25,""(?i)arremesso""),""Arremesso"",""""))
    )
   )
  )
 )
),
prs!$A$30:$D$36,
4,
FALSE
)
,"""")"),"")</f>
        <v/>
      </c>
      <c r="Y25" s="45" t="n"/>
      <c r="Z25" s="49" t="n"/>
    </row>
    <row r="26" ht="15.75" customHeight="1" s="98">
      <c r="A26" s="49" t="n"/>
      <c r="B26" s="53" t="n"/>
      <c r="C26" s="50" t="n"/>
      <c r="D26" s="50" t="n"/>
      <c r="E26" s="51" t="n"/>
      <c r="F26" s="45">
        <f>IFERROR(__xludf.DUMMYFUNCTION("IFERROR(
$E26/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prs!$A$30:$D$36,
4,
FALSE
)
,"""")"),"")</f>
        <v/>
      </c>
      <c r="G26" s="45" t="n"/>
      <c r="H26" s="47" t="n"/>
      <c r="I26" s="50" t="n"/>
      <c r="J26" s="50" t="n"/>
      <c r="K26" s="51" t="n"/>
      <c r="L26" s="45">
        <f>IFERROR(__xludf.DUMMYFUNCTION("IFERROR(
$E26/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prs!$A$30:$D$36,
4,
FALSE
)
,"""")"),"")</f>
        <v/>
      </c>
      <c r="M26" s="45" t="n"/>
      <c r="N26" s="49" t="n"/>
      <c r="O26" s="50" t="n"/>
      <c r="P26" s="50" t="n"/>
      <c r="Q26" s="51" t="n"/>
      <c r="R26" s="45">
        <f>IFERROR(__xludf.DUMMYFUNCTION("IFERROR(
$Q26/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prs!$A$30:$D$36,
4,
FALSE
)
,"""")"),"")</f>
        <v/>
      </c>
      <c r="S26" s="45" t="n"/>
      <c r="T26" s="49" t="n"/>
      <c r="U26" s="50" t="n"/>
      <c r="V26" s="50" t="n"/>
      <c r="W26" s="51" t="n"/>
      <c r="X26" s="45">
        <f>IFERROR(__xludf.DUMMYFUNCTION("IFERROR(
$W26/
VLOOKUP(
IF(
 REGEXMATCH($B26,""(?i)agachamento""),""Agachamento"",
 IF(
  REGEXMATCH($B26,""(?i)supino""),""Supino"",
  IF(
   REGEXMATCH($B26,""(?i)terra""),""Terra"",
   IF(
    REGEXMATCH($B26,""(?i)desenvolvimento""),""Desenvolvimento"&amp;""",
    IF(
     REGEXMATCH($B26,""(?i)remada""),""Remada"",
     IF(REGEXMATCH($B26,""(?i)arranco""),""Arranco"",IF(REGEXMATCH($B26,""(?i)arremesso""),""Arremesso"",""""))
    )
   )
  )
 )
),
prs!$A$30:$D$36,
4,
FALSE
)
,"""")"),"")</f>
        <v/>
      </c>
      <c r="Y26" s="45" t="n"/>
      <c r="Z26" s="49" t="n"/>
    </row>
    <row r="27" ht="15.75" customHeight="1" s="98">
      <c r="A27" s="49" t="n"/>
      <c r="B27" s="53" t="n"/>
      <c r="C27" s="50" t="n"/>
      <c r="D27" s="50" t="n"/>
      <c r="E27" s="51" t="n"/>
      <c r="F27" s="45">
        <f>IFERROR(__xludf.DUMMYFUNCTION("IFERROR(
$E27/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prs!$A$30:$D$36,
4,
FALSE
)
,"""")"),"")</f>
        <v/>
      </c>
      <c r="G27" s="45" t="n"/>
      <c r="H27" s="47" t="n"/>
      <c r="I27" s="50" t="n"/>
      <c r="J27" s="50" t="n"/>
      <c r="K27" s="51" t="n"/>
      <c r="L27" s="45">
        <f>IFERROR(__xludf.DUMMYFUNCTION("IFERROR(
$E27/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prs!$A$30:$D$36,
4,
FALSE
)
,"""")"),"")</f>
        <v/>
      </c>
      <c r="M27" s="45" t="n"/>
      <c r="N27" s="49" t="n"/>
      <c r="O27" s="50" t="n"/>
      <c r="P27" s="50" t="n"/>
      <c r="Q27" s="51" t="n"/>
      <c r="R27" s="45">
        <f>IFERROR(__xludf.DUMMYFUNCTION("IFERROR(
$Q27/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prs!$A$30:$D$36,
4,
FALSE
)
,"""")"),"")</f>
        <v/>
      </c>
      <c r="S27" s="45" t="n"/>
      <c r="T27" s="49" t="n"/>
      <c r="U27" s="50" t="n"/>
      <c r="V27" s="50" t="n"/>
      <c r="W27" s="51" t="n"/>
      <c r="X27" s="45">
        <f>IFERROR(__xludf.DUMMYFUNCTION("IFERROR(
$W27/
VLOOKUP(
IF(
 REGEXMATCH($B27,""(?i)agachamento""),""Agachamento"",
 IF(
  REGEXMATCH($B27,""(?i)supino""),""Supino"",
  IF(
   REGEXMATCH($B27,""(?i)terra""),""Terra"",
   IF(
    REGEXMATCH($B27,""(?i)desenvolvimento""),""Desenvolvimento"&amp;""",
    IF(
     REGEXMATCH($B27,""(?i)remada""),""Remada"",
     IF(REGEXMATCH($B27,""(?i)arranco""),""Arranco"",IF(REGEXMATCH($B27,""(?i)arremesso""),""Arremesso"",""""))
    )
   )
  )
 )
),
prs!$A$30:$D$36,
4,
FALSE
)
,"""")"),"")</f>
        <v/>
      </c>
      <c r="Y27" s="45" t="n"/>
      <c r="Z27" s="49" t="n"/>
    </row>
    <row r="28" ht="15.75" customHeight="1" s="98">
      <c r="A28" s="49" t="n"/>
      <c r="B28" s="53" t="n"/>
      <c r="C28" s="50" t="n"/>
      <c r="D28" s="50" t="n"/>
      <c r="E28" s="51" t="n"/>
      <c r="F28" s="45">
        <f>IFERROR(__xludf.DUMMYFUNCTION("IFERROR(
$E28/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prs!$A$30:$D$36,
4,
FALSE
)
,"""")"),"")</f>
        <v/>
      </c>
      <c r="G28" s="45" t="n"/>
      <c r="H28" s="47" t="n"/>
      <c r="I28" s="50" t="n"/>
      <c r="J28" s="50" t="n"/>
      <c r="K28" s="51" t="n"/>
      <c r="L28" s="45">
        <f>IFERROR(__xludf.DUMMYFUNCTION("IFERROR(
$E28/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prs!$A$30:$D$36,
4,
FALSE
)
,"""")"),"")</f>
        <v/>
      </c>
      <c r="M28" s="45" t="n"/>
      <c r="N28" s="49" t="n"/>
      <c r="O28" s="50" t="n"/>
      <c r="P28" s="50" t="n"/>
      <c r="Q28" s="51" t="n"/>
      <c r="R28" s="45">
        <f>IFERROR(__xludf.DUMMYFUNCTION("IFERROR(
$Q28/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prs!$A$30:$D$36,
4,
FALSE
)
,"""")"),"")</f>
        <v/>
      </c>
      <c r="S28" s="45" t="n"/>
      <c r="T28" s="49" t="n"/>
      <c r="U28" s="50" t="n"/>
      <c r="V28" s="50" t="n"/>
      <c r="W28" s="51" t="n"/>
      <c r="X28" s="45">
        <f>IFERROR(__xludf.DUMMYFUNCTION("IFERROR(
$W28/
VLOOKUP(
IF(
 REGEXMATCH($B28,""(?i)agachamento""),""Agachamento"",
 IF(
  REGEXMATCH($B28,""(?i)supino""),""Supino"",
  IF(
   REGEXMATCH($B28,""(?i)terra""),""Terra"",
   IF(
    REGEXMATCH($B28,""(?i)desenvolvimento""),""Desenvolvimento"&amp;""",
    IF(
     REGEXMATCH($B28,""(?i)remada""),""Remada"",
     IF(REGEXMATCH($B28,""(?i)arranco""),""Arranco"",IF(REGEXMATCH($B28,""(?i)arremesso""),""Arremesso"",""""))
    )
   )
  )
 )
),
prs!$A$30:$D$36,
4,
FALSE
)
,"""")"),"")</f>
        <v/>
      </c>
      <c r="Y28" s="45" t="n"/>
      <c r="Z28" s="49" t="n"/>
    </row>
    <row r="29" ht="15.75" customHeight="1" s="98">
      <c r="A29" s="49" t="n"/>
      <c r="B29" s="53" t="n"/>
      <c r="C29" s="50" t="n"/>
      <c r="D29" s="50" t="n"/>
      <c r="E29" s="51" t="n"/>
      <c r="F29" s="45">
        <f>IFERROR(__xludf.DUMMYFUNCTION("IFERROR(
$E29/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prs!$A$30:$D$36,
4,
FALSE
)
,"""")"),"")</f>
        <v/>
      </c>
      <c r="G29" s="45" t="n"/>
      <c r="H29" s="47" t="n"/>
      <c r="I29" s="50" t="n"/>
      <c r="J29" s="50" t="n"/>
      <c r="K29" s="51" t="n"/>
      <c r="L29" s="45">
        <f>IFERROR(__xludf.DUMMYFUNCTION("IFERROR(
$E29/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prs!$A$30:$D$36,
4,
FALSE
)
,"""")"),"")</f>
        <v/>
      </c>
      <c r="M29" s="45" t="n"/>
      <c r="N29" s="49" t="n"/>
      <c r="O29" s="50" t="n"/>
      <c r="P29" s="50" t="n"/>
      <c r="Q29" s="51" t="n"/>
      <c r="R29" s="45">
        <f>IFERROR(__xludf.DUMMYFUNCTION("IFERROR(
$Q29/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prs!$A$30:$D$36,
4,
FALSE
)
,"""")"),"")</f>
        <v/>
      </c>
      <c r="S29" s="45" t="n"/>
      <c r="T29" s="49" t="n"/>
      <c r="U29" s="50" t="n"/>
      <c r="V29" s="50" t="n"/>
      <c r="W29" s="51" t="n"/>
      <c r="X29" s="45">
        <f>IFERROR(__xludf.DUMMYFUNCTION("IFERROR(
$W29/
VLOOKUP(
IF(
 REGEXMATCH($B29,""(?i)agachamento""),""Agachamento"",
 IF(
  REGEXMATCH($B29,""(?i)supino""),""Supino"",
  IF(
   REGEXMATCH($B29,""(?i)terra""),""Terra"",
   IF(
    REGEXMATCH($B29,""(?i)desenvolvimento""),""Desenvolvimento"&amp;""",
    IF(
     REGEXMATCH($B29,""(?i)remada""),""Remada"",
     IF(REGEXMATCH($B29,""(?i)arranco""),""Arranco"",IF(REGEXMATCH($B29,""(?i)arremesso""),""Arremesso"",""""))
    )
   )
  )
 )
),
prs!$A$30:$D$36,
4,
FALSE
)
,"""")"),"")</f>
        <v/>
      </c>
      <c r="Y29" s="45" t="n"/>
      <c r="Z29" s="49" t="n"/>
    </row>
    <row r="30" ht="15.75" customHeight="1" s="98">
      <c r="A30" s="49" t="n"/>
      <c r="B30" s="53" t="n"/>
      <c r="C30" s="50" t="n"/>
      <c r="D30" s="50" t="n"/>
      <c r="E30" s="51" t="n"/>
      <c r="F30" s="45">
        <f>IFERROR(__xludf.DUMMYFUNCTION("IFERROR(
$E30/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prs!$A$30:$D$36,
4,
FALSE
)
,"""")"),"")</f>
        <v/>
      </c>
      <c r="G30" s="45" t="n"/>
      <c r="H30" s="47" t="n"/>
      <c r="I30" s="50" t="n"/>
      <c r="J30" s="50" t="n"/>
      <c r="K30" s="51" t="n"/>
      <c r="L30" s="45">
        <f>IFERROR(__xludf.DUMMYFUNCTION("IFERROR(
$E30/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prs!$A$30:$D$36,
4,
FALSE
)
,"""")"),"")</f>
        <v/>
      </c>
      <c r="M30" s="45" t="n"/>
      <c r="N30" s="49" t="n"/>
      <c r="O30" s="50" t="n"/>
      <c r="P30" s="50" t="n"/>
      <c r="Q30" s="51" t="n"/>
      <c r="R30" s="45">
        <f>IFERROR(__xludf.DUMMYFUNCTION("IFERROR(
$Q30/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prs!$A$30:$D$36,
4,
FALSE
)
,"""")"),"")</f>
        <v/>
      </c>
      <c r="S30" s="45" t="n"/>
      <c r="T30" s="49" t="n"/>
      <c r="U30" s="50" t="n"/>
      <c r="V30" s="50" t="n"/>
      <c r="W30" s="51" t="n"/>
      <c r="X30" s="45">
        <f>IFERROR(__xludf.DUMMYFUNCTION("IFERROR(
$W30/
VLOOKUP(
IF(
 REGEXMATCH($B30,""(?i)agachamento""),""Agachamento"",
 IF(
  REGEXMATCH($B30,""(?i)supino""),""Supino"",
  IF(
   REGEXMATCH($B30,""(?i)terra""),""Terra"",
   IF(
    REGEXMATCH($B30,""(?i)desenvolvimento""),""Desenvolvimento"&amp;""",
    IF(
     REGEXMATCH($B30,""(?i)remada""),""Remada"",
     IF(REGEXMATCH($B30,""(?i)arranco""),""Arranco"",IF(REGEXMATCH($B30,""(?i)arremesso""),""Arremesso"",""""))
    )
   )
  )
 )
),
prs!$A$30:$D$36,
4,
FALSE
)
,"""")"),"")</f>
        <v/>
      </c>
      <c r="Y30" s="45" t="n"/>
      <c r="Z30" s="49" t="n"/>
    </row>
    <row r="31" ht="15.75" customHeight="1" s="98">
      <c r="A31" s="52" t="n"/>
      <c r="B31" s="52" t="n"/>
      <c r="C31" s="32" t="inlineStr">
        <is>
          <t>SEMANA 01</t>
        </is>
      </c>
      <c r="H31" s="24" t="n"/>
      <c r="I31" s="32" t="inlineStr">
        <is>
          <t>SEMANA 02</t>
        </is>
      </c>
      <c r="N31" s="24" t="n"/>
      <c r="O31" s="32" t="inlineStr">
        <is>
          <t>SEMANA 03</t>
        </is>
      </c>
      <c r="T31" s="24" t="n"/>
      <c r="U31" s="32" t="inlineStr">
        <is>
          <t>SEMANA 04</t>
        </is>
      </c>
      <c r="Z31" s="47" t="n"/>
    </row>
    <row r="32" ht="15.75" customHeight="1" s="98">
      <c r="A32" s="10" t="n"/>
      <c r="B32" s="54" t="n"/>
      <c r="C32" s="10" t="n"/>
      <c r="D32" s="10" t="n"/>
      <c r="H32" s="10" t="n"/>
      <c r="I32" s="10" t="n"/>
      <c r="J32" s="10" t="n"/>
      <c r="N32" s="10" t="n"/>
      <c r="O32" s="10" t="n"/>
      <c r="P32" s="10" t="n"/>
      <c r="T32" s="10" t="n"/>
      <c r="U32" s="10" t="n"/>
      <c r="V32" s="10" t="n"/>
      <c r="Z32" s="10" t="n"/>
    </row>
    <row r="33" ht="15.75" customHeight="1" s="98">
      <c r="A33" s="2" t="inlineStr">
        <is>
          <t>TREINO 03</t>
        </is>
      </c>
      <c r="B33" s="13" t="n"/>
      <c r="C33" s="32" t="n"/>
      <c r="H33" s="24" t="n"/>
      <c r="I33" s="32" t="n"/>
      <c r="N33" s="24" t="n"/>
      <c r="O33" s="32" t="n"/>
      <c r="T33" s="24" t="n"/>
      <c r="U33" s="32" t="n"/>
      <c r="Z33" s="10" t="n"/>
    </row>
    <row r="34" ht="15.75" customHeight="1" s="98">
      <c r="A34" s="2" t="n"/>
      <c r="B34" s="2" t="n"/>
      <c r="C34" s="5" t="inlineStr">
        <is>
          <t>SETS</t>
        </is>
      </c>
      <c r="D34" s="5" t="inlineStr">
        <is>
          <t>REPS</t>
        </is>
      </c>
      <c r="E34" s="5" t="inlineStr">
        <is>
          <t>KG</t>
        </is>
      </c>
      <c r="F34" s="5" t="inlineStr">
        <is>
          <t>%1RM</t>
        </is>
      </c>
      <c r="G34" s="5" t="inlineStr">
        <is>
          <t>OBS</t>
        </is>
      </c>
      <c r="H34" s="24" t="n"/>
      <c r="I34" s="5" t="inlineStr">
        <is>
          <t>SETS</t>
        </is>
      </c>
      <c r="J34" s="5" t="inlineStr">
        <is>
          <t>REPS</t>
        </is>
      </c>
      <c r="K34" s="5" t="inlineStr">
        <is>
          <t>KG</t>
        </is>
      </c>
      <c r="L34" s="5" t="inlineStr">
        <is>
          <t>%1RM</t>
        </is>
      </c>
      <c r="M34" s="5" t="inlineStr">
        <is>
          <t>OBS</t>
        </is>
      </c>
      <c r="N34" s="24" t="n"/>
      <c r="O34" s="5" t="inlineStr">
        <is>
          <t>SETS</t>
        </is>
      </c>
      <c r="P34" s="5" t="inlineStr">
        <is>
          <t>REPS</t>
        </is>
      </c>
      <c r="Q34" s="5" t="inlineStr">
        <is>
          <t>KG</t>
        </is>
      </c>
      <c r="R34" s="5" t="inlineStr">
        <is>
          <t>%1RM</t>
        </is>
      </c>
      <c r="S34" s="5" t="inlineStr">
        <is>
          <t>OBS</t>
        </is>
      </c>
      <c r="T34" s="24" t="n"/>
      <c r="U34" s="5" t="inlineStr">
        <is>
          <t>SETS</t>
        </is>
      </c>
      <c r="V34" s="5" t="inlineStr">
        <is>
          <t>REPS</t>
        </is>
      </c>
      <c r="W34" s="5" t="inlineStr">
        <is>
          <t>KG</t>
        </is>
      </c>
      <c r="X34" s="5" t="inlineStr">
        <is>
          <t>%1RM</t>
        </is>
      </c>
      <c r="Y34" s="5" t="inlineStr">
        <is>
          <t>OBS</t>
        </is>
      </c>
      <c r="Z34" s="24" t="n"/>
    </row>
    <row r="35" ht="15.75" customHeight="1" s="98">
      <c r="A35" s="2" t="n"/>
      <c r="B35" s="2" t="inlineStr">
        <is>
          <t>exercícios</t>
        </is>
      </c>
      <c r="C35" s="38" t="n"/>
      <c r="D35" s="5" t="n"/>
      <c r="E35" s="5" t="n"/>
      <c r="F35" s="5" t="inlineStr">
        <is>
          <t>pse</t>
        </is>
      </c>
      <c r="G35" s="5" t="n"/>
      <c r="H35" s="24" t="n"/>
      <c r="I35" s="38" t="n"/>
      <c r="J35" s="5" t="n"/>
      <c r="K35" s="5" t="n"/>
      <c r="L35" s="5" t="inlineStr">
        <is>
          <t>pse</t>
        </is>
      </c>
      <c r="M35" s="5" t="n"/>
      <c r="N35" s="24" t="n"/>
      <c r="O35" s="38" t="n"/>
      <c r="P35" s="5" t="n"/>
      <c r="Q35" s="5" t="n"/>
      <c r="R35" s="5" t="inlineStr">
        <is>
          <t>pse</t>
        </is>
      </c>
      <c r="S35" s="5" t="n"/>
      <c r="T35" s="24" t="n"/>
      <c r="U35" s="38" t="n"/>
      <c r="V35" s="5" t="n"/>
      <c r="W35" s="5" t="n"/>
      <c r="X35" s="5" t="inlineStr">
        <is>
          <t>pse</t>
        </is>
      </c>
      <c r="Y35" s="5" t="n"/>
      <c r="Z35" s="24" t="n"/>
    </row>
    <row r="36" ht="15.75" customHeight="1" s="98">
      <c r="A36" s="39" t="n"/>
      <c r="B36" s="40" t="n"/>
      <c r="C36" s="41" t="n"/>
      <c r="D36" s="41" t="n"/>
      <c r="E36" s="42" t="n"/>
      <c r="F36" s="45">
        <f>IFERROR(__xludf.DUMMYFUNCTION("IFERROR(
$E36/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prs!$A$30:$D$36,
4,
FALSE
)
,"""")"),"")</f>
        <v/>
      </c>
      <c r="G36" s="45" t="n"/>
      <c r="H36" s="47" t="n"/>
      <c r="I36" s="41" t="n"/>
      <c r="J36" s="41" t="n"/>
      <c r="K36" s="42" t="n"/>
      <c r="L36" s="45">
        <f>IFERROR(__xludf.DUMMYFUNCTION("IFERROR(
$E36/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prs!$A$30:$D$36,
4,
FALSE
)
,"""")"),"")</f>
        <v/>
      </c>
      <c r="M36" s="45" t="n"/>
      <c r="N36" s="49" t="n"/>
      <c r="O36" s="41" t="n"/>
      <c r="P36" s="41" t="n"/>
      <c r="Q36" s="42" t="n"/>
      <c r="R36" s="45">
        <f>IFERROR(__xludf.DUMMYFUNCTION("IFERROR(
$Q36/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prs!$A$30:$D$36,
4,
FALSE
)
,"""")"),"")</f>
        <v/>
      </c>
      <c r="S36" s="45" t="n"/>
      <c r="T36" s="49" t="n"/>
      <c r="U36" s="41" t="n"/>
      <c r="V36" s="41" t="n"/>
      <c r="W36" s="42" t="n"/>
      <c r="X36" s="45">
        <f>IFERROR(__xludf.DUMMYFUNCTION("IFERROR(
$W36/
VLOOKUP(
IF(
 REGEXMATCH($B36,""(?i)agachamento""),""Agachamento"",
 IF(
  REGEXMATCH($B36,""(?i)supino""),""Supino"",
  IF(
   REGEXMATCH($B36,""(?i)terra""),""Terra"",
   IF(
    REGEXMATCH($B36,""(?i)desenvolvimento""),""Desenvolvimento"&amp;""",
    IF(
     REGEXMATCH($B36,""(?i)remada""),""Remada"",
     IF(REGEXMATCH($B36,""(?i)arranco""),""Arranco"",IF(REGEXMATCH($B36,""(?i)arremesso""),""Arremesso"",""""))
    )
   )
  )
 )
),
prs!$A$30:$D$36,
4,
FALSE
)
,"""")"),"")</f>
        <v/>
      </c>
      <c r="Y36" s="45" t="n"/>
      <c r="Z36" s="39" t="n"/>
    </row>
    <row r="37" ht="15.75" customHeight="1" s="98">
      <c r="A37" s="39" t="n"/>
      <c r="B37" s="40" t="n"/>
      <c r="C37" s="41" t="n"/>
      <c r="D37" s="41" t="n"/>
      <c r="E37" s="42" t="n"/>
      <c r="F37" s="45">
        <f>IFERROR(__xludf.DUMMYFUNCTION("IFERROR(
$E37/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prs!$A$30:$D$36,
4,
FALSE
)
,"""")"),"")</f>
        <v/>
      </c>
      <c r="G37" s="45" t="n"/>
      <c r="H37" s="47" t="n"/>
      <c r="I37" s="41" t="n"/>
      <c r="J37" s="41" t="n"/>
      <c r="K37" s="42" t="n"/>
      <c r="L37" s="45">
        <f>IFERROR(__xludf.DUMMYFUNCTION("IFERROR(
$E37/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prs!$A$30:$D$36,
4,
FALSE
)
,"""")"),"")</f>
        <v/>
      </c>
      <c r="M37" s="45" t="n"/>
      <c r="N37" s="49" t="n"/>
      <c r="O37" s="41" t="n"/>
      <c r="P37" s="41" t="n"/>
      <c r="Q37" s="42" t="n"/>
      <c r="R37" s="45">
        <f>IFERROR(__xludf.DUMMYFUNCTION("IFERROR(
$Q37/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prs!$A$30:$D$36,
4,
FALSE
)
,"""")"),"")</f>
        <v/>
      </c>
      <c r="S37" s="45" t="n"/>
      <c r="T37" s="49" t="n"/>
      <c r="U37" s="41" t="n"/>
      <c r="V37" s="41" t="n"/>
      <c r="W37" s="42" t="n"/>
      <c r="X37" s="45">
        <f>IFERROR(__xludf.DUMMYFUNCTION("IFERROR(
$W37/
VLOOKUP(
IF(
 REGEXMATCH($B37,""(?i)agachamento""),""Agachamento"",
 IF(
  REGEXMATCH($B37,""(?i)supino""),""Supino"",
  IF(
   REGEXMATCH($B37,""(?i)terra""),""Terra"",
   IF(
    REGEXMATCH($B37,""(?i)desenvolvimento""),""Desenvolvimento"&amp;""",
    IF(
     REGEXMATCH($B37,""(?i)remada""),""Remada"",
     IF(REGEXMATCH($B37,""(?i)arranco""),""Arranco"",IF(REGEXMATCH($B37,""(?i)arremesso""),""Arremesso"",""""))
    )
   )
  )
 )
),
prs!$A$30:$D$36,
4,
FALSE
)
,"""")"),"")</f>
        <v/>
      </c>
      <c r="Y37" s="45" t="n"/>
      <c r="Z37" s="39" t="n"/>
    </row>
    <row r="38" ht="15.75" customHeight="1" s="98">
      <c r="A38" s="39" t="n"/>
      <c r="B38" s="40" t="n"/>
      <c r="C38" s="41" t="n"/>
      <c r="D38" s="41" t="n"/>
      <c r="E38" s="42" t="n"/>
      <c r="F38" s="45">
        <f>IFERROR(__xludf.DUMMYFUNCTION("IFERROR(
$E38/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prs!$A$30:$D$36,
4,
FALSE
)
,"""")"),"")</f>
        <v/>
      </c>
      <c r="G38" s="45" t="n"/>
      <c r="H38" s="47" t="n"/>
      <c r="I38" s="41" t="n"/>
      <c r="J38" s="41" t="n"/>
      <c r="K38" s="42" t="n"/>
      <c r="L38" s="45">
        <f>IFERROR(__xludf.DUMMYFUNCTION("IFERROR(
$E38/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prs!$A$30:$D$36,
4,
FALSE
)
,"""")"),"")</f>
        <v/>
      </c>
      <c r="M38" s="45" t="n"/>
      <c r="N38" s="49" t="n"/>
      <c r="O38" s="41" t="n"/>
      <c r="P38" s="41" t="n"/>
      <c r="Q38" s="42" t="n"/>
      <c r="R38" s="45">
        <f>IFERROR(__xludf.DUMMYFUNCTION("IFERROR(
$Q38/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prs!$A$30:$D$36,
4,
FALSE
)
,"""")"),"")</f>
        <v/>
      </c>
      <c r="S38" s="45" t="n"/>
      <c r="T38" s="49" t="n"/>
      <c r="U38" s="41" t="n"/>
      <c r="V38" s="41" t="n"/>
      <c r="W38" s="42" t="n"/>
      <c r="X38" s="45">
        <f>IFERROR(__xludf.DUMMYFUNCTION("IFERROR(
$W38/
VLOOKUP(
IF(
 REGEXMATCH($B38,""(?i)agachamento""),""Agachamento"",
 IF(
  REGEXMATCH($B38,""(?i)supino""),""Supino"",
  IF(
   REGEXMATCH($B38,""(?i)terra""),""Terra"",
   IF(
    REGEXMATCH($B38,""(?i)desenvolvimento""),""Desenvolvimento"&amp;""",
    IF(
     REGEXMATCH($B38,""(?i)remada""),""Remada"",
     IF(REGEXMATCH($B38,""(?i)arranco""),""Arranco"",IF(REGEXMATCH($B38,""(?i)arremesso""),""Arremesso"",""""))
    )
   )
  )
 )
),
prs!$A$30:$D$36,
4,
FALSE
)
,"""")"),"")</f>
        <v/>
      </c>
      <c r="Y38" s="45" t="n"/>
      <c r="Z38" s="39" t="n"/>
    </row>
    <row r="39" ht="15.75" customHeight="1" s="98">
      <c r="A39" s="39" t="n"/>
      <c r="B39" s="40" t="n"/>
      <c r="C39" s="50" t="n"/>
      <c r="D39" s="50" t="n"/>
      <c r="E39" s="51" t="n"/>
      <c r="F39" s="45">
        <f>IFERROR(__xludf.DUMMYFUNCTION("IFERROR(
$E39/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prs!$A$30:$D$36,
4,
FALSE
)
,"""")"),"")</f>
        <v/>
      </c>
      <c r="G39" s="45" t="n"/>
      <c r="H39" s="47" t="n"/>
      <c r="I39" s="50" t="n"/>
      <c r="J39" s="50" t="n"/>
      <c r="K39" s="51" t="n"/>
      <c r="L39" s="45">
        <f>IFERROR(__xludf.DUMMYFUNCTION("IFERROR(
$E39/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prs!$A$30:$D$36,
4,
FALSE
)
,"""")"),"")</f>
        <v/>
      </c>
      <c r="M39" s="45" t="n"/>
      <c r="N39" s="49" t="n"/>
      <c r="O39" s="50" t="n"/>
      <c r="P39" s="50" t="n"/>
      <c r="Q39" s="51" t="n"/>
      <c r="R39" s="45">
        <f>IFERROR(__xludf.DUMMYFUNCTION("IFERROR(
$Q39/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prs!$A$30:$D$36,
4,
FALSE
)
,"""")"),"")</f>
        <v/>
      </c>
      <c r="S39" s="45" t="n"/>
      <c r="T39" s="49" t="n"/>
      <c r="U39" s="50" t="n"/>
      <c r="V39" s="50" t="n"/>
      <c r="W39" s="51" t="n"/>
      <c r="X39" s="45">
        <f>IFERROR(__xludf.DUMMYFUNCTION("IFERROR(
$W39/
VLOOKUP(
IF(
 REGEXMATCH($B39,""(?i)agachamento""),""Agachamento"",
 IF(
  REGEXMATCH($B39,""(?i)supino""),""Supino"",
  IF(
   REGEXMATCH($B39,""(?i)terra""),""Terra"",
   IF(
    REGEXMATCH($B39,""(?i)desenvolvimento""),""Desenvolvimento"&amp;""",
    IF(
     REGEXMATCH($B39,""(?i)remada""),""Remada"",
     IF(REGEXMATCH($B39,""(?i)arranco""),""Arranco"",IF(REGEXMATCH($B39,""(?i)arremesso""),""Arremesso"",""""))
    )
   )
  )
 )
),
prs!$A$30:$D$36,
4,
FALSE
)
,"""")"),"")</f>
        <v/>
      </c>
      <c r="Y39" s="45" t="n"/>
      <c r="Z39" s="39" t="n"/>
    </row>
    <row r="40" ht="15.75" customHeight="1" s="98">
      <c r="A40" s="39" t="n"/>
      <c r="B40" s="40" t="n"/>
      <c r="C40" s="50" t="n"/>
      <c r="D40" s="50" t="n"/>
      <c r="E40" s="51" t="n"/>
      <c r="F40" s="45">
        <f>IFERROR(__xludf.DUMMYFUNCTION("IFERROR(
$E40/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prs!$A$30:$D$36,
4,
FALSE
)
,"""")"),"")</f>
        <v/>
      </c>
      <c r="G40" s="45" t="n"/>
      <c r="H40" s="47" t="n"/>
      <c r="I40" s="50" t="n"/>
      <c r="J40" s="50" t="n"/>
      <c r="K40" s="51" t="n"/>
      <c r="L40" s="45">
        <f>IFERROR(__xludf.DUMMYFUNCTION("IFERROR(
$E40/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prs!$A$30:$D$36,
4,
FALSE
)
,"""")"),"")</f>
        <v/>
      </c>
      <c r="M40" s="45" t="n"/>
      <c r="N40" s="49" t="n"/>
      <c r="O40" s="50" t="n"/>
      <c r="P40" s="50" t="n"/>
      <c r="Q40" s="51" t="n"/>
      <c r="R40" s="45">
        <f>IFERROR(__xludf.DUMMYFUNCTION("IFERROR(
$Q40/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prs!$A$30:$D$36,
4,
FALSE
)
,"""")"),"")</f>
        <v/>
      </c>
      <c r="S40" s="45" t="n"/>
      <c r="T40" s="49" t="n"/>
      <c r="U40" s="50" t="n"/>
      <c r="V40" s="50" t="n"/>
      <c r="W40" s="51" t="n"/>
      <c r="X40" s="45">
        <f>IFERROR(__xludf.DUMMYFUNCTION("IFERROR(
$W40/
VLOOKUP(
IF(
 REGEXMATCH($B40,""(?i)agachamento""),""Agachamento"",
 IF(
  REGEXMATCH($B40,""(?i)supino""),""Supino"",
  IF(
   REGEXMATCH($B40,""(?i)terra""),""Terra"",
   IF(
    REGEXMATCH($B40,""(?i)desenvolvimento""),""Desenvolvimento"&amp;""",
    IF(
     REGEXMATCH($B40,""(?i)remada""),""Remada"",
     IF(REGEXMATCH($B40,""(?i)arranco""),""Arranco"",IF(REGEXMATCH($B40,""(?i)arremesso""),""Arremesso"",""""))
    )
   )
  )
 )
),
prs!$A$30:$D$36,
4,
FALSE
)
,"""")"),"")</f>
        <v/>
      </c>
      <c r="Y40" s="45" t="n"/>
      <c r="Z40" s="39" t="n"/>
    </row>
    <row r="41" ht="15.75" customHeight="1" s="98">
      <c r="A41" s="39" t="n"/>
      <c r="B41" s="40" t="n"/>
      <c r="C41" s="50" t="n"/>
      <c r="D41" s="50" t="n"/>
      <c r="E41" s="51" t="n"/>
      <c r="F41" s="45">
        <f>IFERROR(__xludf.DUMMYFUNCTION("IFERROR(
$E41/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prs!$A$30:$D$36,
4,
FALSE
)
,"""")"),"")</f>
        <v/>
      </c>
      <c r="G41" s="45" t="n"/>
      <c r="H41" s="47" t="n"/>
      <c r="I41" s="50" t="n"/>
      <c r="J41" s="50" t="n"/>
      <c r="K41" s="51" t="n"/>
      <c r="L41" s="45">
        <f>IFERROR(__xludf.DUMMYFUNCTION("IFERROR(
$E41/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prs!$A$30:$D$36,
4,
FALSE
)
,"""")"),"")</f>
        <v/>
      </c>
      <c r="M41" s="45" t="n"/>
      <c r="N41" s="49" t="n"/>
      <c r="O41" s="50" t="n"/>
      <c r="P41" s="50" t="n"/>
      <c r="Q41" s="51" t="n"/>
      <c r="R41" s="45">
        <f>IFERROR(__xludf.DUMMYFUNCTION("IFERROR(
$Q41/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prs!$A$30:$D$36,
4,
FALSE
)
,"""")"),"")</f>
        <v/>
      </c>
      <c r="S41" s="45" t="n"/>
      <c r="T41" s="49" t="n"/>
      <c r="U41" s="50" t="n"/>
      <c r="V41" s="50" t="n"/>
      <c r="W41" s="51" t="n"/>
      <c r="X41" s="45">
        <f>IFERROR(__xludf.DUMMYFUNCTION("IFERROR(
$W41/
VLOOKUP(
IF(
 REGEXMATCH($B41,""(?i)agachamento""),""Agachamento"",
 IF(
  REGEXMATCH($B41,""(?i)supino""),""Supino"",
  IF(
   REGEXMATCH($B41,""(?i)terra""),""Terra"",
   IF(
    REGEXMATCH($B41,""(?i)desenvolvimento""),""Desenvolvimento"&amp;""",
    IF(
     REGEXMATCH($B41,""(?i)remada""),""Remada"",
     IF(REGEXMATCH($B41,""(?i)arranco""),""Arranco"",IF(REGEXMATCH($B41,""(?i)arremesso""),""Arremesso"",""""))
    )
   )
  )
 )
),
prs!$A$30:$D$36,
4,
FALSE
)
,"""")"),"")</f>
        <v/>
      </c>
      <c r="Y41" s="45" t="n"/>
      <c r="Z41" s="39" t="n"/>
    </row>
    <row r="42" ht="15.75" customHeight="1" s="98">
      <c r="A42" s="39" t="n"/>
      <c r="B42" s="40" t="n"/>
      <c r="C42" s="50" t="n"/>
      <c r="D42" s="50" t="n"/>
      <c r="E42" s="51" t="n"/>
      <c r="F42" s="45">
        <f>IFERROR(__xludf.DUMMYFUNCTION("IFERROR(
$E42/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prs!$A$30:$D$36,
4,
FALSE
)
,"""")"),"")</f>
        <v/>
      </c>
      <c r="G42" s="45" t="n"/>
      <c r="H42" s="47" t="n"/>
      <c r="I42" s="50" t="n"/>
      <c r="J42" s="50" t="n"/>
      <c r="K42" s="51" t="n"/>
      <c r="L42" s="45">
        <f>IFERROR(__xludf.DUMMYFUNCTION("IFERROR(
$E42/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prs!$A$30:$D$36,
4,
FALSE
)
,"""")"),"")</f>
        <v/>
      </c>
      <c r="M42" s="45" t="n"/>
      <c r="N42" s="49" t="n"/>
      <c r="O42" s="50" t="n"/>
      <c r="P42" s="50" t="n"/>
      <c r="Q42" s="51" t="n"/>
      <c r="R42" s="45">
        <f>IFERROR(__xludf.DUMMYFUNCTION("IFERROR(
$Q42/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prs!$A$30:$D$36,
4,
FALSE
)
,"""")"),"")</f>
        <v/>
      </c>
      <c r="S42" s="45" t="n"/>
      <c r="T42" s="49" t="n"/>
      <c r="U42" s="50" t="n"/>
      <c r="V42" s="50" t="n"/>
      <c r="W42" s="51" t="n"/>
      <c r="X42" s="45">
        <f>IFERROR(__xludf.DUMMYFUNCTION("IFERROR(
$W42/
VLOOKUP(
IF(
 REGEXMATCH($B42,""(?i)agachamento""),""Agachamento"",
 IF(
  REGEXMATCH($B42,""(?i)supino""),""Supino"",
  IF(
   REGEXMATCH($B42,""(?i)terra""),""Terra"",
   IF(
    REGEXMATCH($B42,""(?i)desenvolvimento""),""Desenvolvimento"&amp;""",
    IF(
     REGEXMATCH($B42,""(?i)remada""),""Remada"",
     IF(REGEXMATCH($B42,""(?i)arranco""),""Arranco"",IF(REGEXMATCH($B42,""(?i)arremesso""),""Arremesso"",""""))
    )
   )
  )
 )
),
prs!$A$30:$D$36,
4,
FALSE
)
,"""")"),"")</f>
        <v/>
      </c>
      <c r="Y42" s="45" t="n"/>
      <c r="Z42" s="39" t="n"/>
    </row>
    <row r="43" ht="15.75" customHeight="1" s="98">
      <c r="A43" s="39" t="n"/>
      <c r="B43" s="40" t="n"/>
      <c r="C43" s="50" t="n"/>
      <c r="D43" s="50" t="n"/>
      <c r="E43" s="51" t="n"/>
      <c r="F43" s="45">
        <f>IFERROR(__xludf.DUMMYFUNCTION("IFERROR(
$E43/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prs!$A$30:$D$36,
4,
FALSE
)
,"""")"),"")</f>
        <v/>
      </c>
      <c r="G43" s="45" t="n"/>
      <c r="H43" s="47" t="n"/>
      <c r="I43" s="50" t="n"/>
      <c r="J43" s="50" t="n"/>
      <c r="K43" s="51" t="n"/>
      <c r="L43" s="45">
        <f>IFERROR(__xludf.DUMMYFUNCTION("IFERROR(
$E43/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prs!$A$30:$D$36,
4,
FALSE
)
,"""")"),"")</f>
        <v/>
      </c>
      <c r="M43" s="45" t="n"/>
      <c r="N43" s="49" t="n"/>
      <c r="O43" s="50" t="n"/>
      <c r="P43" s="50" t="n"/>
      <c r="Q43" s="51" t="n"/>
      <c r="R43" s="45">
        <f>IFERROR(__xludf.DUMMYFUNCTION("IFERROR(
$Q43/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prs!$A$30:$D$36,
4,
FALSE
)
,"""")"),"")</f>
        <v/>
      </c>
      <c r="S43" s="45" t="n"/>
      <c r="T43" s="49" t="n"/>
      <c r="U43" s="50" t="n"/>
      <c r="V43" s="50" t="n"/>
      <c r="W43" s="51" t="n"/>
      <c r="X43" s="45">
        <f>IFERROR(__xludf.DUMMYFUNCTION("IFERROR(
$W43/
VLOOKUP(
IF(
 REGEXMATCH($B43,""(?i)agachamento""),""Agachamento"",
 IF(
  REGEXMATCH($B43,""(?i)supino""),""Supino"",
  IF(
   REGEXMATCH($B43,""(?i)terra""),""Terra"",
   IF(
    REGEXMATCH($B43,""(?i)desenvolvimento""),""Desenvolvimento"&amp;""",
    IF(
     REGEXMATCH($B43,""(?i)remada""),""Remada"",
     IF(REGEXMATCH($B43,""(?i)arranco""),""Arranco"",IF(REGEXMATCH($B43,""(?i)arremesso""),""Arremesso"",""""))
    )
   )
  )
 )
),
prs!$A$30:$D$36,
4,
FALSE
)
,"""")"),"")</f>
        <v/>
      </c>
      <c r="Y43" s="45" t="n"/>
      <c r="Z43" s="39" t="n"/>
    </row>
    <row r="44" ht="15.75" customHeight="1" s="98">
      <c r="A44" s="39" t="n"/>
      <c r="B44" s="40" t="n"/>
      <c r="C44" s="50" t="n"/>
      <c r="D44" s="50" t="n"/>
      <c r="E44" s="51" t="n"/>
      <c r="F44" s="45">
        <f>IFERROR(__xludf.DUMMYFUNCTION("IFERROR(
$E44/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prs!$A$30:$D$36,
4,
FALSE
)
,"""")"),"")</f>
        <v/>
      </c>
      <c r="G44" s="45" t="n"/>
      <c r="H44" s="47" t="n"/>
      <c r="I44" s="50" t="n"/>
      <c r="J44" s="50" t="n"/>
      <c r="K44" s="51" t="n"/>
      <c r="L44" s="45">
        <f>IFERROR(__xludf.DUMMYFUNCTION("IFERROR(
$E44/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prs!$A$30:$D$36,
4,
FALSE
)
,"""")"),"")</f>
        <v/>
      </c>
      <c r="M44" s="45" t="n"/>
      <c r="N44" s="49" t="n"/>
      <c r="O44" s="50" t="n"/>
      <c r="P44" s="50" t="n"/>
      <c r="Q44" s="51" t="n"/>
      <c r="R44" s="45">
        <f>IFERROR(__xludf.DUMMYFUNCTION("IFERROR(
$Q44/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prs!$A$30:$D$36,
4,
FALSE
)
,"""")"),"")</f>
        <v/>
      </c>
      <c r="S44" s="45" t="n"/>
      <c r="T44" s="49" t="n"/>
      <c r="U44" s="50" t="n"/>
      <c r="V44" s="50" t="n"/>
      <c r="W44" s="51" t="n"/>
      <c r="X44" s="45">
        <f>IFERROR(__xludf.DUMMYFUNCTION("IFERROR(
$W44/
VLOOKUP(
IF(
 REGEXMATCH($B44,""(?i)agachamento""),""Agachamento"",
 IF(
  REGEXMATCH($B44,""(?i)supino""),""Supino"",
  IF(
   REGEXMATCH($B44,""(?i)terra""),""Terra"",
   IF(
    REGEXMATCH($B44,""(?i)desenvolvimento""),""Desenvolvimento"&amp;""",
    IF(
     REGEXMATCH($B44,""(?i)remada""),""Remada"",
     IF(REGEXMATCH($B44,""(?i)arranco""),""Arranco"",IF(REGEXMATCH($B44,""(?i)arremesso""),""Arremesso"",""""))
    )
   )
  )
 )
),
prs!$A$30:$D$36,
4,
FALSE
)
,"""")"),"")</f>
        <v/>
      </c>
      <c r="Y44" s="45" t="n"/>
      <c r="Z44" s="39" t="n"/>
    </row>
    <row r="45" ht="15.75" customHeight="1" s="98">
      <c r="A45" s="39" t="n"/>
      <c r="B45" s="40" t="n"/>
      <c r="C45" s="50" t="n"/>
      <c r="D45" s="50" t="n"/>
      <c r="E45" s="51" t="n"/>
      <c r="F45" s="45">
        <f>IFERROR(__xludf.DUMMYFUNCTION("IFERROR(
$E45/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prs!$A$30:$D$36,
4,
FALSE
)
,"""")"),"")</f>
        <v/>
      </c>
      <c r="G45" s="45" t="n"/>
      <c r="H45" s="47" t="n"/>
      <c r="I45" s="50" t="n"/>
      <c r="J45" s="50" t="n"/>
      <c r="K45" s="51" t="n"/>
      <c r="L45" s="45">
        <f>IFERROR(__xludf.DUMMYFUNCTION("IFERROR(
$E45/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prs!$A$30:$D$36,
4,
FALSE
)
,"""")"),"")</f>
        <v/>
      </c>
      <c r="M45" s="45" t="n"/>
      <c r="N45" s="49" t="n"/>
      <c r="O45" s="50" t="n"/>
      <c r="P45" s="50" t="n"/>
      <c r="Q45" s="51" t="n"/>
      <c r="R45" s="45">
        <f>IFERROR(__xludf.DUMMYFUNCTION("IFERROR(
$Q45/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prs!$A$30:$D$36,
4,
FALSE
)
,"""")"),"")</f>
        <v/>
      </c>
      <c r="S45" s="45" t="n"/>
      <c r="T45" s="49" t="n"/>
      <c r="U45" s="50" t="n"/>
      <c r="V45" s="50" t="n"/>
      <c r="W45" s="51" t="n"/>
      <c r="X45" s="45">
        <f>IFERROR(__xludf.DUMMYFUNCTION("IFERROR(
$W45/
VLOOKUP(
IF(
 REGEXMATCH($B45,""(?i)agachamento""),""Agachamento"",
 IF(
  REGEXMATCH($B45,""(?i)supino""),""Supino"",
  IF(
   REGEXMATCH($B45,""(?i)terra""),""Terra"",
   IF(
    REGEXMATCH($B45,""(?i)desenvolvimento""),""Desenvolvimento"&amp;""",
    IF(
     REGEXMATCH($B45,""(?i)remada""),""Remada"",
     IF(REGEXMATCH($B45,""(?i)arranco""),""Arranco"",IF(REGEXMATCH($B45,""(?i)arremesso""),""Arremesso"",""""))
    )
   )
  )
 )
),
prs!$A$30:$D$36,
4,
FALSE
)
,"""")"),"")</f>
        <v/>
      </c>
      <c r="Y45" s="45" t="n"/>
      <c r="Z45" s="39" t="n"/>
    </row>
    <row r="46" ht="15.75" customHeight="1" s="98">
      <c r="A46" s="31" t="n"/>
      <c r="B46" s="52" t="n"/>
      <c r="C46" s="32" t="inlineStr">
        <is>
          <t>SEMANA 01</t>
        </is>
      </c>
      <c r="H46" s="24" t="n"/>
      <c r="I46" s="32" t="inlineStr">
        <is>
          <t>SEMANA 02</t>
        </is>
      </c>
      <c r="N46" s="24" t="n"/>
      <c r="O46" s="32" t="inlineStr">
        <is>
          <t>SEMANA 03</t>
        </is>
      </c>
      <c r="T46" s="24" t="n"/>
      <c r="U46" s="32" t="inlineStr">
        <is>
          <t>SEMANA 04</t>
        </is>
      </c>
      <c r="Z46" s="24" t="n"/>
    </row>
    <row r="47" ht="15.75" customHeight="1" s="98">
      <c r="A47" s="47" t="n"/>
      <c r="B47" s="47" t="n"/>
      <c r="C47" s="47" t="n"/>
      <c r="D47" s="47" t="n"/>
      <c r="H47" s="47" t="n"/>
      <c r="I47" s="47" t="n"/>
      <c r="J47" s="47" t="n"/>
      <c r="N47" s="47" t="n"/>
      <c r="O47" s="47" t="n"/>
      <c r="P47" s="47" t="n"/>
      <c r="T47" s="47" t="n"/>
      <c r="U47" s="47" t="n"/>
      <c r="V47" s="47" t="n"/>
      <c r="Z47" s="47" t="n"/>
    </row>
    <row r="48" ht="15.75" customHeight="1" s="9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 s="98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 s="98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 s="98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 s="98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 s="98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 s="98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 s="98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 s="98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 s="98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 s="9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 s="98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 s="98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 s="98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 s="98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 s="98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 s="98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 s="98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 s="98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 s="98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5.75" customHeight="1" s="9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5.75" customHeight="1" s="98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5.75" customHeight="1" s="98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5.75" customHeight="1" s="98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5.75" customHeight="1" s="98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5.75" customHeight="1" s="98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5.75" customHeight="1" s="98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5.75" customHeight="1" s="98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5.75" customHeight="1" s="98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5.75" customHeight="1" s="98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5.75" customHeight="1" s="9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5.75" customHeight="1" s="98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5.75" customHeight="1" s="98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5.75" customHeight="1" s="98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5.75" customHeight="1" s="98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5.75" customHeight="1" s="98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5.75" customHeight="1" s="98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5.75" customHeight="1" s="98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5.75" customHeight="1" s="98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5.75" customHeight="1" s="98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5.75" customHeight="1" s="9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5.75" customHeight="1" s="98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5.75" customHeight="1" s="98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5.75" customHeight="1" s="98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5.75" customHeight="1" s="98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5.75" customHeight="1" s="98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5.75" customHeight="1" s="98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5.75" customHeight="1" s="98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5.75" customHeight="1" s="98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5.75" customHeight="1" s="98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5.75" customHeight="1" s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5.75" customHeight="1" s="98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5.75" customHeight="1" s="98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5.75" customHeight="1" s="98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5.75" customHeight="1" s="98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5.75" customHeight="1" s="98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5.75" customHeight="1" s="98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5.75" customHeight="1" s="98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5.75" customHeight="1" s="98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5.75" customHeight="1" s="98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5.75" customHeight="1" s="9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5.75" customHeight="1" s="98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5.75" customHeight="1" s="98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5.75" customHeight="1" s="98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5.75" customHeight="1" s="98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5.75" customHeight="1" s="98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5.75" customHeight="1" s="98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5.75" customHeight="1" s="98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5.75" customHeight="1" s="98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5.75" customHeight="1" s="98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5.75" customHeight="1" s="9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5.75" customHeight="1" s="98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5.75" customHeight="1" s="98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5.75" customHeight="1" s="98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5.75" customHeight="1" s="98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5.75" customHeight="1" s="98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5.75" customHeight="1" s="98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5.75" customHeight="1" s="98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5.75" customHeight="1" s="98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5.75" customHeight="1" s="98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5.75" customHeight="1" s="9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5.75" customHeight="1" s="98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5.75" customHeight="1" s="98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5.75" customHeight="1" s="98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5.75" customHeight="1" s="98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5.75" customHeight="1" s="98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5.75" customHeight="1" s="98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5.75" customHeight="1" s="98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5.75" customHeight="1" s="98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5.75" customHeight="1" s="98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5.75" customHeight="1" s="9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5.75" customHeight="1" s="98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5.75" customHeight="1" s="98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5.75" customHeight="1" s="98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5.75" customHeight="1" s="98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5.75" customHeight="1" s="98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5.75" customHeight="1" s="98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5.75" customHeight="1" s="98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5.75" customHeight="1" s="98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5.75" customHeight="1" s="98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5.75" customHeight="1" s="9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5.75" customHeight="1" s="98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5.75" customHeight="1" s="98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5.75" customHeight="1" s="98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5.75" customHeight="1" s="98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5.75" customHeight="1" s="98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5.75" customHeight="1" s="98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5.75" customHeight="1" s="98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5.75" customHeight="1" s="98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5.75" customHeight="1" s="98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5.75" customHeight="1" s="9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5.75" customHeight="1" s="98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5.75" customHeight="1" s="98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5.75" customHeight="1" s="98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5.75" customHeight="1" s="98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5.75" customHeight="1" s="98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5.75" customHeight="1" s="98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5.75" customHeight="1" s="98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5.75" customHeight="1" s="98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5.75" customHeight="1" s="98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5.75" customHeight="1" s="9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5.75" customHeight="1" s="98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5.75" customHeight="1" s="98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5.75" customHeight="1" s="98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5.75" customHeight="1" s="98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5.75" customHeight="1" s="98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5.75" customHeight="1" s="98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5.75" customHeight="1" s="98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5.75" customHeight="1" s="98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5.75" customHeight="1" s="98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5.75" customHeight="1" s="9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5.75" customHeight="1" s="98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5.75" customHeight="1" s="98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5.75" customHeight="1" s="98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5.75" customHeight="1" s="98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5.75" customHeight="1" s="98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5.75" customHeight="1" s="98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5.75" customHeight="1" s="98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5.75" customHeight="1" s="98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5.75" customHeight="1" s="98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5.75" customHeight="1" s="9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5.75" customHeight="1" s="98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5.75" customHeight="1" s="98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5.75" customHeight="1" s="98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5.75" customHeight="1" s="98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5.75" customHeight="1" s="98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5.75" customHeight="1" s="98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5.75" customHeight="1" s="98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5.75" customHeight="1" s="98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5.75" customHeight="1" s="98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5.75" customHeight="1" s="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5.75" customHeight="1" s="98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5.75" customHeight="1" s="98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5.75" customHeight="1" s="98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5.75" customHeight="1" s="98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5.75" customHeight="1" s="98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5.75" customHeight="1" s="98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5.75" customHeight="1" s="98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5.75" customHeight="1" s="98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5.75" customHeight="1" s="98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5.75" customHeight="1" s="9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5.75" customHeight="1" s="98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5.75" customHeight="1" s="98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5.75" customHeight="1" s="98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5.75" customHeight="1" s="98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5.75" customHeight="1" s="98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5.75" customHeight="1" s="98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5.75" customHeight="1" s="98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5.75" customHeight="1" s="98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5.75" customHeight="1" s="98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5.75" customHeight="1" s="9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mergeCells count="40">
    <mergeCell ref="V32:Y32"/>
    <mergeCell ref="U31:Y31"/>
    <mergeCell ref="P47:S47"/>
    <mergeCell ref="O3:S3"/>
    <mergeCell ref="C18:G18"/>
    <mergeCell ref="J47:M47"/>
    <mergeCell ref="C33:G33"/>
    <mergeCell ref="I46:M46"/>
    <mergeCell ref="O33:S33"/>
    <mergeCell ref="J2:M2"/>
    <mergeCell ref="U46:Y46"/>
    <mergeCell ref="O18:S18"/>
    <mergeCell ref="V47:Y47"/>
    <mergeCell ref="J17:M17"/>
    <mergeCell ref="C16:G16"/>
    <mergeCell ref="I16:M16"/>
    <mergeCell ref="V2:Y2"/>
    <mergeCell ref="V17:Y17"/>
    <mergeCell ref="U16:Y16"/>
    <mergeCell ref="C31:G31"/>
    <mergeCell ref="O31:S31"/>
    <mergeCell ref="I18:M18"/>
    <mergeCell ref="I3:M3"/>
    <mergeCell ref="O16:S16"/>
    <mergeCell ref="C46:G46"/>
    <mergeCell ref="U3:Y3"/>
    <mergeCell ref="O46:S46"/>
    <mergeCell ref="I33:M33"/>
    <mergeCell ref="U33:Y33"/>
    <mergeCell ref="D2:G2"/>
    <mergeCell ref="U18:Y18"/>
    <mergeCell ref="P2:S2"/>
    <mergeCell ref="D32:G32"/>
    <mergeCell ref="D17:G17"/>
    <mergeCell ref="D47:G47"/>
    <mergeCell ref="P17:S17"/>
    <mergeCell ref="J32:M32"/>
    <mergeCell ref="P32:S32"/>
    <mergeCell ref="I31:M31"/>
    <mergeCell ref="C3:G3"/>
  </mergeCells>
  <conditionalFormatting sqref="B6:B15 B36:B45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" customHeight="1"/>
  <cols>
    <col width="23.75" customWidth="1" style="98" min="1" max="1"/>
    <col width="12.63" customWidth="1" style="98" min="2" max="6"/>
  </cols>
  <sheetData>
    <row r="1" ht="15.75" customHeight="1" s="98">
      <c r="A1" s="56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</row>
    <row r="2" ht="15.75" customHeight="1" s="98">
      <c r="A2" s="57" t="inlineStr">
        <is>
          <t>BLOCO</t>
        </is>
      </c>
      <c r="B2" s="58" t="inlineStr">
        <is>
          <t>bloco 01</t>
        </is>
      </c>
      <c r="C2" s="49" t="n"/>
      <c r="D2" s="49" t="n"/>
      <c r="E2" s="49" t="n"/>
      <c r="F2" s="49" t="n"/>
      <c r="G2" s="49" t="n"/>
      <c r="H2" s="49" t="n"/>
      <c r="I2" s="49" t="n"/>
      <c r="J2" s="49" t="n"/>
    </row>
    <row r="3" ht="15.75" customHeight="1" s="98">
      <c r="A3" s="59" t="inlineStr">
        <is>
          <t>DATA</t>
        </is>
      </c>
      <c r="B3" s="60" t="n">
        <v>46027</v>
      </c>
      <c r="C3" s="49" t="n"/>
      <c r="D3" s="49" t="n"/>
      <c r="E3" s="49" t="n"/>
      <c r="F3" s="49" t="n"/>
      <c r="G3" s="49" t="n"/>
      <c r="H3" s="49" t="n"/>
      <c r="I3" s="49" t="n"/>
      <c r="J3" s="49" t="n"/>
    </row>
    <row r="4" ht="15.75" customHeight="1" s="98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</row>
    <row r="5" ht="15.75" customHeight="1" s="98">
      <c r="A5" s="61" t="n"/>
      <c r="B5" s="62" t="inlineStr">
        <is>
          <t>REPS</t>
        </is>
      </c>
      <c r="C5" s="63" t="inlineStr">
        <is>
          <t>KG</t>
        </is>
      </c>
      <c r="D5" s="64" t="n">
        <v>1</v>
      </c>
      <c r="E5" s="64" t="n">
        <v>0.95</v>
      </c>
      <c r="F5" s="64" t="n">
        <v>0.9</v>
      </c>
      <c r="G5" s="64" t="n">
        <v>0.85</v>
      </c>
      <c r="H5" s="64" t="n">
        <v>0.8</v>
      </c>
      <c r="I5" s="64" t="n">
        <v>0.75</v>
      </c>
      <c r="J5" s="65" t="n">
        <v>0.7</v>
      </c>
    </row>
    <row r="6" ht="15.75" customHeight="1" s="98">
      <c r="A6" s="66" t="inlineStr">
        <is>
          <t>Agachamento</t>
        </is>
      </c>
      <c r="B6" s="67" t="n">
        <v>5</v>
      </c>
      <c r="C6" s="68" t="n">
        <v>100</v>
      </c>
      <c r="D6" s="69" t="n">
        <v>112.5113</v>
      </c>
      <c r="E6" s="69" t="n">
        <v>106.8857</v>
      </c>
      <c r="F6" s="69" t="n">
        <v>101.2601</v>
      </c>
      <c r="G6" s="69" t="n">
        <v>95.63460000000001</v>
      </c>
      <c r="H6" s="69" t="n">
        <v>90.009</v>
      </c>
      <c r="I6" s="69">
        <f>(D6*0.75)</f>
        <v/>
      </c>
      <c r="J6" s="70">
        <f>(D6*0.7)</f>
        <v/>
      </c>
    </row>
    <row r="7" ht="15.75" customHeight="1" s="98">
      <c r="A7" s="66" t="inlineStr">
        <is>
          <t>Supino</t>
        </is>
      </c>
      <c r="B7" s="71" t="n">
        <v>5</v>
      </c>
      <c r="C7" s="42" t="n">
        <v>70</v>
      </c>
      <c r="D7" s="69" t="n">
        <v>78.75790000000001</v>
      </c>
      <c r="E7" s="69" t="n">
        <v>74.81999999999999</v>
      </c>
      <c r="F7" s="69" t="n">
        <v>70.88209999999999</v>
      </c>
      <c r="G7" s="69" t="n">
        <v>66.9442</v>
      </c>
      <c r="H7" s="69" t="n">
        <v>63.0063</v>
      </c>
      <c r="I7" s="69">
        <f>(D7*0.75)</f>
        <v/>
      </c>
      <c r="J7" s="70">
        <f>(D7*0.7)</f>
        <v/>
      </c>
    </row>
    <row r="8" ht="15.75" customHeight="1" s="98">
      <c r="A8" s="66" t="inlineStr">
        <is>
          <t>Terra</t>
        </is>
      </c>
      <c r="B8" s="71" t="n">
        <v>3</v>
      </c>
      <c r="C8" s="42" t="n">
        <v>130</v>
      </c>
      <c r="D8" s="69" t="n">
        <v>137.6535</v>
      </c>
      <c r="E8" s="69" t="n">
        <v>130.7709</v>
      </c>
      <c r="F8" s="69" t="n">
        <v>123.8882</v>
      </c>
      <c r="G8" s="69" t="n">
        <v>117.0055</v>
      </c>
      <c r="H8" s="69" t="n">
        <v>110.1228</v>
      </c>
      <c r="I8" s="69">
        <f>(D8*0.75)</f>
        <v/>
      </c>
      <c r="J8" s="70">
        <f>(D8*0.7)</f>
        <v/>
      </c>
    </row>
    <row r="9" ht="15.75" customHeight="1" s="98">
      <c r="A9" s="66" t="inlineStr">
        <is>
          <t>Desenvolvimento</t>
        </is>
      </c>
      <c r="B9" s="72" t="n"/>
      <c r="C9" s="51" t="n"/>
      <c r="D9" s="69" t="n"/>
      <c r="E9" s="69" t="n"/>
      <c r="F9" s="69" t="n"/>
      <c r="G9" s="69" t="n"/>
      <c r="H9" s="69" t="n"/>
      <c r="I9" s="69">
        <f>(D9*0.75)</f>
        <v/>
      </c>
      <c r="J9" s="70">
        <f>(D9*0.7)</f>
        <v/>
      </c>
    </row>
    <row r="10" ht="15.75" customHeight="1" s="98">
      <c r="A10" s="66" t="inlineStr">
        <is>
          <t>Remada</t>
        </is>
      </c>
      <c r="B10" s="72" t="n"/>
      <c r="C10" s="51" t="n"/>
      <c r="D10" s="69" t="n"/>
      <c r="E10" s="69" t="n"/>
      <c r="F10" s="69" t="n"/>
      <c r="G10" s="69" t="n"/>
      <c r="H10" s="69" t="n"/>
      <c r="I10" s="69">
        <f>(D10*0.75)</f>
        <v/>
      </c>
      <c r="J10" s="70">
        <f>(D10*0.7)</f>
        <v/>
      </c>
    </row>
    <row r="11" ht="15.75" customHeight="1" s="98">
      <c r="A11" s="66" t="inlineStr">
        <is>
          <t>Arranco</t>
        </is>
      </c>
      <c r="B11" s="72" t="n">
        <v>3</v>
      </c>
      <c r="C11" s="51" t="n">
        <v>50</v>
      </c>
      <c r="D11" s="69" t="n">
        <v>52.9437</v>
      </c>
      <c r="E11" s="69" t="n">
        <v>50.2965</v>
      </c>
      <c r="F11" s="69" t="n">
        <v>47.6493</v>
      </c>
      <c r="G11" s="69" t="n">
        <v>45.0021</v>
      </c>
      <c r="H11" s="69" t="n">
        <v>42.3549</v>
      </c>
      <c r="I11" s="69">
        <f>(D11*0.75)</f>
        <v/>
      </c>
      <c r="J11" s="70">
        <f>(D11*0.7)</f>
        <v/>
      </c>
    </row>
    <row r="12" ht="15.75" customHeight="1" s="98">
      <c r="A12" s="73" t="inlineStr">
        <is>
          <t>Arremesso</t>
        </is>
      </c>
      <c r="B12" s="74" t="n"/>
      <c r="C12" s="75" t="n"/>
      <c r="D12" s="76" t="n"/>
      <c r="E12" s="76" t="n"/>
      <c r="F12" s="76" t="n"/>
      <c r="G12" s="76" t="n"/>
      <c r="H12" s="76" t="n"/>
      <c r="I12" s="76">
        <f>(D12*0.75)</f>
        <v/>
      </c>
      <c r="J12" s="77">
        <f>(D12*0.7)</f>
        <v/>
      </c>
    </row>
    <row r="13" ht="15.75" customHeight="1" s="98">
      <c r="A13" s="56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</row>
    <row r="14" ht="15.75" customHeight="1" s="98">
      <c r="A14" s="57" t="inlineStr">
        <is>
          <t>BLOCO</t>
        </is>
      </c>
      <c r="B14" s="58" t="inlineStr">
        <is>
          <t>bloco 02</t>
        </is>
      </c>
      <c r="C14" s="49" t="n"/>
      <c r="D14" s="49" t="n"/>
      <c r="E14" s="49" t="n"/>
      <c r="F14" s="49" t="n"/>
      <c r="G14" s="49" t="n"/>
      <c r="H14" s="49" t="n"/>
      <c r="I14" s="49" t="n"/>
      <c r="J14" s="49" t="n"/>
    </row>
    <row r="15" ht="15.75" customHeight="1" s="98">
      <c r="A15" s="59" t="inlineStr">
        <is>
          <t>DATA</t>
        </is>
      </c>
      <c r="B15" s="60">
        <f>B3+28</f>
        <v/>
      </c>
      <c r="C15" s="49" t="n"/>
      <c r="D15" s="49" t="n"/>
      <c r="E15" s="49" t="n"/>
      <c r="F15" s="49" t="n"/>
      <c r="G15" s="49" t="n"/>
      <c r="H15" s="49" t="n"/>
      <c r="I15" s="49" t="n"/>
      <c r="J15" s="49" t="n"/>
    </row>
    <row r="16" ht="15.75" customHeight="1" s="98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</row>
    <row r="17" ht="15.75" customHeight="1" s="98">
      <c r="A17" s="61" t="n"/>
      <c r="B17" s="62" t="inlineStr">
        <is>
          <t>REPS</t>
        </is>
      </c>
      <c r="C17" s="63" t="inlineStr">
        <is>
          <t>KG</t>
        </is>
      </c>
      <c r="D17" s="64" t="n">
        <v>1</v>
      </c>
      <c r="E17" s="64" t="n">
        <v>0.95</v>
      </c>
      <c r="F17" s="64" t="n">
        <v>0.9</v>
      </c>
      <c r="G17" s="64" t="n">
        <v>0.85</v>
      </c>
      <c r="H17" s="64" t="n">
        <v>0.8</v>
      </c>
      <c r="I17" s="64" t="n">
        <v>0.75</v>
      </c>
      <c r="J17" s="64" t="n">
        <v>0.7</v>
      </c>
    </row>
    <row r="18" ht="15.75" customHeight="1" s="98">
      <c r="A18" s="66" t="inlineStr">
        <is>
          <t>Agachamento</t>
        </is>
      </c>
      <c r="B18" s="67" t="n"/>
      <c r="C18" s="68" t="n"/>
      <c r="D18" s="78">
        <f>C18/(1.0278-(0.0278*B18))</f>
        <v/>
      </c>
      <c r="E18" s="78">
        <f>(D18*0.95)</f>
        <v/>
      </c>
      <c r="F18" s="78">
        <f>(D18*0.9)</f>
        <v/>
      </c>
      <c r="G18" s="78">
        <f>(D18*0.85)</f>
        <v/>
      </c>
      <c r="H18" s="78">
        <f>(D18*0.8)</f>
        <v/>
      </c>
      <c r="I18" s="78">
        <f>(D18*0.75)</f>
        <v/>
      </c>
      <c r="J18" s="79">
        <f>(D18*0.7)</f>
        <v/>
      </c>
    </row>
    <row r="19" ht="15.75" customHeight="1" s="98">
      <c r="A19" s="66" t="inlineStr">
        <is>
          <t>Supino</t>
        </is>
      </c>
      <c r="B19" s="71" t="n"/>
      <c r="C19" s="42" t="n"/>
      <c r="D19" s="69">
        <f>C19/(1.0278-(0.0278*B19))</f>
        <v/>
      </c>
      <c r="E19" s="69">
        <f>(D19*0.95)</f>
        <v/>
      </c>
      <c r="F19" s="69">
        <f>(D19*0.9)</f>
        <v/>
      </c>
      <c r="G19" s="69">
        <f>(D19*0.85)</f>
        <v/>
      </c>
      <c r="H19" s="69">
        <f>(D19*0.8)</f>
        <v/>
      </c>
      <c r="I19" s="69">
        <f>(D19*0.75)</f>
        <v/>
      </c>
      <c r="J19" s="70">
        <f>(D19*0.7)</f>
        <v/>
      </c>
    </row>
    <row r="20" ht="15.75" customHeight="1" s="98">
      <c r="A20" s="66" t="inlineStr">
        <is>
          <t>Terra</t>
        </is>
      </c>
      <c r="B20" s="71" t="n"/>
      <c r="C20" s="42" t="n"/>
      <c r="D20" s="69">
        <f>C20/(1.0278-(0.0278*B20))</f>
        <v/>
      </c>
      <c r="E20" s="69">
        <f>(D20*0.95)</f>
        <v/>
      </c>
      <c r="F20" s="69">
        <f>(D20*0.9)</f>
        <v/>
      </c>
      <c r="G20" s="69">
        <f>(D20*0.85)</f>
        <v/>
      </c>
      <c r="H20" s="69">
        <f>(D20*0.8)</f>
        <v/>
      </c>
      <c r="I20" s="69">
        <f>(D20*0.75)</f>
        <v/>
      </c>
      <c r="J20" s="70">
        <f>(D20*0.7)</f>
        <v/>
      </c>
    </row>
    <row r="21" ht="15.75" customHeight="1" s="98">
      <c r="A21" s="66" t="inlineStr">
        <is>
          <t>Desenvolvimento</t>
        </is>
      </c>
      <c r="B21" s="72" t="n"/>
      <c r="C21" s="51" t="n"/>
      <c r="D21" s="69">
        <f>C21/(1.0278-(0.0278*B21))</f>
        <v/>
      </c>
      <c r="E21" s="69">
        <f>(D21*0.95)</f>
        <v/>
      </c>
      <c r="F21" s="69">
        <f>(D21*0.9)</f>
        <v/>
      </c>
      <c r="G21" s="69">
        <f>(D21*0.85)</f>
        <v/>
      </c>
      <c r="H21" s="69">
        <f>(D21*0.8)</f>
        <v/>
      </c>
      <c r="I21" s="69">
        <f>(D21*0.75)</f>
        <v/>
      </c>
      <c r="J21" s="70">
        <f>(D21*0.7)</f>
        <v/>
      </c>
    </row>
    <row r="22" ht="15.75" customHeight="1" s="98">
      <c r="A22" s="66" t="inlineStr">
        <is>
          <t>Remada</t>
        </is>
      </c>
      <c r="B22" s="72" t="n"/>
      <c r="C22" s="51" t="n"/>
      <c r="D22" s="69">
        <f>C22/(1.0278-(0.0278*B22))</f>
        <v/>
      </c>
      <c r="E22" s="69">
        <f>(D22*0.95)</f>
        <v/>
      </c>
      <c r="F22" s="69">
        <f>(D22*0.9)</f>
        <v/>
      </c>
      <c r="G22" s="69">
        <f>(D22*0.85)</f>
        <v/>
      </c>
      <c r="H22" s="69">
        <f>(D22*0.8)</f>
        <v/>
      </c>
      <c r="I22" s="69">
        <f>(D22*0.75)</f>
        <v/>
      </c>
      <c r="J22" s="70">
        <f>(D22*0.7)</f>
        <v/>
      </c>
    </row>
    <row r="23" ht="15.75" customHeight="1" s="98">
      <c r="A23" s="80" t="inlineStr">
        <is>
          <t>Arranco</t>
        </is>
      </c>
      <c r="B23" s="72" t="n"/>
      <c r="C23" s="51" t="n"/>
      <c r="D23" s="69">
        <f>C23/(1.0278-(0.0278*B23))</f>
        <v/>
      </c>
      <c r="E23" s="69">
        <f>(D23*0.95)</f>
        <v/>
      </c>
      <c r="F23" s="69">
        <f>(D23*0.9)</f>
        <v/>
      </c>
      <c r="G23" s="69">
        <f>(D23*0.85)</f>
        <v/>
      </c>
      <c r="H23" s="69">
        <f>(D23*0.8)</f>
        <v/>
      </c>
      <c r="I23" s="69">
        <f>(D23*0.75)</f>
        <v/>
      </c>
      <c r="J23" s="70">
        <f>(D23*0.7)</f>
        <v/>
      </c>
    </row>
    <row r="24" ht="15.75" customHeight="1" s="98">
      <c r="A24" s="81" t="inlineStr">
        <is>
          <t>Arremesso</t>
        </is>
      </c>
      <c r="B24" s="74" t="n"/>
      <c r="C24" s="75" t="n"/>
      <c r="D24" s="76">
        <f>C24/(1.0278-(0.0278*B24))</f>
        <v/>
      </c>
      <c r="E24" s="76">
        <f>(D24*0.95)</f>
        <v/>
      </c>
      <c r="F24" s="76">
        <f>(D24*0.9)</f>
        <v/>
      </c>
      <c r="G24" s="76">
        <f>(D24*0.85)</f>
        <v/>
      </c>
      <c r="H24" s="76">
        <f>(D24*0.8)</f>
        <v/>
      </c>
      <c r="I24" s="76">
        <f>(D24*0.75)</f>
        <v/>
      </c>
      <c r="J24" s="77">
        <f>(D24*0.7)</f>
        <v/>
      </c>
    </row>
    <row r="25" ht="15.75" customHeight="1" s="98">
      <c r="A25" s="56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</row>
    <row r="26" ht="15.75" customHeight="1" s="98">
      <c r="A26" s="57" t="inlineStr">
        <is>
          <t>BLOCO</t>
        </is>
      </c>
      <c r="B26" s="58" t="inlineStr">
        <is>
          <t>bloco 03</t>
        </is>
      </c>
      <c r="C26" s="49" t="n"/>
      <c r="D26" s="49" t="n"/>
      <c r="E26" s="49" t="n"/>
      <c r="F26" s="49" t="n"/>
      <c r="G26" s="49" t="n"/>
      <c r="H26" s="49" t="n"/>
      <c r="I26" s="49" t="n"/>
      <c r="J26" s="49" t="n"/>
    </row>
    <row r="27" ht="15.75" customHeight="1" s="98">
      <c r="A27" s="59" t="inlineStr">
        <is>
          <t>DATA</t>
        </is>
      </c>
      <c r="B27" s="60">
        <f>B15+28</f>
        <v/>
      </c>
      <c r="C27" s="49" t="n"/>
      <c r="D27" s="49" t="n"/>
      <c r="E27" s="49" t="n"/>
      <c r="F27" s="49" t="n"/>
      <c r="G27" s="49" t="n"/>
      <c r="H27" s="49" t="n"/>
      <c r="I27" s="49" t="n"/>
      <c r="J27" s="49" t="n"/>
    </row>
    <row r="28" ht="15.75" customHeight="1" s="9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</row>
    <row r="29" ht="15.75" customHeight="1" s="98">
      <c r="A29" s="61" t="n"/>
      <c r="B29" s="62" t="inlineStr">
        <is>
          <t>REPS</t>
        </is>
      </c>
      <c r="C29" s="63" t="inlineStr">
        <is>
          <t>KG</t>
        </is>
      </c>
      <c r="D29" s="64" t="n">
        <v>1</v>
      </c>
      <c r="E29" s="64" t="n">
        <v>0.95</v>
      </c>
      <c r="F29" s="64" t="n">
        <v>0.9</v>
      </c>
      <c r="G29" s="64" t="n">
        <v>0.85</v>
      </c>
      <c r="H29" s="64" t="n">
        <v>0.8</v>
      </c>
      <c r="I29" s="64" t="n">
        <v>0.75</v>
      </c>
      <c r="J29" s="64" t="n">
        <v>0.7</v>
      </c>
    </row>
    <row r="30" ht="15.75" customHeight="1" s="98">
      <c r="A30" s="66" t="inlineStr">
        <is>
          <t>Agachamento</t>
        </is>
      </c>
      <c r="B30" s="67" t="n"/>
      <c r="C30" s="68" t="n"/>
      <c r="D30" s="78">
        <f>C30/(1.0278-(0.0278*B30))</f>
        <v/>
      </c>
      <c r="E30" s="78">
        <f>(D30*0.95)</f>
        <v/>
      </c>
      <c r="F30" s="78">
        <f>(D30*0.9)</f>
        <v/>
      </c>
      <c r="G30" s="78">
        <f>(D30*0.85)</f>
        <v/>
      </c>
      <c r="H30" s="78">
        <f>(D30*0.8)</f>
        <v/>
      </c>
      <c r="I30" s="78">
        <f>(D30*0.75)</f>
        <v/>
      </c>
      <c r="J30" s="79">
        <f>(D30*0.7)</f>
        <v/>
      </c>
    </row>
    <row r="31" ht="15.75" customHeight="1" s="98">
      <c r="A31" s="66" t="inlineStr">
        <is>
          <t>Supino</t>
        </is>
      </c>
      <c r="B31" s="71" t="n"/>
      <c r="C31" s="42" t="n"/>
      <c r="D31" s="69">
        <f>C31/(1.0278-(0.0278*B31))</f>
        <v/>
      </c>
      <c r="E31" s="69">
        <f>(D31*0.95)</f>
        <v/>
      </c>
      <c r="F31" s="69">
        <f>(D31*0.9)</f>
        <v/>
      </c>
      <c r="G31" s="69">
        <f>(D31*0.85)</f>
        <v/>
      </c>
      <c r="H31" s="69">
        <f>(D31*0.8)</f>
        <v/>
      </c>
      <c r="I31" s="69">
        <f>(D31*0.75)</f>
        <v/>
      </c>
      <c r="J31" s="70">
        <f>(D31*0.7)</f>
        <v/>
      </c>
    </row>
    <row r="32" ht="15.75" customHeight="1" s="98">
      <c r="A32" s="66" t="inlineStr">
        <is>
          <t>Terra</t>
        </is>
      </c>
      <c r="B32" s="71" t="n"/>
      <c r="C32" s="42" t="n"/>
      <c r="D32" s="69">
        <f>C32/(1.0278-(0.0278*B32))</f>
        <v/>
      </c>
      <c r="E32" s="69">
        <f>(D32*0.95)</f>
        <v/>
      </c>
      <c r="F32" s="69">
        <f>(D32*0.9)</f>
        <v/>
      </c>
      <c r="G32" s="69">
        <f>(D32*0.85)</f>
        <v/>
      </c>
      <c r="H32" s="69">
        <f>(D32*0.8)</f>
        <v/>
      </c>
      <c r="I32" s="69">
        <f>(D32*0.75)</f>
        <v/>
      </c>
      <c r="J32" s="70">
        <f>(D32*0.7)</f>
        <v/>
      </c>
    </row>
    <row r="33" ht="15.75" customHeight="1" s="98">
      <c r="A33" s="66" t="inlineStr">
        <is>
          <t>Desenvolvimento</t>
        </is>
      </c>
      <c r="B33" s="72" t="n"/>
      <c r="C33" s="51" t="n"/>
      <c r="D33" s="69">
        <f>C33/(1.0278-(0.0278*B33))</f>
        <v/>
      </c>
      <c r="E33" s="69">
        <f>(D33*0.95)</f>
        <v/>
      </c>
      <c r="F33" s="69">
        <f>(D33*0.9)</f>
        <v/>
      </c>
      <c r="G33" s="69">
        <f>(D33*0.85)</f>
        <v/>
      </c>
      <c r="H33" s="69">
        <f>(D33*0.8)</f>
        <v/>
      </c>
      <c r="I33" s="69">
        <f>(D33*0.75)</f>
        <v/>
      </c>
      <c r="J33" s="70">
        <f>(D33*0.7)</f>
        <v/>
      </c>
    </row>
    <row r="34" ht="15.75" customHeight="1" s="98">
      <c r="A34" s="66" t="inlineStr">
        <is>
          <t>Remada</t>
        </is>
      </c>
      <c r="B34" s="72" t="n"/>
      <c r="C34" s="51" t="n"/>
      <c r="D34" s="69">
        <f>C34/(1.0278-(0.0278*B34))</f>
        <v/>
      </c>
      <c r="E34" s="69">
        <f>(D34*0.95)</f>
        <v/>
      </c>
      <c r="F34" s="69">
        <f>(D34*0.9)</f>
        <v/>
      </c>
      <c r="G34" s="69">
        <f>(D34*0.85)</f>
        <v/>
      </c>
      <c r="H34" s="69">
        <f>(D34*0.8)</f>
        <v/>
      </c>
      <c r="I34" s="69">
        <f>(D34*0.75)</f>
        <v/>
      </c>
      <c r="J34" s="70">
        <f>(D34*0.7)</f>
        <v/>
      </c>
    </row>
    <row r="35" ht="15.75" customHeight="1" s="98">
      <c r="A35" s="80" t="inlineStr">
        <is>
          <t>Arranco</t>
        </is>
      </c>
      <c r="B35" s="72" t="n"/>
      <c r="C35" s="51" t="n"/>
      <c r="D35" s="69">
        <f>C35/(1.0278-(0.0278*B35))</f>
        <v/>
      </c>
      <c r="E35" s="69">
        <f>(D35*0.95)</f>
        <v/>
      </c>
      <c r="F35" s="69">
        <f>(D35*0.9)</f>
        <v/>
      </c>
      <c r="G35" s="69">
        <f>(D35*0.85)</f>
        <v/>
      </c>
      <c r="H35" s="69">
        <f>(D35*0.8)</f>
        <v/>
      </c>
      <c r="I35" s="69">
        <f>(D35*0.75)</f>
        <v/>
      </c>
      <c r="J35" s="70">
        <f>(D35*0.7)</f>
        <v/>
      </c>
    </row>
    <row r="36" ht="15.75" customHeight="1" s="98">
      <c r="A36" s="81" t="inlineStr">
        <is>
          <t>Arremesso</t>
        </is>
      </c>
      <c r="B36" s="74" t="n"/>
      <c r="C36" s="75" t="n"/>
      <c r="D36" s="76">
        <f>C36/(1.0278-(0.0278*B36))</f>
        <v/>
      </c>
      <c r="E36" s="76">
        <f>(D36*0.95)</f>
        <v/>
      </c>
      <c r="F36" s="76">
        <f>(D36*0.9)</f>
        <v/>
      </c>
      <c r="G36" s="76">
        <f>(D36*0.85)</f>
        <v/>
      </c>
      <c r="H36" s="76">
        <f>(D36*0.8)</f>
        <v/>
      </c>
      <c r="I36" s="76">
        <f>(D36*0.75)</f>
        <v/>
      </c>
      <c r="J36" s="77">
        <f>(D36*0.7)</f>
        <v/>
      </c>
    </row>
    <row r="37" ht="15.75" customHeight="1" s="98">
      <c r="A37" s="12" t="n"/>
    </row>
    <row r="38" ht="15.75" customHeight="1" s="98">
      <c r="A38" s="12" t="n"/>
    </row>
    <row r="39" ht="15.75" customHeight="1" s="98">
      <c r="A39" s="12" t="n"/>
    </row>
    <row r="40" ht="15.75" customHeight="1" s="98">
      <c r="A40" s="12" t="n"/>
    </row>
    <row r="41" ht="15.75" customHeight="1" s="98">
      <c r="A41" s="12" t="n"/>
    </row>
    <row r="42" ht="15.75" customHeight="1" s="98">
      <c r="A42" s="12" t="n"/>
    </row>
    <row r="43" ht="15.75" customHeight="1" s="98">
      <c r="A43" s="12" t="n"/>
    </row>
    <row r="44" ht="15.75" customHeight="1" s="98">
      <c r="A44" s="12" t="n"/>
    </row>
    <row r="45" ht="15.75" customHeight="1" s="98">
      <c r="A45" s="12" t="n"/>
    </row>
    <row r="46" ht="15.75" customHeight="1" s="98">
      <c r="A46" s="12" t="n"/>
    </row>
    <row r="47" ht="15.75" customHeight="1" s="98">
      <c r="A47" s="12" t="n"/>
    </row>
    <row r="48" ht="15.75" customHeight="1" s="98">
      <c r="A48" s="12" t="n"/>
    </row>
    <row r="49" ht="15.75" customHeight="1" s="98">
      <c r="A49" s="12" t="n"/>
    </row>
    <row r="50" ht="15.75" customHeight="1" s="98">
      <c r="A50" s="12" t="n"/>
    </row>
    <row r="51" ht="15.75" customHeight="1" s="98">
      <c r="A51" s="12" t="n"/>
    </row>
    <row r="52" ht="15.75" customHeight="1" s="98">
      <c r="A52" s="12" t="n"/>
    </row>
    <row r="53" ht="15.75" customHeight="1" s="98">
      <c r="A53" s="12" t="n"/>
    </row>
    <row r="54" ht="15.75" customHeight="1" s="98">
      <c r="A54" s="12" t="n"/>
    </row>
    <row r="55" ht="15.75" customHeight="1" s="98">
      <c r="A55" s="12" t="n"/>
    </row>
    <row r="56" ht="15.75" customHeight="1" s="98">
      <c r="A56" s="12" t="n"/>
    </row>
    <row r="57" ht="15.75" customHeight="1" s="98">
      <c r="A57" s="12" t="n"/>
    </row>
    <row r="58" ht="15.75" customHeight="1" s="98">
      <c r="A58" s="12" t="n"/>
    </row>
    <row r="59" ht="15.75" customHeight="1" s="98">
      <c r="A59" s="12" t="n"/>
    </row>
    <row r="60" ht="15.75" customHeight="1" s="98">
      <c r="A60" s="12" t="n"/>
    </row>
    <row r="61" ht="15.75" customHeight="1" s="98">
      <c r="A61" s="12" t="n"/>
    </row>
    <row r="62" ht="15.75" customHeight="1" s="98">
      <c r="A62" s="12" t="n"/>
    </row>
    <row r="63" ht="15.75" customHeight="1" s="98">
      <c r="A63" s="12" t="n"/>
    </row>
    <row r="64" ht="15.75" customHeight="1" s="98">
      <c r="A64" s="12" t="n"/>
    </row>
    <row r="65" ht="15.75" customHeight="1" s="98">
      <c r="A65" s="12" t="n"/>
    </row>
    <row r="66" ht="15.75" customHeight="1" s="98">
      <c r="A66" s="12" t="n"/>
    </row>
    <row r="67" ht="15.75" customHeight="1" s="98">
      <c r="A67" s="12" t="n"/>
    </row>
    <row r="68" ht="15.75" customHeight="1" s="98">
      <c r="A68" s="12" t="n"/>
    </row>
    <row r="69" ht="15.75" customHeight="1" s="98">
      <c r="A69" s="12" t="n"/>
    </row>
    <row r="70" ht="15.75" customHeight="1" s="98">
      <c r="A70" s="12" t="n"/>
    </row>
    <row r="71" ht="15.75" customHeight="1" s="98">
      <c r="A71" s="12" t="n"/>
    </row>
    <row r="72" ht="15.75" customHeight="1" s="98">
      <c r="A72" s="12" t="n"/>
    </row>
    <row r="73" ht="15.75" customHeight="1" s="98">
      <c r="A73" s="12" t="n"/>
    </row>
    <row r="74" ht="15.75" customHeight="1" s="98">
      <c r="A74" s="12" t="n"/>
    </row>
    <row r="75" ht="15.75" customHeight="1" s="98">
      <c r="A75" s="12" t="n"/>
    </row>
    <row r="76" ht="15.75" customHeight="1" s="98">
      <c r="A76" s="12" t="n"/>
    </row>
    <row r="77" ht="15.75" customHeight="1" s="98">
      <c r="A77" s="12" t="n"/>
    </row>
    <row r="78" ht="15.75" customHeight="1" s="98">
      <c r="A78" s="12" t="n"/>
    </row>
    <row r="79" ht="15.75" customHeight="1" s="98">
      <c r="A79" s="12" t="n"/>
    </row>
    <row r="80" ht="15.75" customHeight="1" s="98">
      <c r="A80" s="12" t="n"/>
    </row>
    <row r="81" ht="15.75" customHeight="1" s="98">
      <c r="A81" s="12" t="n"/>
    </row>
    <row r="82" ht="15.75" customHeight="1" s="98">
      <c r="A82" s="12" t="n"/>
    </row>
    <row r="83" ht="15.75" customHeight="1" s="98">
      <c r="A83" s="12" t="n"/>
    </row>
    <row r="84" ht="15.75" customHeight="1" s="98">
      <c r="A84" s="12" t="n"/>
    </row>
    <row r="85" ht="15.75" customHeight="1" s="98">
      <c r="A85" s="12" t="n"/>
    </row>
    <row r="86" ht="15.75" customHeight="1" s="98">
      <c r="A86" s="12" t="n"/>
    </row>
    <row r="87" ht="15.75" customHeight="1" s="98">
      <c r="A87" s="12" t="n"/>
    </row>
    <row r="88" ht="15.75" customHeight="1" s="98">
      <c r="A88" s="12" t="n"/>
    </row>
    <row r="89" ht="15.75" customHeight="1" s="98">
      <c r="A89" s="12" t="n"/>
    </row>
    <row r="90" ht="15.75" customHeight="1" s="98">
      <c r="A90" s="12" t="n"/>
    </row>
    <row r="91" ht="15.75" customHeight="1" s="98">
      <c r="A91" s="12" t="n"/>
    </row>
    <row r="92" ht="15.75" customHeight="1" s="98">
      <c r="A92" s="12" t="n"/>
    </row>
    <row r="93" ht="15.75" customHeight="1" s="98">
      <c r="A93" s="12" t="n"/>
    </row>
    <row r="94" ht="15.75" customHeight="1" s="98">
      <c r="A94" s="12" t="n"/>
    </row>
    <row r="95" ht="15.75" customHeight="1" s="98">
      <c r="A95" s="12" t="n"/>
    </row>
    <row r="96" ht="15.75" customHeight="1" s="98">
      <c r="A96" s="12" t="n"/>
    </row>
    <row r="97" ht="15.75" customHeight="1" s="98">
      <c r="A97" s="12" t="n"/>
    </row>
    <row r="98" ht="15.75" customHeight="1" s="98">
      <c r="A98" s="12" t="n"/>
    </row>
    <row r="99" ht="15.75" customHeight="1" s="98">
      <c r="A99" s="12" t="n"/>
    </row>
    <row r="100" ht="15.75" customHeight="1" s="98">
      <c r="A100" s="12" t="n"/>
    </row>
    <row r="101" ht="15.75" customHeight="1" s="98">
      <c r="A101" s="12" t="n"/>
    </row>
    <row r="102" ht="15.75" customHeight="1" s="98">
      <c r="A102" s="12" t="n"/>
    </row>
    <row r="103" ht="15.75" customHeight="1" s="98">
      <c r="A103" s="12" t="n"/>
    </row>
    <row r="104" ht="15.75" customHeight="1" s="98">
      <c r="A104" s="12" t="n"/>
    </row>
    <row r="105" ht="15.75" customHeight="1" s="98">
      <c r="A105" s="12" t="n"/>
    </row>
    <row r="106" ht="15.75" customHeight="1" s="98">
      <c r="A106" s="12" t="n"/>
    </row>
    <row r="107" ht="15.75" customHeight="1" s="98">
      <c r="A107" s="12" t="n"/>
    </row>
    <row r="108" ht="15.75" customHeight="1" s="98">
      <c r="A108" s="12" t="n"/>
    </row>
    <row r="109" ht="15.75" customHeight="1" s="98">
      <c r="A109" s="12" t="n"/>
    </row>
    <row r="110" ht="15.75" customHeight="1" s="98">
      <c r="A110" s="12" t="n"/>
    </row>
    <row r="111" ht="15.75" customHeight="1" s="98">
      <c r="A111" s="12" t="n"/>
    </row>
    <row r="112" ht="15.75" customHeight="1" s="98">
      <c r="A112" s="12" t="n"/>
    </row>
    <row r="113" ht="15.75" customHeight="1" s="98">
      <c r="A113" s="12" t="n"/>
    </row>
    <row r="114" ht="15.75" customHeight="1" s="98">
      <c r="A114" s="12" t="n"/>
    </row>
    <row r="115" ht="15.75" customHeight="1" s="98">
      <c r="A115" s="12" t="n"/>
    </row>
    <row r="116" ht="15.75" customHeight="1" s="98">
      <c r="A116" s="12" t="n"/>
    </row>
    <row r="117" ht="15.75" customHeight="1" s="98">
      <c r="A117" s="12" t="n"/>
    </row>
    <row r="118" ht="15.75" customHeight="1" s="98">
      <c r="A118" s="12" t="n"/>
    </row>
    <row r="119" ht="15.75" customHeight="1" s="98">
      <c r="A119" s="12" t="n"/>
    </row>
    <row r="120" ht="15.75" customHeight="1" s="98">
      <c r="A120" s="12" t="n"/>
    </row>
    <row r="121" ht="15.75" customHeight="1" s="98">
      <c r="A121" s="12" t="n"/>
    </row>
    <row r="122" ht="15.75" customHeight="1" s="98">
      <c r="A122" s="12" t="n"/>
    </row>
    <row r="123" ht="15.75" customHeight="1" s="98">
      <c r="A123" s="12" t="n"/>
    </row>
    <row r="124" ht="15.75" customHeight="1" s="98">
      <c r="A124" s="12" t="n"/>
    </row>
    <row r="125" ht="15.75" customHeight="1" s="98">
      <c r="A125" s="12" t="n"/>
    </row>
    <row r="126" ht="15.75" customHeight="1" s="98">
      <c r="A126" s="12" t="n"/>
    </row>
    <row r="127" ht="15.75" customHeight="1" s="98">
      <c r="A127" s="12" t="n"/>
    </row>
    <row r="128" ht="15.75" customHeight="1" s="98">
      <c r="A128" s="12" t="n"/>
    </row>
    <row r="129" ht="15.75" customHeight="1" s="98">
      <c r="A129" s="12" t="n"/>
    </row>
    <row r="130" ht="15.75" customHeight="1" s="98">
      <c r="A130" s="12" t="n"/>
    </row>
    <row r="131" ht="15.75" customHeight="1" s="98">
      <c r="A131" s="12" t="n"/>
    </row>
    <row r="132" ht="15.75" customHeight="1" s="98">
      <c r="A132" s="12" t="n"/>
    </row>
    <row r="133" ht="15.75" customHeight="1" s="98">
      <c r="A133" s="12" t="n"/>
    </row>
    <row r="134" ht="15.75" customHeight="1" s="98">
      <c r="A134" s="12" t="n"/>
    </row>
    <row r="135" ht="15.75" customHeight="1" s="98">
      <c r="A135" s="12" t="n"/>
    </row>
    <row r="136" ht="15.75" customHeight="1" s="98">
      <c r="A136" s="12" t="n"/>
    </row>
    <row r="137" ht="15.75" customHeight="1" s="98">
      <c r="A137" s="12" t="n"/>
    </row>
    <row r="138" ht="15.75" customHeight="1" s="98">
      <c r="A138" s="12" t="n"/>
    </row>
    <row r="139" ht="15.75" customHeight="1" s="98">
      <c r="A139" s="12" t="n"/>
    </row>
    <row r="140" ht="15.75" customHeight="1" s="98">
      <c r="A140" s="12" t="n"/>
    </row>
    <row r="141" ht="15.75" customHeight="1" s="98">
      <c r="A141" s="12" t="n"/>
    </row>
    <row r="142" ht="15.75" customHeight="1" s="98">
      <c r="A142" s="12" t="n"/>
    </row>
    <row r="143" ht="15.75" customHeight="1" s="98">
      <c r="A143" s="12" t="n"/>
    </row>
    <row r="144" ht="15.75" customHeight="1" s="98">
      <c r="A144" s="12" t="n"/>
    </row>
    <row r="145" ht="15.75" customHeight="1" s="98">
      <c r="A145" s="12" t="n"/>
    </row>
    <row r="146" ht="15.75" customHeight="1" s="98">
      <c r="A146" s="12" t="n"/>
    </row>
    <row r="147" ht="15.75" customHeight="1" s="98">
      <c r="A147" s="12" t="n"/>
    </row>
    <row r="148" ht="15.75" customHeight="1" s="98">
      <c r="A148" s="12" t="n"/>
    </row>
    <row r="149" ht="15.75" customHeight="1" s="98">
      <c r="A149" s="12" t="n"/>
    </row>
    <row r="150" ht="15.75" customHeight="1" s="98">
      <c r="A150" s="12" t="n"/>
    </row>
    <row r="151" ht="15.75" customHeight="1" s="98">
      <c r="A151" s="12" t="n"/>
    </row>
    <row r="152" ht="15.75" customHeight="1" s="98">
      <c r="A152" s="12" t="n"/>
    </row>
    <row r="153" ht="15.75" customHeight="1" s="98">
      <c r="A153" s="12" t="n"/>
    </row>
    <row r="154" ht="15.75" customHeight="1" s="98">
      <c r="A154" s="12" t="n"/>
    </row>
    <row r="155" ht="15.75" customHeight="1" s="98">
      <c r="A155" s="12" t="n"/>
    </row>
    <row r="156" ht="15.75" customHeight="1" s="98">
      <c r="A156" s="12" t="n"/>
    </row>
    <row r="157" ht="15.75" customHeight="1" s="98">
      <c r="A157" s="12" t="n"/>
    </row>
    <row r="158" ht="15.75" customHeight="1" s="98">
      <c r="A158" s="12" t="n"/>
    </row>
    <row r="159" ht="15.75" customHeight="1" s="98">
      <c r="A159" s="12" t="n"/>
    </row>
    <row r="160" ht="15.75" customHeight="1" s="98">
      <c r="A160" s="12" t="n"/>
    </row>
    <row r="161" ht="15.75" customHeight="1" s="98">
      <c r="A161" s="12" t="n"/>
    </row>
    <row r="162" ht="15.75" customHeight="1" s="98">
      <c r="A162" s="12" t="n"/>
    </row>
    <row r="163" ht="15.75" customHeight="1" s="98">
      <c r="A163" s="12" t="n"/>
    </row>
    <row r="164" ht="15.75" customHeight="1" s="98">
      <c r="A164" s="12" t="n"/>
    </row>
    <row r="165" ht="15.75" customHeight="1" s="98">
      <c r="A165" s="12" t="n"/>
    </row>
    <row r="166" ht="15.75" customHeight="1" s="98">
      <c r="A166" s="12" t="n"/>
    </row>
    <row r="167" ht="15.75" customHeight="1" s="98">
      <c r="A167" s="12" t="n"/>
    </row>
    <row r="168" ht="15.75" customHeight="1" s="98">
      <c r="A168" s="12" t="n"/>
    </row>
    <row r="169" ht="15.75" customHeight="1" s="98">
      <c r="A169" s="12" t="n"/>
    </row>
    <row r="170" ht="15.75" customHeight="1" s="98">
      <c r="A170" s="12" t="n"/>
    </row>
    <row r="171" ht="15.75" customHeight="1" s="98">
      <c r="A171" s="12" t="n"/>
    </row>
    <row r="172" ht="15.75" customHeight="1" s="98">
      <c r="A172" s="12" t="n"/>
    </row>
    <row r="173" ht="15.75" customHeight="1" s="98">
      <c r="A173" s="12" t="n"/>
    </row>
    <row r="174" ht="15.75" customHeight="1" s="98">
      <c r="A174" s="12" t="n"/>
    </row>
    <row r="175" ht="15.75" customHeight="1" s="98">
      <c r="A175" s="12" t="n"/>
    </row>
    <row r="176" ht="15.75" customHeight="1" s="98">
      <c r="A176" s="12" t="n"/>
    </row>
    <row r="177" ht="15.75" customHeight="1" s="98">
      <c r="A177" s="12" t="n"/>
    </row>
    <row r="178" ht="15.75" customHeight="1" s="98">
      <c r="A178" s="12" t="n"/>
    </row>
    <row r="179" ht="15.75" customHeight="1" s="98">
      <c r="A179" s="12" t="n"/>
    </row>
    <row r="180" ht="15.75" customHeight="1" s="98">
      <c r="A180" s="12" t="n"/>
    </row>
    <row r="181" ht="15.75" customHeight="1" s="98">
      <c r="A181" s="12" t="n"/>
    </row>
    <row r="182" ht="15.75" customHeight="1" s="98">
      <c r="A182" s="12" t="n"/>
    </row>
    <row r="183" ht="15.75" customHeight="1" s="98">
      <c r="A183" s="12" t="n"/>
    </row>
    <row r="184" ht="15.75" customHeight="1" s="98">
      <c r="A184" s="12" t="n"/>
    </row>
    <row r="185" ht="15.75" customHeight="1" s="98">
      <c r="A185" s="12" t="n"/>
    </row>
    <row r="186" ht="15.75" customHeight="1" s="98">
      <c r="A186" s="12" t="n"/>
    </row>
    <row r="187" ht="15.75" customHeight="1" s="98">
      <c r="A187" s="12" t="n"/>
    </row>
    <row r="188" ht="15.75" customHeight="1" s="98">
      <c r="A188" s="12" t="n"/>
    </row>
    <row r="189" ht="15.75" customHeight="1" s="98">
      <c r="A189" s="12" t="n"/>
    </row>
    <row r="190" ht="15.75" customHeight="1" s="98">
      <c r="A190" s="12" t="n"/>
    </row>
    <row r="191" ht="15.75" customHeight="1" s="98">
      <c r="A191" s="12" t="n"/>
    </row>
    <row r="192" ht="15.75" customHeight="1" s="98">
      <c r="A192" s="12" t="n"/>
    </row>
    <row r="193" ht="15.75" customHeight="1" s="98">
      <c r="A193" s="12" t="n"/>
    </row>
    <row r="194" ht="15.75" customHeight="1" s="98">
      <c r="A194" s="12" t="n"/>
    </row>
    <row r="195" ht="15.75" customHeight="1" s="98">
      <c r="A195" s="12" t="n"/>
    </row>
    <row r="196" ht="15.75" customHeight="1" s="98">
      <c r="A196" s="12" t="n"/>
    </row>
    <row r="197" ht="15.75" customHeight="1" s="98">
      <c r="A197" s="12" t="n"/>
    </row>
    <row r="198" ht="15.75" customHeight="1" s="98">
      <c r="A198" s="12" t="n"/>
    </row>
    <row r="199" ht="15.75" customHeight="1" s="98">
      <c r="A199" s="12" t="n"/>
    </row>
    <row r="200" ht="15.75" customHeight="1" s="98">
      <c r="A200" s="12" t="n"/>
    </row>
    <row r="201" ht="15.75" customHeight="1" s="98">
      <c r="A201" s="12" t="n"/>
    </row>
    <row r="202" ht="15.75" customHeight="1" s="98">
      <c r="A202" s="12" t="n"/>
    </row>
    <row r="203" ht="15.75" customHeight="1" s="98">
      <c r="A203" s="12" t="n"/>
    </row>
    <row r="204" ht="15.75" customHeight="1" s="98">
      <c r="A204" s="12" t="n"/>
    </row>
    <row r="205" ht="15.75" customHeight="1" s="98">
      <c r="A205" s="12" t="n"/>
    </row>
    <row r="206" ht="15.75" customHeight="1" s="98">
      <c r="A206" s="12" t="n"/>
    </row>
    <row r="207" ht="15.75" customHeight="1" s="98">
      <c r="A207" s="12" t="n"/>
    </row>
    <row r="208" ht="15.75" customHeight="1" s="98">
      <c r="A208" s="12" t="n"/>
    </row>
    <row r="209" ht="15.75" customHeight="1" s="98">
      <c r="A209" s="12" t="n"/>
    </row>
    <row r="210" ht="15.75" customHeight="1" s="98">
      <c r="A210" s="12" t="n"/>
    </row>
    <row r="211" ht="15.75" customHeight="1" s="98">
      <c r="A211" s="12" t="n"/>
    </row>
    <row r="212" ht="15.75" customHeight="1" s="98">
      <c r="A212" s="12" t="n"/>
    </row>
    <row r="213" ht="15.75" customHeight="1" s="98">
      <c r="A213" s="12" t="n"/>
    </row>
    <row r="214" ht="15.75" customHeight="1" s="98">
      <c r="A214" s="12" t="n"/>
    </row>
    <row r="215" ht="15.75" customHeight="1" s="98">
      <c r="A215" s="12" t="n"/>
    </row>
    <row r="216" ht="15.75" customHeight="1" s="98">
      <c r="A216" s="12" t="n"/>
    </row>
    <row r="217" ht="15.75" customHeight="1" s="98">
      <c r="A217" s="12" t="n"/>
    </row>
    <row r="218" ht="15.75" customHeight="1" s="98">
      <c r="A218" s="12" t="n"/>
    </row>
    <row r="219" ht="15.75" customHeight="1" s="98">
      <c r="A219" s="12" t="n"/>
    </row>
    <row r="220" ht="15.75" customHeight="1" s="98">
      <c r="A220" s="12" t="n"/>
    </row>
    <row r="221" ht="15.75" customHeight="1" s="98">
      <c r="A221" s="12" t="n"/>
    </row>
    <row r="222" ht="15.75" customHeight="1" s="98">
      <c r="A222" s="12" t="n"/>
    </row>
    <row r="223" ht="15.75" customHeight="1" s="98">
      <c r="A223" s="12" t="n"/>
    </row>
    <row r="224" ht="15.75" customHeight="1" s="98">
      <c r="A224" s="12" t="n"/>
    </row>
    <row r="225" ht="15.75" customHeight="1" s="98">
      <c r="A225" s="12" t="n"/>
    </row>
    <row r="226" ht="15.75" customHeight="1" s="98">
      <c r="A226" s="12" t="n"/>
    </row>
    <row r="227" ht="15.75" customHeight="1" s="98">
      <c r="A227" s="12" t="n"/>
    </row>
    <row r="228" ht="15.75" customHeight="1" s="98">
      <c r="A228" s="12" t="n"/>
    </row>
    <row r="229" ht="15.75" customHeight="1" s="98">
      <c r="A229" s="12" t="n"/>
    </row>
    <row r="230" ht="15.75" customHeight="1" s="98">
      <c r="A230" s="12" t="n"/>
    </row>
    <row r="231" ht="15.75" customHeight="1" s="98">
      <c r="A231" s="12" t="n"/>
    </row>
    <row r="232" ht="15.75" customHeight="1" s="98">
      <c r="A232" s="12" t="n"/>
    </row>
    <row r="233" ht="15.75" customHeight="1" s="98">
      <c r="A233" s="12" t="n"/>
    </row>
    <row r="234" ht="15.75" customHeight="1" s="98">
      <c r="A234" s="12" t="n"/>
    </row>
    <row r="235" ht="15.75" customHeight="1" s="98">
      <c r="A235" s="12" t="n"/>
    </row>
    <row r="236" ht="15.75" customHeight="1" s="98">
      <c r="A236" s="12" t="n"/>
    </row>
    <row r="237" ht="15.75" customHeight="1" s="98">
      <c r="A237" s="12" t="n"/>
    </row>
    <row r="238" ht="15.75" customHeight="1" s="98">
      <c r="A238" s="12" t="n"/>
    </row>
    <row r="239" ht="15.75" customHeight="1" s="98">
      <c r="A239" s="12" t="n"/>
    </row>
    <row r="240" ht="15.75" customHeight="1" s="98">
      <c r="A240" s="12" t="n"/>
    </row>
    <row r="241" ht="15.75" customHeight="1" s="98">
      <c r="A241" s="12" t="n"/>
    </row>
    <row r="242" ht="15.75" customHeight="1" s="98">
      <c r="A242" s="12" t="n"/>
    </row>
    <row r="243" ht="15.75" customHeight="1" s="98">
      <c r="A243" s="12" t="n"/>
    </row>
    <row r="244" ht="15.75" customHeight="1" s="98">
      <c r="A244" s="12" t="n"/>
    </row>
    <row r="245" ht="15.75" customHeight="1" s="98">
      <c r="A245" s="12" t="n"/>
    </row>
    <row r="246" ht="15.75" customHeight="1" s="98">
      <c r="A246" s="12" t="n"/>
    </row>
    <row r="247" ht="15.75" customHeight="1" s="98">
      <c r="A247" s="12" t="n"/>
    </row>
    <row r="248" ht="15.75" customHeight="1" s="98">
      <c r="A248" s="12" t="n"/>
    </row>
    <row r="249" ht="15.75" customHeight="1" s="98">
      <c r="A249" s="12" t="n"/>
    </row>
    <row r="250" ht="15.75" customHeight="1" s="98">
      <c r="A250" s="12" t="n"/>
    </row>
    <row r="251" ht="15.75" customHeight="1" s="98">
      <c r="A251" s="12" t="n"/>
    </row>
    <row r="252" ht="15.75" customHeight="1" s="98">
      <c r="A252" s="12" t="n"/>
    </row>
    <row r="253" ht="15.75" customHeight="1" s="98">
      <c r="A253" s="12" t="n"/>
    </row>
    <row r="254" ht="15.75" customHeight="1" s="98">
      <c r="A254" s="12" t="n"/>
    </row>
    <row r="255" ht="15.75" customHeight="1" s="98">
      <c r="A255" s="12" t="n"/>
    </row>
    <row r="256" ht="15.75" customHeight="1" s="98">
      <c r="A256" s="12" t="n"/>
    </row>
    <row r="257" ht="15.75" customHeight="1" s="98">
      <c r="A257" s="12" t="n"/>
    </row>
    <row r="258" ht="15.75" customHeight="1" s="98">
      <c r="A258" s="12" t="n"/>
    </row>
    <row r="259" ht="15.75" customHeight="1" s="98">
      <c r="A259" s="12" t="n"/>
    </row>
    <row r="260" ht="15.75" customHeight="1" s="98">
      <c r="A260" s="12" t="n"/>
    </row>
    <row r="261" ht="15.75" customHeight="1" s="98">
      <c r="A261" s="12" t="n"/>
    </row>
    <row r="262" ht="15.75" customHeight="1" s="98">
      <c r="A262" s="12" t="n"/>
    </row>
    <row r="263" ht="15.75" customHeight="1" s="98">
      <c r="A263" s="12" t="n"/>
    </row>
    <row r="264" ht="15.75" customHeight="1" s="98">
      <c r="A264" s="12" t="n"/>
    </row>
    <row r="265" ht="15.75" customHeight="1" s="98">
      <c r="A265" s="12" t="n"/>
    </row>
    <row r="266" ht="15.75" customHeight="1" s="98">
      <c r="A266" s="12" t="n"/>
    </row>
    <row r="267" ht="15.75" customHeight="1" s="98">
      <c r="A267" s="12" t="n"/>
    </row>
    <row r="268" ht="15.75" customHeight="1" s="98">
      <c r="A268" s="12" t="n"/>
    </row>
    <row r="269" ht="15.75" customHeight="1" s="98">
      <c r="A269" s="12" t="n"/>
    </row>
    <row r="270" ht="15.75" customHeight="1" s="98">
      <c r="A270" s="12" t="n"/>
    </row>
    <row r="271" ht="15.75" customHeight="1" s="98">
      <c r="A271" s="12" t="n"/>
    </row>
    <row r="272" ht="15.75" customHeight="1" s="98">
      <c r="A272" s="12" t="n"/>
    </row>
    <row r="273" ht="15.75" customHeight="1" s="98">
      <c r="A273" s="12" t="n"/>
    </row>
    <row r="274" ht="15.75" customHeight="1" s="98">
      <c r="A274" s="12" t="n"/>
    </row>
    <row r="275" ht="15.75" customHeight="1" s="98">
      <c r="A275" s="12" t="n"/>
    </row>
    <row r="276" ht="15.75" customHeight="1" s="98">
      <c r="A276" s="12" t="n"/>
    </row>
    <row r="277" ht="15.75" customHeight="1" s="98">
      <c r="A277" s="12" t="n"/>
    </row>
    <row r="278" ht="15.75" customHeight="1" s="98">
      <c r="A278" s="12" t="n"/>
    </row>
    <row r="279" ht="15.75" customHeight="1" s="98">
      <c r="A279" s="12" t="n"/>
    </row>
    <row r="280" ht="15.75" customHeight="1" s="98">
      <c r="A280" s="12" t="n"/>
    </row>
    <row r="281" ht="15.75" customHeight="1" s="98">
      <c r="A281" s="12" t="n"/>
    </row>
    <row r="282" ht="15.75" customHeight="1" s="98">
      <c r="A282" s="12" t="n"/>
    </row>
    <row r="283" ht="15.75" customHeight="1" s="98">
      <c r="A283" s="12" t="n"/>
    </row>
    <row r="284" ht="15.75" customHeight="1" s="98">
      <c r="A284" s="12" t="n"/>
    </row>
    <row r="285" ht="15.75" customHeight="1" s="98">
      <c r="A285" s="12" t="n"/>
    </row>
    <row r="286" ht="15.75" customHeight="1" s="98">
      <c r="A286" s="12" t="n"/>
    </row>
    <row r="287" ht="15.75" customHeight="1" s="98">
      <c r="A287" s="12" t="n"/>
    </row>
    <row r="288" ht="15.75" customHeight="1" s="98">
      <c r="A288" s="12" t="n"/>
    </row>
    <row r="289" ht="15.75" customHeight="1" s="98">
      <c r="A289" s="12" t="n"/>
    </row>
    <row r="290" ht="15.75" customHeight="1" s="98">
      <c r="A290" s="12" t="n"/>
    </row>
    <row r="291" ht="15.75" customHeight="1" s="98">
      <c r="A291" s="12" t="n"/>
    </row>
    <row r="292" ht="15.75" customHeight="1" s="98">
      <c r="A292" s="12" t="n"/>
    </row>
    <row r="293" ht="15.75" customHeight="1" s="98">
      <c r="A293" s="12" t="n"/>
    </row>
    <row r="294" ht="15.75" customHeight="1" s="98">
      <c r="A294" s="12" t="n"/>
    </row>
    <row r="295" ht="15.75" customHeight="1" s="98">
      <c r="A295" s="12" t="n"/>
    </row>
    <row r="296" ht="15.75" customHeight="1" s="98">
      <c r="A296" s="12" t="n"/>
    </row>
    <row r="297" ht="15.75" customHeight="1" s="98">
      <c r="A297" s="12" t="n"/>
    </row>
    <row r="298" ht="15.75" customHeight="1" s="98">
      <c r="A298" s="12" t="n"/>
    </row>
    <row r="299" ht="15.75" customHeight="1" s="98">
      <c r="A299" s="12" t="n"/>
    </row>
    <row r="300" ht="15.75" customHeight="1" s="98">
      <c r="A300" s="12" t="n"/>
    </row>
    <row r="301" ht="15.75" customHeight="1" s="98">
      <c r="A301" s="12" t="n"/>
    </row>
    <row r="302" ht="15.75" customHeight="1" s="98">
      <c r="A302" s="12" t="n"/>
    </row>
    <row r="303" ht="15.75" customHeight="1" s="98">
      <c r="A303" s="12" t="n"/>
    </row>
    <row r="304" ht="15.75" customHeight="1" s="98">
      <c r="A304" s="12" t="n"/>
    </row>
    <row r="305" ht="15.75" customHeight="1" s="98">
      <c r="A305" s="12" t="n"/>
    </row>
    <row r="306" ht="15.75" customHeight="1" s="98">
      <c r="A306" s="12" t="n"/>
    </row>
    <row r="307" ht="15.75" customHeight="1" s="98">
      <c r="A307" s="12" t="n"/>
    </row>
    <row r="308" ht="15.75" customHeight="1" s="98">
      <c r="A308" s="12" t="n"/>
    </row>
    <row r="309" ht="15.75" customHeight="1" s="98">
      <c r="A309" s="12" t="n"/>
    </row>
    <row r="310" ht="15.75" customHeight="1" s="98">
      <c r="A310" s="12" t="n"/>
    </row>
    <row r="311" ht="15.75" customHeight="1" s="98">
      <c r="A311" s="12" t="n"/>
    </row>
    <row r="312" ht="15.75" customHeight="1" s="98">
      <c r="A312" s="12" t="n"/>
    </row>
    <row r="313" ht="15.75" customHeight="1" s="98">
      <c r="A313" s="12" t="n"/>
    </row>
    <row r="314" ht="15.75" customHeight="1" s="98">
      <c r="A314" s="12" t="n"/>
    </row>
    <row r="315" ht="15.75" customHeight="1" s="98">
      <c r="A315" s="12" t="n"/>
    </row>
    <row r="316" ht="15.75" customHeight="1" s="98">
      <c r="A316" s="12" t="n"/>
    </row>
    <row r="317" ht="15.75" customHeight="1" s="98">
      <c r="A317" s="12" t="n"/>
    </row>
    <row r="318" ht="15.75" customHeight="1" s="98">
      <c r="A318" s="12" t="n"/>
    </row>
    <row r="319" ht="15.75" customHeight="1" s="98">
      <c r="A319" s="12" t="n"/>
    </row>
    <row r="320" ht="15.75" customHeight="1" s="98">
      <c r="A320" s="12" t="n"/>
    </row>
    <row r="321" ht="15.75" customHeight="1" s="98">
      <c r="A321" s="12" t="n"/>
    </row>
    <row r="322" ht="15.75" customHeight="1" s="98">
      <c r="A322" s="12" t="n"/>
    </row>
    <row r="323" ht="15.75" customHeight="1" s="98">
      <c r="A323" s="12" t="n"/>
    </row>
    <row r="324" ht="15.75" customHeight="1" s="98">
      <c r="A324" s="12" t="n"/>
    </row>
    <row r="325" ht="15.75" customHeight="1" s="98">
      <c r="A325" s="12" t="n"/>
    </row>
    <row r="326" ht="15.75" customHeight="1" s="98">
      <c r="A326" s="12" t="n"/>
    </row>
    <row r="327" ht="15.75" customHeight="1" s="98">
      <c r="A327" s="12" t="n"/>
    </row>
    <row r="328" ht="15.75" customHeight="1" s="98">
      <c r="A328" s="12" t="n"/>
    </row>
    <row r="329" ht="15.75" customHeight="1" s="98">
      <c r="A329" s="12" t="n"/>
    </row>
    <row r="330" ht="15.75" customHeight="1" s="98">
      <c r="A330" s="12" t="n"/>
    </row>
    <row r="331" ht="15.75" customHeight="1" s="98">
      <c r="A331" s="12" t="n"/>
    </row>
    <row r="332" ht="15.75" customHeight="1" s="98">
      <c r="A332" s="12" t="n"/>
    </row>
    <row r="333" ht="15.75" customHeight="1" s="98">
      <c r="A333" s="12" t="n"/>
    </row>
    <row r="334" ht="15.75" customHeight="1" s="98">
      <c r="A334" s="12" t="n"/>
    </row>
    <row r="335" ht="15.75" customHeight="1" s="98">
      <c r="A335" s="12" t="n"/>
    </row>
    <row r="336" ht="15.75" customHeight="1" s="98">
      <c r="A336" s="12" t="n"/>
    </row>
    <row r="337" ht="15.75" customHeight="1" s="98">
      <c r="A337" s="12" t="n"/>
    </row>
    <row r="338" ht="15.75" customHeight="1" s="98">
      <c r="A338" s="12" t="n"/>
    </row>
    <row r="339" ht="15.75" customHeight="1" s="98">
      <c r="A339" s="12" t="n"/>
    </row>
    <row r="340" ht="15.75" customHeight="1" s="98">
      <c r="A340" s="12" t="n"/>
    </row>
    <row r="341" ht="15.75" customHeight="1" s="98">
      <c r="A341" s="12" t="n"/>
    </row>
    <row r="342" ht="15.75" customHeight="1" s="98">
      <c r="A342" s="12" t="n"/>
    </row>
    <row r="343" ht="15.75" customHeight="1" s="98">
      <c r="A343" s="12" t="n"/>
    </row>
    <row r="344" ht="15.75" customHeight="1" s="98">
      <c r="A344" s="12" t="n"/>
    </row>
    <row r="345" ht="15.75" customHeight="1" s="98">
      <c r="A345" s="12" t="n"/>
    </row>
    <row r="346" ht="15.75" customHeight="1" s="98">
      <c r="A346" s="12" t="n"/>
    </row>
    <row r="347" ht="15.75" customHeight="1" s="98">
      <c r="A347" s="12" t="n"/>
    </row>
    <row r="348" ht="15.75" customHeight="1" s="98">
      <c r="A348" s="12" t="n"/>
    </row>
    <row r="349" ht="15.75" customHeight="1" s="98">
      <c r="A349" s="12" t="n"/>
    </row>
    <row r="350" ht="15.75" customHeight="1" s="98">
      <c r="A350" s="12" t="n"/>
    </row>
    <row r="351" ht="15.75" customHeight="1" s="98">
      <c r="A351" s="12" t="n"/>
    </row>
    <row r="352" ht="15.75" customHeight="1" s="98">
      <c r="A352" s="12" t="n"/>
    </row>
    <row r="353" ht="15.75" customHeight="1" s="98">
      <c r="A353" s="12" t="n"/>
    </row>
    <row r="354" ht="15.75" customHeight="1" s="98">
      <c r="A354" s="12" t="n"/>
    </row>
    <row r="355" ht="15.75" customHeight="1" s="98">
      <c r="A355" s="12" t="n"/>
    </row>
    <row r="356" ht="15.75" customHeight="1" s="98">
      <c r="A356" s="12" t="n"/>
    </row>
    <row r="357" ht="15.75" customHeight="1" s="98">
      <c r="A357" s="12" t="n"/>
    </row>
    <row r="358" ht="15.75" customHeight="1" s="98">
      <c r="A358" s="12" t="n"/>
    </row>
    <row r="359" ht="15.75" customHeight="1" s="98">
      <c r="A359" s="12" t="n"/>
    </row>
    <row r="360" ht="15.75" customHeight="1" s="98">
      <c r="A360" s="12" t="n"/>
    </row>
    <row r="361" ht="15.75" customHeight="1" s="98">
      <c r="A361" s="12" t="n"/>
    </row>
    <row r="362" ht="15.75" customHeight="1" s="98">
      <c r="A362" s="12" t="n"/>
    </row>
    <row r="363" ht="15.75" customHeight="1" s="98">
      <c r="A363" s="12" t="n"/>
    </row>
    <row r="364" ht="15.75" customHeight="1" s="98">
      <c r="A364" s="12" t="n"/>
    </row>
    <row r="365" ht="15.75" customHeight="1" s="98">
      <c r="A365" s="12" t="n"/>
    </row>
    <row r="366" ht="15.75" customHeight="1" s="98">
      <c r="A366" s="12" t="n"/>
    </row>
    <row r="367" ht="15.75" customHeight="1" s="98">
      <c r="A367" s="12" t="n"/>
    </row>
    <row r="368" ht="15.75" customHeight="1" s="98">
      <c r="A368" s="12" t="n"/>
    </row>
    <row r="369" ht="15.75" customHeight="1" s="98">
      <c r="A369" s="12" t="n"/>
    </row>
    <row r="370" ht="15.75" customHeight="1" s="98">
      <c r="A370" s="12" t="n"/>
    </row>
    <row r="371" ht="15.75" customHeight="1" s="98">
      <c r="A371" s="12" t="n"/>
    </row>
    <row r="372" ht="15.75" customHeight="1" s="98">
      <c r="A372" s="12" t="n"/>
    </row>
    <row r="373" ht="15.75" customHeight="1" s="98">
      <c r="A373" s="12" t="n"/>
    </row>
    <row r="374" ht="15.75" customHeight="1" s="98">
      <c r="A374" s="12" t="n"/>
    </row>
    <row r="375" ht="15.75" customHeight="1" s="98">
      <c r="A375" s="12" t="n"/>
    </row>
    <row r="376" ht="15.75" customHeight="1" s="98">
      <c r="A376" s="12" t="n"/>
    </row>
    <row r="377" ht="15.75" customHeight="1" s="98">
      <c r="A377" s="12" t="n"/>
    </row>
    <row r="378" ht="15.75" customHeight="1" s="98">
      <c r="A378" s="12" t="n"/>
    </row>
    <row r="379" ht="15.75" customHeight="1" s="98">
      <c r="A379" s="12" t="n"/>
    </row>
    <row r="380" ht="15.75" customHeight="1" s="98">
      <c r="A380" s="12" t="n"/>
    </row>
    <row r="381" ht="15.75" customHeight="1" s="98">
      <c r="A381" s="12" t="n"/>
    </row>
    <row r="382" ht="15.75" customHeight="1" s="98">
      <c r="A382" s="12" t="n"/>
    </row>
    <row r="383" ht="15.75" customHeight="1" s="98">
      <c r="A383" s="12" t="n"/>
    </row>
    <row r="384" ht="15.75" customHeight="1" s="98">
      <c r="A384" s="12" t="n"/>
    </row>
    <row r="385" ht="15.75" customHeight="1" s="98">
      <c r="A385" s="12" t="n"/>
    </row>
    <row r="386" ht="15.75" customHeight="1" s="98">
      <c r="A386" s="12" t="n"/>
    </row>
    <row r="387" ht="15.75" customHeight="1" s="98">
      <c r="A387" s="12" t="n"/>
    </row>
    <row r="388" ht="15.75" customHeight="1" s="98">
      <c r="A388" s="12" t="n"/>
    </row>
    <row r="389" ht="15.75" customHeight="1" s="98">
      <c r="A389" s="12" t="n"/>
    </row>
    <row r="390" ht="15.75" customHeight="1" s="98">
      <c r="A390" s="12" t="n"/>
    </row>
    <row r="391" ht="15.75" customHeight="1" s="98">
      <c r="A391" s="12" t="n"/>
    </row>
    <row r="392" ht="15.75" customHeight="1" s="98">
      <c r="A392" s="12" t="n"/>
    </row>
    <row r="393" ht="15.75" customHeight="1" s="98">
      <c r="A393" s="12" t="n"/>
    </row>
    <row r="394" ht="15.75" customHeight="1" s="98">
      <c r="A394" s="12" t="n"/>
    </row>
    <row r="395" ht="15.75" customHeight="1" s="98">
      <c r="A395" s="12" t="n"/>
    </row>
    <row r="396" ht="15.75" customHeight="1" s="98">
      <c r="A396" s="12" t="n"/>
    </row>
    <row r="397" ht="15.75" customHeight="1" s="98">
      <c r="A397" s="12" t="n"/>
    </row>
    <row r="398" ht="15.75" customHeight="1" s="98">
      <c r="A398" s="12" t="n"/>
    </row>
    <row r="399" ht="15.75" customHeight="1" s="98">
      <c r="A399" s="12" t="n"/>
    </row>
    <row r="400" ht="15.75" customHeight="1" s="98">
      <c r="A400" s="12" t="n"/>
    </row>
    <row r="401" ht="15.75" customHeight="1" s="98">
      <c r="A401" s="12" t="n"/>
    </row>
    <row r="402" ht="15.75" customHeight="1" s="98">
      <c r="A402" s="12" t="n"/>
    </row>
    <row r="403" ht="15.75" customHeight="1" s="98">
      <c r="A403" s="12" t="n"/>
    </row>
    <row r="404" ht="15.75" customHeight="1" s="98">
      <c r="A404" s="12" t="n"/>
    </row>
    <row r="405" ht="15.75" customHeight="1" s="98">
      <c r="A405" s="12" t="n"/>
    </row>
    <row r="406" ht="15.75" customHeight="1" s="98">
      <c r="A406" s="12" t="n"/>
    </row>
    <row r="407" ht="15.75" customHeight="1" s="98">
      <c r="A407" s="12" t="n"/>
    </row>
    <row r="408" ht="15.75" customHeight="1" s="98">
      <c r="A408" s="12" t="n"/>
    </row>
    <row r="409" ht="15.75" customHeight="1" s="98">
      <c r="A409" s="12" t="n"/>
    </row>
    <row r="410" ht="15.75" customHeight="1" s="98">
      <c r="A410" s="12" t="n"/>
    </row>
    <row r="411" ht="15.75" customHeight="1" s="98">
      <c r="A411" s="12" t="n"/>
    </row>
    <row r="412" ht="15.75" customHeight="1" s="98">
      <c r="A412" s="12" t="n"/>
    </row>
    <row r="413" ht="15.75" customHeight="1" s="98">
      <c r="A413" s="12" t="n"/>
    </row>
    <row r="414" ht="15.75" customHeight="1" s="98">
      <c r="A414" s="12" t="n"/>
    </row>
    <row r="415" ht="15.75" customHeight="1" s="98">
      <c r="A415" s="12" t="n"/>
    </row>
    <row r="416" ht="15.75" customHeight="1" s="98">
      <c r="A416" s="12" t="n"/>
    </row>
    <row r="417" ht="15.75" customHeight="1" s="98">
      <c r="A417" s="12" t="n"/>
    </row>
    <row r="418" ht="15.75" customHeight="1" s="98">
      <c r="A418" s="12" t="n"/>
    </row>
    <row r="419" ht="15.75" customHeight="1" s="98">
      <c r="A419" s="12" t="n"/>
    </row>
    <row r="420" ht="15.75" customHeight="1" s="98">
      <c r="A420" s="12" t="n"/>
    </row>
    <row r="421" ht="15.75" customHeight="1" s="98">
      <c r="A421" s="12" t="n"/>
    </row>
    <row r="422" ht="15.75" customHeight="1" s="98">
      <c r="A422" s="12" t="n"/>
    </row>
    <row r="423" ht="15.75" customHeight="1" s="98">
      <c r="A423" s="12" t="n"/>
    </row>
    <row r="424" ht="15.75" customHeight="1" s="98">
      <c r="A424" s="12" t="n"/>
    </row>
    <row r="425" ht="15.75" customHeight="1" s="98">
      <c r="A425" s="12" t="n"/>
    </row>
    <row r="426" ht="15.75" customHeight="1" s="98">
      <c r="A426" s="12" t="n"/>
    </row>
    <row r="427" ht="15.75" customHeight="1" s="98">
      <c r="A427" s="12" t="n"/>
    </row>
    <row r="428" ht="15.75" customHeight="1" s="98">
      <c r="A428" s="12" t="n"/>
    </row>
    <row r="429" ht="15.75" customHeight="1" s="98">
      <c r="A429" s="12" t="n"/>
    </row>
    <row r="430" ht="15.75" customHeight="1" s="98">
      <c r="A430" s="12" t="n"/>
    </row>
    <row r="431" ht="15.75" customHeight="1" s="98">
      <c r="A431" s="12" t="n"/>
    </row>
    <row r="432" ht="15.75" customHeight="1" s="98">
      <c r="A432" s="12" t="n"/>
    </row>
    <row r="433" ht="15.75" customHeight="1" s="98">
      <c r="A433" s="12" t="n"/>
    </row>
    <row r="434" ht="15.75" customHeight="1" s="98">
      <c r="A434" s="12" t="n"/>
    </row>
    <row r="435" ht="15.75" customHeight="1" s="98">
      <c r="A435" s="12" t="n"/>
    </row>
    <row r="436" ht="15.75" customHeight="1" s="98">
      <c r="A436" s="12" t="n"/>
    </row>
    <row r="437" ht="15.75" customHeight="1" s="98">
      <c r="A437" s="12" t="n"/>
    </row>
    <row r="438" ht="15.75" customHeight="1" s="98">
      <c r="A438" s="12" t="n"/>
    </row>
    <row r="439" ht="15.75" customHeight="1" s="98">
      <c r="A439" s="12" t="n"/>
    </row>
    <row r="440" ht="15.75" customHeight="1" s="98">
      <c r="A440" s="12" t="n"/>
    </row>
    <row r="441" ht="15.75" customHeight="1" s="98">
      <c r="A441" s="12" t="n"/>
    </row>
    <row r="442" ht="15.75" customHeight="1" s="98">
      <c r="A442" s="12" t="n"/>
    </row>
    <row r="443" ht="15.75" customHeight="1" s="98">
      <c r="A443" s="12" t="n"/>
    </row>
    <row r="444" ht="15.75" customHeight="1" s="98">
      <c r="A444" s="12" t="n"/>
    </row>
    <row r="445" ht="15.75" customHeight="1" s="98">
      <c r="A445" s="12" t="n"/>
    </row>
    <row r="446" ht="15.75" customHeight="1" s="98">
      <c r="A446" s="12" t="n"/>
    </row>
    <row r="447" ht="15.75" customHeight="1" s="98">
      <c r="A447" s="12" t="n"/>
    </row>
    <row r="448" ht="15.75" customHeight="1" s="98">
      <c r="A448" s="12" t="n"/>
    </row>
    <row r="449" ht="15.75" customHeight="1" s="98">
      <c r="A449" s="12" t="n"/>
    </row>
    <row r="450" ht="15.75" customHeight="1" s="98">
      <c r="A450" s="12" t="n"/>
    </row>
    <row r="451" ht="15.75" customHeight="1" s="98">
      <c r="A451" s="12" t="n"/>
    </row>
    <row r="452" ht="15.75" customHeight="1" s="98">
      <c r="A452" s="12" t="n"/>
    </row>
    <row r="453" ht="15.75" customHeight="1" s="98">
      <c r="A453" s="12" t="n"/>
    </row>
    <row r="454" ht="15.75" customHeight="1" s="98">
      <c r="A454" s="12" t="n"/>
    </row>
    <row r="455" ht="15.75" customHeight="1" s="98">
      <c r="A455" s="12" t="n"/>
    </row>
    <row r="456" ht="15.75" customHeight="1" s="98">
      <c r="A456" s="12" t="n"/>
    </row>
    <row r="457" ht="15.75" customHeight="1" s="98">
      <c r="A457" s="12" t="n"/>
    </row>
    <row r="458" ht="15.75" customHeight="1" s="98">
      <c r="A458" s="12" t="n"/>
    </row>
    <row r="459" ht="15.75" customHeight="1" s="98">
      <c r="A459" s="12" t="n"/>
    </row>
    <row r="460" ht="15.75" customHeight="1" s="98">
      <c r="A460" s="12" t="n"/>
    </row>
    <row r="461" ht="15.75" customHeight="1" s="98">
      <c r="A461" s="12" t="n"/>
    </row>
    <row r="462" ht="15.75" customHeight="1" s="98">
      <c r="A462" s="12" t="n"/>
    </row>
    <row r="463" ht="15.75" customHeight="1" s="98">
      <c r="A463" s="12" t="n"/>
    </row>
    <row r="464" ht="15.75" customHeight="1" s="98">
      <c r="A464" s="12" t="n"/>
    </row>
    <row r="465" ht="15.75" customHeight="1" s="98">
      <c r="A465" s="12" t="n"/>
    </row>
    <row r="466" ht="15.75" customHeight="1" s="98">
      <c r="A466" s="12" t="n"/>
    </row>
    <row r="467" ht="15.75" customHeight="1" s="98">
      <c r="A467" s="12" t="n"/>
    </row>
    <row r="468" ht="15.75" customHeight="1" s="98">
      <c r="A468" s="12" t="n"/>
    </row>
    <row r="469" ht="15.75" customHeight="1" s="98">
      <c r="A469" s="12" t="n"/>
    </row>
    <row r="470" ht="15.75" customHeight="1" s="98">
      <c r="A470" s="12" t="n"/>
    </row>
    <row r="471" ht="15.75" customHeight="1" s="98">
      <c r="A471" s="12" t="n"/>
    </row>
    <row r="472" ht="15.75" customHeight="1" s="98">
      <c r="A472" s="12" t="n"/>
    </row>
    <row r="473" ht="15.75" customHeight="1" s="98">
      <c r="A473" s="12" t="n"/>
    </row>
    <row r="474" ht="15.75" customHeight="1" s="98">
      <c r="A474" s="12" t="n"/>
    </row>
    <row r="475" ht="15.75" customHeight="1" s="98">
      <c r="A475" s="12" t="n"/>
    </row>
    <row r="476" ht="15.75" customHeight="1" s="98">
      <c r="A476" s="12" t="n"/>
    </row>
    <row r="477" ht="15.75" customHeight="1" s="98">
      <c r="A477" s="12" t="n"/>
    </row>
    <row r="478" ht="15.75" customHeight="1" s="98">
      <c r="A478" s="12" t="n"/>
    </row>
    <row r="479" ht="15.75" customHeight="1" s="98">
      <c r="A479" s="12" t="n"/>
    </row>
    <row r="480" ht="15.75" customHeight="1" s="98">
      <c r="A480" s="12" t="n"/>
    </row>
    <row r="481" ht="15.75" customHeight="1" s="98">
      <c r="A481" s="12" t="n"/>
    </row>
    <row r="482" ht="15.75" customHeight="1" s="98">
      <c r="A482" s="12" t="n"/>
    </row>
    <row r="483" ht="15.75" customHeight="1" s="98">
      <c r="A483" s="12" t="n"/>
    </row>
    <row r="484" ht="15.75" customHeight="1" s="98">
      <c r="A484" s="12" t="n"/>
    </row>
    <row r="485" ht="15.75" customHeight="1" s="98">
      <c r="A485" s="12" t="n"/>
    </row>
    <row r="486" ht="15.75" customHeight="1" s="98">
      <c r="A486" s="12" t="n"/>
    </row>
    <row r="487" ht="15.75" customHeight="1" s="98">
      <c r="A487" s="12" t="n"/>
    </row>
    <row r="488" ht="15.75" customHeight="1" s="98">
      <c r="A488" s="12" t="n"/>
    </row>
    <row r="489" ht="15.75" customHeight="1" s="98">
      <c r="A489" s="12" t="n"/>
    </row>
    <row r="490" ht="15.75" customHeight="1" s="98">
      <c r="A490" s="12" t="n"/>
    </row>
    <row r="491" ht="15.75" customHeight="1" s="98">
      <c r="A491" s="12" t="n"/>
    </row>
    <row r="492" ht="15.75" customHeight="1" s="98">
      <c r="A492" s="12" t="n"/>
    </row>
    <row r="493" ht="15.75" customHeight="1" s="98">
      <c r="A493" s="12" t="n"/>
    </row>
    <row r="494" ht="15.75" customHeight="1" s="98">
      <c r="A494" s="12" t="n"/>
    </row>
    <row r="495" ht="15.75" customHeight="1" s="98">
      <c r="A495" s="12" t="n"/>
    </row>
    <row r="496" ht="15.75" customHeight="1" s="98">
      <c r="A496" s="12" t="n"/>
    </row>
    <row r="497" ht="15.75" customHeight="1" s="98">
      <c r="A497" s="12" t="n"/>
    </row>
    <row r="498" ht="15.75" customHeight="1" s="98">
      <c r="A498" s="12" t="n"/>
    </row>
    <row r="499" ht="15.75" customHeight="1" s="98">
      <c r="A499" s="12" t="n"/>
    </row>
    <row r="500" ht="15.75" customHeight="1" s="98">
      <c r="A500" s="12" t="n"/>
    </row>
    <row r="501" ht="15.75" customHeight="1" s="98">
      <c r="A501" s="12" t="n"/>
    </row>
    <row r="502" ht="15.75" customHeight="1" s="98">
      <c r="A502" s="12" t="n"/>
    </row>
    <row r="503" ht="15.75" customHeight="1" s="98">
      <c r="A503" s="12" t="n"/>
    </row>
    <row r="504" ht="15.75" customHeight="1" s="98">
      <c r="A504" s="12" t="n"/>
    </row>
    <row r="505" ht="15.75" customHeight="1" s="98">
      <c r="A505" s="12" t="n"/>
    </row>
    <row r="506" ht="15.75" customHeight="1" s="98">
      <c r="A506" s="12" t="n"/>
    </row>
    <row r="507" ht="15.75" customHeight="1" s="98">
      <c r="A507" s="12" t="n"/>
    </row>
    <row r="508" ht="15.75" customHeight="1" s="98">
      <c r="A508" s="12" t="n"/>
    </row>
    <row r="509" ht="15.75" customHeight="1" s="98">
      <c r="A509" s="12" t="n"/>
    </row>
    <row r="510" ht="15.75" customHeight="1" s="98">
      <c r="A510" s="12" t="n"/>
    </row>
    <row r="511" ht="15.75" customHeight="1" s="98">
      <c r="A511" s="12" t="n"/>
    </row>
    <row r="512" ht="15.75" customHeight="1" s="98">
      <c r="A512" s="12" t="n"/>
    </row>
    <row r="513" ht="15.75" customHeight="1" s="98">
      <c r="A513" s="12" t="n"/>
    </row>
    <row r="514" ht="15.75" customHeight="1" s="98">
      <c r="A514" s="12" t="n"/>
    </row>
    <row r="515" ht="15.75" customHeight="1" s="98">
      <c r="A515" s="12" t="n"/>
    </row>
    <row r="516" ht="15.75" customHeight="1" s="98">
      <c r="A516" s="12" t="n"/>
    </row>
    <row r="517" ht="15.75" customHeight="1" s="98">
      <c r="A517" s="12" t="n"/>
    </row>
    <row r="518" ht="15.75" customHeight="1" s="98">
      <c r="A518" s="12" t="n"/>
    </row>
    <row r="519" ht="15.75" customHeight="1" s="98">
      <c r="A519" s="12" t="n"/>
    </row>
    <row r="520" ht="15.75" customHeight="1" s="98">
      <c r="A520" s="12" t="n"/>
    </row>
    <row r="521" ht="15.75" customHeight="1" s="98">
      <c r="A521" s="12" t="n"/>
    </row>
    <row r="522" ht="15.75" customHeight="1" s="98">
      <c r="A522" s="12" t="n"/>
    </row>
    <row r="523" ht="15.75" customHeight="1" s="98">
      <c r="A523" s="12" t="n"/>
    </row>
    <row r="524" ht="15.75" customHeight="1" s="98">
      <c r="A524" s="12" t="n"/>
    </row>
    <row r="525" ht="15.75" customHeight="1" s="98">
      <c r="A525" s="12" t="n"/>
    </row>
    <row r="526" ht="15.75" customHeight="1" s="98">
      <c r="A526" s="12" t="n"/>
    </row>
    <row r="527" ht="15.75" customHeight="1" s="98">
      <c r="A527" s="12" t="n"/>
    </row>
    <row r="528" ht="15.75" customHeight="1" s="98">
      <c r="A528" s="12" t="n"/>
    </row>
    <row r="529" ht="15.75" customHeight="1" s="98">
      <c r="A529" s="12" t="n"/>
    </row>
    <row r="530" ht="15.75" customHeight="1" s="98">
      <c r="A530" s="12" t="n"/>
    </row>
    <row r="531" ht="15.75" customHeight="1" s="98">
      <c r="A531" s="12" t="n"/>
    </row>
    <row r="532" ht="15.75" customHeight="1" s="98">
      <c r="A532" s="12" t="n"/>
    </row>
    <row r="533" ht="15.75" customHeight="1" s="98">
      <c r="A533" s="12" t="n"/>
    </row>
    <row r="534" ht="15.75" customHeight="1" s="98">
      <c r="A534" s="12" t="n"/>
    </row>
    <row r="535" ht="15.75" customHeight="1" s="98">
      <c r="A535" s="12" t="n"/>
    </row>
    <row r="536" ht="15.75" customHeight="1" s="98">
      <c r="A536" s="12" t="n"/>
    </row>
    <row r="537" ht="15.75" customHeight="1" s="98">
      <c r="A537" s="12" t="n"/>
    </row>
    <row r="538" ht="15.75" customHeight="1" s="98">
      <c r="A538" s="12" t="n"/>
    </row>
    <row r="539" ht="15.75" customHeight="1" s="98">
      <c r="A539" s="12" t="n"/>
    </row>
    <row r="540" ht="15.75" customHeight="1" s="98">
      <c r="A540" s="12" t="n"/>
    </row>
    <row r="541" ht="15.75" customHeight="1" s="98">
      <c r="A541" s="12" t="n"/>
    </row>
    <row r="542" ht="15.75" customHeight="1" s="98">
      <c r="A542" s="12" t="n"/>
    </row>
    <row r="543" ht="15.75" customHeight="1" s="98">
      <c r="A543" s="12" t="n"/>
    </row>
    <row r="544" ht="15.75" customHeight="1" s="98">
      <c r="A544" s="12" t="n"/>
    </row>
    <row r="545" ht="15.75" customHeight="1" s="98">
      <c r="A545" s="12" t="n"/>
    </row>
    <row r="546" ht="15.75" customHeight="1" s="98">
      <c r="A546" s="12" t="n"/>
    </row>
    <row r="547" ht="15.75" customHeight="1" s="98">
      <c r="A547" s="12" t="n"/>
    </row>
    <row r="548" ht="15.75" customHeight="1" s="98">
      <c r="A548" s="12" t="n"/>
    </row>
    <row r="549" ht="15.75" customHeight="1" s="98">
      <c r="A549" s="12" t="n"/>
    </row>
    <row r="550" ht="15.75" customHeight="1" s="98">
      <c r="A550" s="12" t="n"/>
    </row>
    <row r="551" ht="15.75" customHeight="1" s="98">
      <c r="A551" s="12" t="n"/>
    </row>
    <row r="552" ht="15.75" customHeight="1" s="98">
      <c r="A552" s="12" t="n"/>
    </row>
    <row r="553" ht="15.75" customHeight="1" s="98">
      <c r="A553" s="12" t="n"/>
    </row>
    <row r="554" ht="15.75" customHeight="1" s="98">
      <c r="A554" s="12" t="n"/>
    </row>
    <row r="555" ht="15.75" customHeight="1" s="98">
      <c r="A555" s="12" t="n"/>
    </row>
    <row r="556" ht="15.75" customHeight="1" s="98">
      <c r="A556" s="12" t="n"/>
    </row>
    <row r="557" ht="15.75" customHeight="1" s="98">
      <c r="A557" s="12" t="n"/>
    </row>
    <row r="558" ht="15.75" customHeight="1" s="98">
      <c r="A558" s="12" t="n"/>
    </row>
    <row r="559" ht="15.75" customHeight="1" s="98">
      <c r="A559" s="12" t="n"/>
    </row>
    <row r="560" ht="15.75" customHeight="1" s="98">
      <c r="A560" s="12" t="n"/>
    </row>
    <row r="561" ht="15.75" customHeight="1" s="98">
      <c r="A561" s="12" t="n"/>
    </row>
    <row r="562" ht="15.75" customHeight="1" s="98">
      <c r="A562" s="12" t="n"/>
    </row>
    <row r="563" ht="15.75" customHeight="1" s="98">
      <c r="A563" s="12" t="n"/>
    </row>
    <row r="564" ht="15.75" customHeight="1" s="98">
      <c r="A564" s="12" t="n"/>
    </row>
    <row r="565" ht="15.75" customHeight="1" s="98">
      <c r="A565" s="12" t="n"/>
    </row>
    <row r="566" ht="15.75" customHeight="1" s="98">
      <c r="A566" s="12" t="n"/>
    </row>
    <row r="567" ht="15.75" customHeight="1" s="98">
      <c r="A567" s="12" t="n"/>
    </row>
    <row r="568" ht="15.75" customHeight="1" s="98">
      <c r="A568" s="12" t="n"/>
    </row>
    <row r="569" ht="15.75" customHeight="1" s="98">
      <c r="A569" s="12" t="n"/>
    </row>
    <row r="570" ht="15.75" customHeight="1" s="98">
      <c r="A570" s="12" t="n"/>
    </row>
    <row r="571" ht="15.75" customHeight="1" s="98">
      <c r="A571" s="12" t="n"/>
    </row>
    <row r="572" ht="15.75" customHeight="1" s="98">
      <c r="A572" s="12" t="n"/>
    </row>
    <row r="573" ht="15.75" customHeight="1" s="98">
      <c r="A573" s="12" t="n"/>
    </row>
    <row r="574" ht="15.75" customHeight="1" s="98">
      <c r="A574" s="12" t="n"/>
    </row>
    <row r="575" ht="15.75" customHeight="1" s="98">
      <c r="A575" s="12" t="n"/>
    </row>
    <row r="576" ht="15.75" customHeight="1" s="98">
      <c r="A576" s="12" t="n"/>
    </row>
    <row r="577" ht="15.75" customHeight="1" s="98">
      <c r="A577" s="12" t="n"/>
    </row>
    <row r="578" ht="15.75" customHeight="1" s="98">
      <c r="A578" s="12" t="n"/>
    </row>
    <row r="579" ht="15.75" customHeight="1" s="98">
      <c r="A579" s="12" t="n"/>
    </row>
    <row r="580" ht="15.75" customHeight="1" s="98">
      <c r="A580" s="12" t="n"/>
    </row>
    <row r="581" ht="15.75" customHeight="1" s="98">
      <c r="A581" s="12" t="n"/>
    </row>
    <row r="582" ht="15.75" customHeight="1" s="98">
      <c r="A582" s="12" t="n"/>
    </row>
    <row r="583" ht="15.75" customHeight="1" s="98">
      <c r="A583" s="12" t="n"/>
    </row>
    <row r="584" ht="15.75" customHeight="1" s="98">
      <c r="A584" s="12" t="n"/>
    </row>
    <row r="585" ht="15.75" customHeight="1" s="98">
      <c r="A585" s="12" t="n"/>
    </row>
    <row r="586" ht="15.75" customHeight="1" s="98">
      <c r="A586" s="12" t="n"/>
    </row>
    <row r="587" ht="15.75" customHeight="1" s="98">
      <c r="A587" s="12" t="n"/>
    </row>
    <row r="588" ht="15.75" customHeight="1" s="98">
      <c r="A588" s="12" t="n"/>
    </row>
    <row r="589" ht="15.75" customHeight="1" s="98">
      <c r="A589" s="12" t="n"/>
    </row>
    <row r="590" ht="15.75" customHeight="1" s="98">
      <c r="A590" s="12" t="n"/>
    </row>
    <row r="591" ht="15.75" customHeight="1" s="98">
      <c r="A591" s="12" t="n"/>
    </row>
    <row r="592" ht="15.75" customHeight="1" s="98">
      <c r="A592" s="12" t="n"/>
    </row>
    <row r="593" ht="15.75" customHeight="1" s="98">
      <c r="A593" s="12" t="n"/>
    </row>
    <row r="594" ht="15.75" customHeight="1" s="98">
      <c r="A594" s="12" t="n"/>
    </row>
    <row r="595" ht="15.75" customHeight="1" s="98">
      <c r="A595" s="12" t="n"/>
    </row>
    <row r="596" ht="15.75" customHeight="1" s="98">
      <c r="A596" s="12" t="n"/>
    </row>
    <row r="597" ht="15.75" customHeight="1" s="98">
      <c r="A597" s="12" t="n"/>
    </row>
    <row r="598" ht="15.75" customHeight="1" s="98">
      <c r="A598" s="12" t="n"/>
    </row>
    <row r="599" ht="15.75" customHeight="1" s="98">
      <c r="A599" s="12" t="n"/>
    </row>
    <row r="600" ht="15.75" customHeight="1" s="98">
      <c r="A600" s="12" t="n"/>
    </row>
    <row r="601" ht="15.75" customHeight="1" s="98">
      <c r="A601" s="12" t="n"/>
    </row>
    <row r="602" ht="15.75" customHeight="1" s="98">
      <c r="A602" s="12" t="n"/>
    </row>
    <row r="603" ht="15.75" customHeight="1" s="98">
      <c r="A603" s="12" t="n"/>
    </row>
    <row r="604" ht="15.75" customHeight="1" s="98">
      <c r="A604" s="12" t="n"/>
    </row>
    <row r="605" ht="15.75" customHeight="1" s="98">
      <c r="A605" s="12" t="n"/>
    </row>
    <row r="606" ht="15.75" customHeight="1" s="98">
      <c r="A606" s="12" t="n"/>
    </row>
    <row r="607" ht="15.75" customHeight="1" s="98">
      <c r="A607" s="12" t="n"/>
    </row>
    <row r="608" ht="15.75" customHeight="1" s="98">
      <c r="A608" s="12" t="n"/>
    </row>
    <row r="609" ht="15.75" customHeight="1" s="98">
      <c r="A609" s="12" t="n"/>
    </row>
    <row r="610" ht="15.75" customHeight="1" s="98">
      <c r="A610" s="12" t="n"/>
    </row>
    <row r="611" ht="15.75" customHeight="1" s="98">
      <c r="A611" s="12" t="n"/>
    </row>
    <row r="612" ht="15.75" customHeight="1" s="98">
      <c r="A612" s="12" t="n"/>
    </row>
    <row r="613" ht="15.75" customHeight="1" s="98">
      <c r="A613" s="12" t="n"/>
    </row>
    <row r="614" ht="15.75" customHeight="1" s="98">
      <c r="A614" s="12" t="n"/>
    </row>
    <row r="615" ht="15.75" customHeight="1" s="98">
      <c r="A615" s="12" t="n"/>
    </row>
    <row r="616" ht="15.75" customHeight="1" s="98">
      <c r="A616" s="12" t="n"/>
    </row>
    <row r="617" ht="15.75" customHeight="1" s="98">
      <c r="A617" s="12" t="n"/>
    </row>
    <row r="618" ht="15.75" customHeight="1" s="98">
      <c r="A618" s="12" t="n"/>
    </row>
    <row r="619" ht="15.75" customHeight="1" s="98">
      <c r="A619" s="12" t="n"/>
    </row>
    <row r="620" ht="15.75" customHeight="1" s="98">
      <c r="A620" s="12" t="n"/>
    </row>
    <row r="621" ht="15.75" customHeight="1" s="98">
      <c r="A621" s="12" t="n"/>
    </row>
    <row r="622" ht="15.75" customHeight="1" s="98">
      <c r="A622" s="12" t="n"/>
    </row>
    <row r="623" ht="15.75" customHeight="1" s="98">
      <c r="A623" s="12" t="n"/>
    </row>
    <row r="624" ht="15.75" customHeight="1" s="98">
      <c r="A624" s="12" t="n"/>
    </row>
    <row r="625" ht="15.75" customHeight="1" s="98">
      <c r="A625" s="12" t="n"/>
    </row>
    <row r="626" ht="15.75" customHeight="1" s="98">
      <c r="A626" s="12" t="n"/>
    </row>
    <row r="627" ht="15.75" customHeight="1" s="98">
      <c r="A627" s="12" t="n"/>
    </row>
    <row r="628" ht="15.75" customHeight="1" s="98">
      <c r="A628" s="12" t="n"/>
    </row>
    <row r="629" ht="15.75" customHeight="1" s="98">
      <c r="A629" s="12" t="n"/>
    </row>
    <row r="630" ht="15.75" customHeight="1" s="98">
      <c r="A630" s="12" t="n"/>
    </row>
    <row r="631" ht="15.75" customHeight="1" s="98">
      <c r="A631" s="12" t="n"/>
    </row>
    <row r="632" ht="15.75" customHeight="1" s="98">
      <c r="A632" s="12" t="n"/>
    </row>
    <row r="633" ht="15.75" customHeight="1" s="98">
      <c r="A633" s="12" t="n"/>
    </row>
    <row r="634" ht="15.75" customHeight="1" s="98">
      <c r="A634" s="12" t="n"/>
    </row>
    <row r="635" ht="15.75" customHeight="1" s="98">
      <c r="A635" s="12" t="n"/>
    </row>
    <row r="636" ht="15.75" customHeight="1" s="98">
      <c r="A636" s="12" t="n"/>
    </row>
    <row r="637" ht="15.75" customHeight="1" s="98">
      <c r="A637" s="12" t="n"/>
    </row>
    <row r="638" ht="15.75" customHeight="1" s="98">
      <c r="A638" s="12" t="n"/>
    </row>
    <row r="639" ht="15.75" customHeight="1" s="98">
      <c r="A639" s="12" t="n"/>
    </row>
    <row r="640" ht="15.75" customHeight="1" s="98">
      <c r="A640" s="12" t="n"/>
    </row>
    <row r="641" ht="15.75" customHeight="1" s="98">
      <c r="A641" s="12" t="n"/>
    </row>
    <row r="642" ht="15.75" customHeight="1" s="98">
      <c r="A642" s="12" t="n"/>
    </row>
    <row r="643" ht="15.75" customHeight="1" s="98">
      <c r="A643" s="12" t="n"/>
    </row>
    <row r="644" ht="15.75" customHeight="1" s="98">
      <c r="A644" s="12" t="n"/>
    </row>
    <row r="645" ht="15.75" customHeight="1" s="98">
      <c r="A645" s="12" t="n"/>
    </row>
    <row r="646" ht="15.75" customHeight="1" s="98">
      <c r="A646" s="12" t="n"/>
    </row>
    <row r="647" ht="15.75" customHeight="1" s="98">
      <c r="A647" s="12" t="n"/>
    </row>
    <row r="648" ht="15.75" customHeight="1" s="98">
      <c r="A648" s="12" t="n"/>
    </row>
    <row r="649" ht="15.75" customHeight="1" s="98">
      <c r="A649" s="12" t="n"/>
    </row>
    <row r="650" ht="15.75" customHeight="1" s="98">
      <c r="A650" s="12" t="n"/>
    </row>
    <row r="651" ht="15.75" customHeight="1" s="98">
      <c r="A651" s="12" t="n"/>
    </row>
    <row r="652" ht="15.75" customHeight="1" s="98">
      <c r="A652" s="12" t="n"/>
    </row>
    <row r="653" ht="15.75" customHeight="1" s="98">
      <c r="A653" s="12" t="n"/>
    </row>
    <row r="654" ht="15.75" customHeight="1" s="98">
      <c r="A654" s="12" t="n"/>
    </row>
    <row r="655" ht="15.75" customHeight="1" s="98">
      <c r="A655" s="12" t="n"/>
    </row>
    <row r="656" ht="15.75" customHeight="1" s="98">
      <c r="A656" s="12" t="n"/>
    </row>
    <row r="657" ht="15.75" customHeight="1" s="98">
      <c r="A657" s="12" t="n"/>
    </row>
    <row r="658" ht="15.75" customHeight="1" s="98">
      <c r="A658" s="12" t="n"/>
    </row>
    <row r="659" ht="15.75" customHeight="1" s="98">
      <c r="A659" s="12" t="n"/>
    </row>
    <row r="660" ht="15.75" customHeight="1" s="98">
      <c r="A660" s="12" t="n"/>
    </row>
    <row r="661" ht="15.75" customHeight="1" s="98">
      <c r="A661" s="12" t="n"/>
    </row>
    <row r="662" ht="15.75" customHeight="1" s="98">
      <c r="A662" s="12" t="n"/>
    </row>
    <row r="663" ht="15.75" customHeight="1" s="98">
      <c r="A663" s="12" t="n"/>
    </row>
    <row r="664" ht="15.75" customHeight="1" s="98">
      <c r="A664" s="12" t="n"/>
    </row>
    <row r="665" ht="15.75" customHeight="1" s="98">
      <c r="A665" s="12" t="n"/>
    </row>
    <row r="666" ht="15.75" customHeight="1" s="98">
      <c r="A666" s="12" t="n"/>
    </row>
    <row r="667" ht="15.75" customHeight="1" s="98">
      <c r="A667" s="12" t="n"/>
    </row>
    <row r="668" ht="15.75" customHeight="1" s="98">
      <c r="A668" s="12" t="n"/>
    </row>
    <row r="669" ht="15.75" customHeight="1" s="98">
      <c r="A669" s="12" t="n"/>
    </row>
    <row r="670" ht="15.75" customHeight="1" s="98">
      <c r="A670" s="12" t="n"/>
    </row>
    <row r="671" ht="15.75" customHeight="1" s="98">
      <c r="A671" s="12" t="n"/>
    </row>
    <row r="672" ht="15.75" customHeight="1" s="98">
      <c r="A672" s="12" t="n"/>
    </row>
    <row r="673" ht="15.75" customHeight="1" s="98">
      <c r="A673" s="12" t="n"/>
    </row>
    <row r="674" ht="15.75" customHeight="1" s="98">
      <c r="A674" s="12" t="n"/>
    </row>
    <row r="675" ht="15.75" customHeight="1" s="98">
      <c r="A675" s="12" t="n"/>
    </row>
    <row r="676" ht="15.75" customHeight="1" s="98">
      <c r="A676" s="12" t="n"/>
    </row>
    <row r="677" ht="15.75" customHeight="1" s="98">
      <c r="A677" s="12" t="n"/>
    </row>
    <row r="678" ht="15.75" customHeight="1" s="98">
      <c r="A678" s="12" t="n"/>
    </row>
    <row r="679" ht="15.75" customHeight="1" s="98">
      <c r="A679" s="12" t="n"/>
    </row>
    <row r="680" ht="15.75" customHeight="1" s="98">
      <c r="A680" s="12" t="n"/>
    </row>
    <row r="681" ht="15.75" customHeight="1" s="98">
      <c r="A681" s="12" t="n"/>
    </row>
    <row r="682" ht="15.75" customHeight="1" s="98">
      <c r="A682" s="12" t="n"/>
    </row>
    <row r="683" ht="15.75" customHeight="1" s="98">
      <c r="A683" s="12" t="n"/>
    </row>
    <row r="684" ht="15.75" customHeight="1" s="98">
      <c r="A684" s="12" t="n"/>
    </row>
    <row r="685" ht="15.75" customHeight="1" s="98">
      <c r="A685" s="12" t="n"/>
    </row>
    <row r="686" ht="15.75" customHeight="1" s="98">
      <c r="A686" s="12" t="n"/>
    </row>
    <row r="687" ht="15.75" customHeight="1" s="98">
      <c r="A687" s="12" t="n"/>
    </row>
    <row r="688" ht="15.75" customHeight="1" s="98">
      <c r="A688" s="12" t="n"/>
    </row>
    <row r="689" ht="15.75" customHeight="1" s="98">
      <c r="A689" s="12" t="n"/>
    </row>
    <row r="690" ht="15.75" customHeight="1" s="98">
      <c r="A690" s="12" t="n"/>
    </row>
    <row r="691" ht="15.75" customHeight="1" s="98">
      <c r="A691" s="12" t="n"/>
    </row>
    <row r="692" ht="15.75" customHeight="1" s="98">
      <c r="A692" s="12" t="n"/>
    </row>
    <row r="693" ht="15.75" customHeight="1" s="98">
      <c r="A693" s="12" t="n"/>
    </row>
    <row r="694" ht="15.75" customHeight="1" s="98">
      <c r="A694" s="12" t="n"/>
    </row>
    <row r="695" ht="15.75" customHeight="1" s="98">
      <c r="A695" s="12" t="n"/>
    </row>
    <row r="696" ht="15.75" customHeight="1" s="98">
      <c r="A696" s="12" t="n"/>
    </row>
    <row r="697" ht="15.75" customHeight="1" s="98">
      <c r="A697" s="12" t="n"/>
    </row>
    <row r="698" ht="15.75" customHeight="1" s="98">
      <c r="A698" s="12" t="n"/>
    </row>
    <row r="699" ht="15.75" customHeight="1" s="98">
      <c r="A699" s="12" t="n"/>
    </row>
    <row r="700" ht="15.75" customHeight="1" s="98">
      <c r="A700" s="12" t="n"/>
    </row>
    <row r="701" ht="15.75" customHeight="1" s="98">
      <c r="A701" s="12" t="n"/>
    </row>
    <row r="702" ht="15.75" customHeight="1" s="98">
      <c r="A702" s="12" t="n"/>
    </row>
    <row r="703" ht="15.75" customHeight="1" s="98">
      <c r="A703" s="12" t="n"/>
    </row>
    <row r="704" ht="15.75" customHeight="1" s="98">
      <c r="A704" s="12" t="n"/>
    </row>
    <row r="705" ht="15.75" customHeight="1" s="98">
      <c r="A705" s="12" t="n"/>
    </row>
    <row r="706" ht="15.75" customHeight="1" s="98">
      <c r="A706" s="12" t="n"/>
    </row>
    <row r="707" ht="15.75" customHeight="1" s="98">
      <c r="A707" s="12" t="n"/>
    </row>
    <row r="708" ht="15.75" customHeight="1" s="98">
      <c r="A708" s="12" t="n"/>
    </row>
    <row r="709" ht="15.75" customHeight="1" s="98">
      <c r="A709" s="12" t="n"/>
    </row>
    <row r="710" ht="15.75" customHeight="1" s="98">
      <c r="A710" s="12" t="n"/>
    </row>
    <row r="711" ht="15.75" customHeight="1" s="98">
      <c r="A711" s="12" t="n"/>
    </row>
    <row r="712" ht="15.75" customHeight="1" s="98">
      <c r="A712" s="12" t="n"/>
    </row>
    <row r="713" ht="15.75" customHeight="1" s="98">
      <c r="A713" s="12" t="n"/>
    </row>
    <row r="714" ht="15.75" customHeight="1" s="98">
      <c r="A714" s="12" t="n"/>
    </row>
    <row r="715" ht="15.75" customHeight="1" s="98">
      <c r="A715" s="12" t="n"/>
    </row>
    <row r="716" ht="15.75" customHeight="1" s="98">
      <c r="A716" s="12" t="n"/>
    </row>
    <row r="717" ht="15.75" customHeight="1" s="98">
      <c r="A717" s="12" t="n"/>
    </row>
    <row r="718" ht="15.75" customHeight="1" s="98">
      <c r="A718" s="12" t="n"/>
    </row>
    <row r="719" ht="15.75" customHeight="1" s="98">
      <c r="A719" s="12" t="n"/>
    </row>
    <row r="720" ht="15.75" customHeight="1" s="98">
      <c r="A720" s="12" t="n"/>
    </row>
    <row r="721" ht="15.75" customHeight="1" s="98">
      <c r="A721" s="12" t="n"/>
    </row>
    <row r="722" ht="15.75" customHeight="1" s="98">
      <c r="A722" s="12" t="n"/>
    </row>
    <row r="723" ht="15.75" customHeight="1" s="98">
      <c r="A723" s="12" t="n"/>
    </row>
    <row r="724" ht="15.75" customHeight="1" s="98">
      <c r="A724" s="12" t="n"/>
    </row>
    <row r="725" ht="15.75" customHeight="1" s="98">
      <c r="A725" s="12" t="n"/>
    </row>
    <row r="726" ht="15.75" customHeight="1" s="98">
      <c r="A726" s="12" t="n"/>
    </row>
    <row r="727" ht="15.75" customHeight="1" s="98">
      <c r="A727" s="12" t="n"/>
    </row>
    <row r="728" ht="15.75" customHeight="1" s="98">
      <c r="A728" s="12" t="n"/>
    </row>
    <row r="729" ht="15.75" customHeight="1" s="98">
      <c r="A729" s="12" t="n"/>
    </row>
    <row r="730" ht="15.75" customHeight="1" s="98">
      <c r="A730" s="12" t="n"/>
    </row>
    <row r="731" ht="15.75" customHeight="1" s="98">
      <c r="A731" s="12" t="n"/>
    </row>
    <row r="732" ht="15.75" customHeight="1" s="98">
      <c r="A732" s="12" t="n"/>
    </row>
    <row r="733" ht="15.75" customHeight="1" s="98">
      <c r="A733" s="12" t="n"/>
    </row>
    <row r="734" ht="15.75" customHeight="1" s="98">
      <c r="A734" s="12" t="n"/>
    </row>
    <row r="735" ht="15.75" customHeight="1" s="98">
      <c r="A735" s="12" t="n"/>
    </row>
    <row r="736" ht="15.75" customHeight="1" s="98">
      <c r="A736" s="12" t="n"/>
    </row>
    <row r="737" ht="15.75" customHeight="1" s="98">
      <c r="A737" s="12" t="n"/>
    </row>
    <row r="738" ht="15.75" customHeight="1" s="98">
      <c r="A738" s="12" t="n"/>
    </row>
    <row r="739" ht="15.75" customHeight="1" s="98">
      <c r="A739" s="12" t="n"/>
    </row>
    <row r="740" ht="15.75" customHeight="1" s="98">
      <c r="A740" s="12" t="n"/>
    </row>
    <row r="741" ht="15.75" customHeight="1" s="98">
      <c r="A741" s="12" t="n"/>
    </row>
    <row r="742" ht="15.75" customHeight="1" s="98">
      <c r="A742" s="12" t="n"/>
    </row>
    <row r="743" ht="15.75" customHeight="1" s="98">
      <c r="A743" s="12" t="n"/>
    </row>
    <row r="744" ht="15.75" customHeight="1" s="98">
      <c r="A744" s="12" t="n"/>
    </row>
    <row r="745" ht="15.75" customHeight="1" s="98">
      <c r="A745" s="12" t="n"/>
    </row>
    <row r="746" ht="15.75" customHeight="1" s="98">
      <c r="A746" s="12" t="n"/>
    </row>
    <row r="747" ht="15.75" customHeight="1" s="98">
      <c r="A747" s="12" t="n"/>
    </row>
    <row r="748" ht="15.75" customHeight="1" s="98">
      <c r="A748" s="12" t="n"/>
    </row>
    <row r="749" ht="15.75" customHeight="1" s="98">
      <c r="A749" s="12" t="n"/>
    </row>
    <row r="750" ht="15.75" customHeight="1" s="98">
      <c r="A750" s="12" t="n"/>
    </row>
    <row r="751" ht="15.75" customHeight="1" s="98">
      <c r="A751" s="12" t="n"/>
    </row>
    <row r="752" ht="15.75" customHeight="1" s="98">
      <c r="A752" s="12" t="n"/>
    </row>
    <row r="753" ht="15.75" customHeight="1" s="98">
      <c r="A753" s="12" t="n"/>
    </row>
    <row r="754" ht="15.75" customHeight="1" s="98">
      <c r="A754" s="12" t="n"/>
    </row>
    <row r="755" ht="15.75" customHeight="1" s="98">
      <c r="A755" s="12" t="n"/>
    </row>
    <row r="756" ht="15.75" customHeight="1" s="98">
      <c r="A756" s="12" t="n"/>
    </row>
    <row r="757" ht="15.75" customHeight="1" s="98">
      <c r="A757" s="12" t="n"/>
    </row>
    <row r="758" ht="15.75" customHeight="1" s="98">
      <c r="A758" s="12" t="n"/>
    </row>
    <row r="759" ht="15.75" customHeight="1" s="98">
      <c r="A759" s="12" t="n"/>
    </row>
    <row r="760" ht="15.75" customHeight="1" s="98">
      <c r="A760" s="12" t="n"/>
    </row>
    <row r="761" ht="15.75" customHeight="1" s="98">
      <c r="A761" s="12" t="n"/>
    </row>
    <row r="762" ht="15.75" customHeight="1" s="98">
      <c r="A762" s="12" t="n"/>
    </row>
    <row r="763" ht="15.75" customHeight="1" s="98">
      <c r="A763" s="12" t="n"/>
    </row>
    <row r="764" ht="15.75" customHeight="1" s="98">
      <c r="A764" s="12" t="n"/>
    </row>
    <row r="765" ht="15.75" customHeight="1" s="98">
      <c r="A765" s="12" t="n"/>
    </row>
    <row r="766" ht="15.75" customHeight="1" s="98">
      <c r="A766" s="12" t="n"/>
    </row>
    <row r="767" ht="15.75" customHeight="1" s="98">
      <c r="A767" s="12" t="n"/>
    </row>
    <row r="768" ht="15.75" customHeight="1" s="98">
      <c r="A768" s="12" t="n"/>
    </row>
    <row r="769" ht="15.75" customHeight="1" s="98">
      <c r="A769" s="12" t="n"/>
    </row>
    <row r="770" ht="15.75" customHeight="1" s="98">
      <c r="A770" s="12" t="n"/>
    </row>
    <row r="771" ht="15.75" customHeight="1" s="98">
      <c r="A771" s="12" t="n"/>
    </row>
    <row r="772" ht="15.75" customHeight="1" s="98">
      <c r="A772" s="12" t="n"/>
    </row>
    <row r="773" ht="15.75" customHeight="1" s="98">
      <c r="A773" s="12" t="n"/>
    </row>
    <row r="774" ht="15.75" customHeight="1" s="98">
      <c r="A774" s="12" t="n"/>
    </row>
    <row r="775" ht="15.75" customHeight="1" s="98">
      <c r="A775" s="12" t="n"/>
    </row>
    <row r="776" ht="15.75" customHeight="1" s="98">
      <c r="A776" s="12" t="n"/>
    </row>
    <row r="777" ht="15.75" customHeight="1" s="98">
      <c r="A777" s="12" t="n"/>
    </row>
    <row r="778" ht="15.75" customHeight="1" s="98">
      <c r="A778" s="12" t="n"/>
    </row>
    <row r="779" ht="15.75" customHeight="1" s="98">
      <c r="A779" s="12" t="n"/>
    </row>
    <row r="780" ht="15.75" customHeight="1" s="98">
      <c r="A780" s="12" t="n"/>
    </row>
    <row r="781" ht="15.75" customHeight="1" s="98">
      <c r="A781" s="12" t="n"/>
    </row>
    <row r="782" ht="15.75" customHeight="1" s="98">
      <c r="A782" s="12" t="n"/>
    </row>
    <row r="783" ht="15.75" customHeight="1" s="98">
      <c r="A783" s="12" t="n"/>
    </row>
    <row r="784" ht="15.75" customHeight="1" s="98">
      <c r="A784" s="12" t="n"/>
    </row>
    <row r="785" ht="15.75" customHeight="1" s="98">
      <c r="A785" s="12" t="n"/>
    </row>
    <row r="786" ht="15.75" customHeight="1" s="98">
      <c r="A786" s="12" t="n"/>
    </row>
    <row r="787" ht="15.75" customHeight="1" s="98">
      <c r="A787" s="12" t="n"/>
    </row>
    <row r="788" ht="15.75" customHeight="1" s="98">
      <c r="A788" s="12" t="n"/>
    </row>
    <row r="789" ht="15.75" customHeight="1" s="98">
      <c r="A789" s="12" t="n"/>
    </row>
    <row r="790" ht="15.75" customHeight="1" s="98">
      <c r="A790" s="12" t="n"/>
    </row>
    <row r="791" ht="15.75" customHeight="1" s="98">
      <c r="A791" s="12" t="n"/>
    </row>
    <row r="792" ht="15.75" customHeight="1" s="98">
      <c r="A792" s="12" t="n"/>
    </row>
    <row r="793" ht="15.75" customHeight="1" s="98">
      <c r="A793" s="12" t="n"/>
    </row>
    <row r="794" ht="15.75" customHeight="1" s="98">
      <c r="A794" s="12" t="n"/>
    </row>
    <row r="795" ht="15.75" customHeight="1" s="98">
      <c r="A795" s="12" t="n"/>
    </row>
    <row r="796" ht="15.75" customHeight="1" s="98">
      <c r="A796" s="12" t="n"/>
    </row>
    <row r="797" ht="15.75" customHeight="1" s="98">
      <c r="A797" s="12" t="n"/>
    </row>
    <row r="798" ht="15.75" customHeight="1" s="98">
      <c r="A798" s="12" t="n"/>
    </row>
    <row r="799" ht="15.75" customHeight="1" s="98">
      <c r="A799" s="12" t="n"/>
    </row>
    <row r="800" ht="15.75" customHeight="1" s="98">
      <c r="A800" s="12" t="n"/>
    </row>
    <row r="801" ht="15.75" customHeight="1" s="98">
      <c r="A801" s="12" t="n"/>
    </row>
    <row r="802" ht="15.75" customHeight="1" s="98">
      <c r="A802" s="12" t="n"/>
    </row>
    <row r="803" ht="15.75" customHeight="1" s="98">
      <c r="A803" s="12" t="n"/>
    </row>
    <row r="804" ht="15.75" customHeight="1" s="98">
      <c r="A804" s="12" t="n"/>
    </row>
    <row r="805" ht="15.75" customHeight="1" s="98">
      <c r="A805" s="12" t="n"/>
    </row>
    <row r="806" ht="15.75" customHeight="1" s="98">
      <c r="A806" s="12" t="n"/>
    </row>
    <row r="807" ht="15.75" customHeight="1" s="98">
      <c r="A807" s="12" t="n"/>
    </row>
    <row r="808" ht="15.75" customHeight="1" s="98">
      <c r="A808" s="12" t="n"/>
    </row>
    <row r="809" ht="15.75" customHeight="1" s="98">
      <c r="A809" s="12" t="n"/>
    </row>
    <row r="810" ht="15.75" customHeight="1" s="98">
      <c r="A810" s="12" t="n"/>
    </row>
    <row r="811" ht="15.75" customHeight="1" s="98">
      <c r="A811" s="12" t="n"/>
    </row>
    <row r="812" ht="15.75" customHeight="1" s="98">
      <c r="A812" s="12" t="n"/>
    </row>
    <row r="813" ht="15.75" customHeight="1" s="98">
      <c r="A813" s="12" t="n"/>
    </row>
    <row r="814" ht="15.75" customHeight="1" s="98">
      <c r="A814" s="12" t="n"/>
    </row>
    <row r="815" ht="15.75" customHeight="1" s="98">
      <c r="A815" s="12" t="n"/>
    </row>
    <row r="816" ht="15.75" customHeight="1" s="98">
      <c r="A816" s="12" t="n"/>
    </row>
    <row r="817" ht="15.75" customHeight="1" s="98">
      <c r="A817" s="12" t="n"/>
    </row>
    <row r="818" ht="15.75" customHeight="1" s="98">
      <c r="A818" s="12" t="n"/>
    </row>
    <row r="819" ht="15.75" customHeight="1" s="98">
      <c r="A819" s="12" t="n"/>
    </row>
    <row r="820" ht="15.75" customHeight="1" s="98">
      <c r="A820" s="12" t="n"/>
    </row>
    <row r="821" ht="15.75" customHeight="1" s="98">
      <c r="A821" s="12" t="n"/>
    </row>
    <row r="822" ht="15.75" customHeight="1" s="98">
      <c r="A822" s="12" t="n"/>
    </row>
    <row r="823" ht="15.75" customHeight="1" s="98">
      <c r="A823" s="12" t="n"/>
    </row>
    <row r="824" ht="15.75" customHeight="1" s="98">
      <c r="A824" s="12" t="n"/>
    </row>
    <row r="825" ht="15.75" customHeight="1" s="98">
      <c r="A825" s="12" t="n"/>
    </row>
    <row r="826" ht="15.75" customHeight="1" s="98">
      <c r="A826" s="12" t="n"/>
    </row>
    <row r="827" ht="15.75" customHeight="1" s="98">
      <c r="A827" s="12" t="n"/>
    </row>
    <row r="828" ht="15.75" customHeight="1" s="98">
      <c r="A828" s="12" t="n"/>
    </row>
    <row r="829" ht="15.75" customHeight="1" s="98">
      <c r="A829" s="12" t="n"/>
    </row>
    <row r="830" ht="15.75" customHeight="1" s="98">
      <c r="A830" s="12" t="n"/>
    </row>
    <row r="831" ht="15.75" customHeight="1" s="98">
      <c r="A831" s="12" t="n"/>
    </row>
    <row r="832" ht="15.75" customHeight="1" s="98">
      <c r="A832" s="12" t="n"/>
    </row>
    <row r="833" ht="15.75" customHeight="1" s="98">
      <c r="A833" s="12" t="n"/>
    </row>
    <row r="834" ht="15.75" customHeight="1" s="98">
      <c r="A834" s="12" t="n"/>
    </row>
    <row r="835" ht="15.75" customHeight="1" s="98">
      <c r="A835" s="12" t="n"/>
    </row>
    <row r="836" ht="15.75" customHeight="1" s="98">
      <c r="A836" s="12" t="n"/>
    </row>
    <row r="837" ht="15.75" customHeight="1" s="98">
      <c r="A837" s="12" t="n"/>
    </row>
    <row r="838" ht="15.75" customHeight="1" s="98">
      <c r="A838" s="12" t="n"/>
    </row>
    <row r="839" ht="15.75" customHeight="1" s="98">
      <c r="A839" s="12" t="n"/>
    </row>
    <row r="840" ht="15.75" customHeight="1" s="98">
      <c r="A840" s="12" t="n"/>
    </row>
    <row r="841" ht="15.75" customHeight="1" s="98">
      <c r="A841" s="12" t="n"/>
    </row>
    <row r="842" ht="15.75" customHeight="1" s="98">
      <c r="A842" s="12" t="n"/>
    </row>
    <row r="843" ht="15.75" customHeight="1" s="98">
      <c r="A843" s="12" t="n"/>
    </row>
    <row r="844" ht="15.75" customHeight="1" s="98">
      <c r="A844" s="12" t="n"/>
    </row>
    <row r="845" ht="15.75" customHeight="1" s="98">
      <c r="A845" s="12" t="n"/>
    </row>
    <row r="846" ht="15.75" customHeight="1" s="98">
      <c r="A846" s="12" t="n"/>
    </row>
    <row r="847" ht="15.75" customHeight="1" s="98">
      <c r="A847" s="12" t="n"/>
    </row>
    <row r="848" ht="15.75" customHeight="1" s="98">
      <c r="A848" s="12" t="n"/>
    </row>
    <row r="849" ht="15.75" customHeight="1" s="98">
      <c r="A849" s="12" t="n"/>
    </row>
    <row r="850" ht="15.75" customHeight="1" s="98">
      <c r="A850" s="12" t="n"/>
    </row>
    <row r="851" ht="15.75" customHeight="1" s="98">
      <c r="A851" s="12" t="n"/>
    </row>
    <row r="852" ht="15.75" customHeight="1" s="98">
      <c r="A852" s="12" t="n"/>
    </row>
    <row r="853" ht="15.75" customHeight="1" s="98">
      <c r="A853" s="12" t="n"/>
    </row>
    <row r="854" ht="15.75" customHeight="1" s="98">
      <c r="A854" s="12" t="n"/>
    </row>
    <row r="855" ht="15.75" customHeight="1" s="98">
      <c r="A855" s="12" t="n"/>
    </row>
    <row r="856" ht="15.75" customHeight="1" s="98">
      <c r="A856" s="12" t="n"/>
    </row>
    <row r="857" ht="15.75" customHeight="1" s="98">
      <c r="A857" s="12" t="n"/>
    </row>
    <row r="858" ht="15.75" customHeight="1" s="98">
      <c r="A858" s="12" t="n"/>
    </row>
    <row r="859" ht="15.75" customHeight="1" s="98">
      <c r="A859" s="12" t="n"/>
    </row>
    <row r="860" ht="15.75" customHeight="1" s="98">
      <c r="A860" s="12" t="n"/>
    </row>
    <row r="861" ht="15.75" customHeight="1" s="98">
      <c r="A861" s="12" t="n"/>
    </row>
    <row r="862" ht="15.75" customHeight="1" s="98">
      <c r="A862" s="12" t="n"/>
    </row>
    <row r="863" ht="15.75" customHeight="1" s="98">
      <c r="A863" s="12" t="n"/>
    </row>
    <row r="864" ht="15.75" customHeight="1" s="98">
      <c r="A864" s="12" t="n"/>
    </row>
    <row r="865" ht="15.75" customHeight="1" s="98">
      <c r="A865" s="12" t="n"/>
    </row>
    <row r="866" ht="15.75" customHeight="1" s="98">
      <c r="A866" s="12" t="n"/>
    </row>
    <row r="867" ht="15.75" customHeight="1" s="98">
      <c r="A867" s="12" t="n"/>
    </row>
    <row r="868" ht="15.75" customHeight="1" s="98">
      <c r="A868" s="12" t="n"/>
    </row>
    <row r="869" ht="15.75" customHeight="1" s="98">
      <c r="A869" s="12" t="n"/>
    </row>
    <row r="870" ht="15.75" customHeight="1" s="98">
      <c r="A870" s="12" t="n"/>
    </row>
    <row r="871" ht="15.75" customHeight="1" s="98">
      <c r="A871" s="12" t="n"/>
    </row>
    <row r="872" ht="15.75" customHeight="1" s="98">
      <c r="A872" s="12" t="n"/>
    </row>
    <row r="873" ht="15.75" customHeight="1" s="98">
      <c r="A873" s="12" t="n"/>
    </row>
    <row r="874" ht="15.75" customHeight="1" s="98">
      <c r="A874" s="12" t="n"/>
    </row>
    <row r="875" ht="15.75" customHeight="1" s="98">
      <c r="A875" s="12" t="n"/>
    </row>
    <row r="876" ht="15.75" customHeight="1" s="98">
      <c r="A876" s="12" t="n"/>
    </row>
    <row r="877" ht="15.75" customHeight="1" s="98">
      <c r="A877" s="12" t="n"/>
    </row>
    <row r="878" ht="15.75" customHeight="1" s="98">
      <c r="A878" s="12" t="n"/>
    </row>
    <row r="879" ht="15.75" customHeight="1" s="98">
      <c r="A879" s="12" t="n"/>
    </row>
    <row r="880" ht="15.75" customHeight="1" s="98">
      <c r="A880" s="12" t="n"/>
    </row>
    <row r="881" ht="15.75" customHeight="1" s="98">
      <c r="A881" s="12" t="n"/>
    </row>
    <row r="882" ht="15.75" customHeight="1" s="98">
      <c r="A882" s="12" t="n"/>
    </row>
    <row r="883" ht="15.75" customHeight="1" s="98">
      <c r="A883" s="12" t="n"/>
    </row>
    <row r="884" ht="15.75" customHeight="1" s="98">
      <c r="A884" s="12" t="n"/>
    </row>
    <row r="885" ht="15.75" customHeight="1" s="98">
      <c r="A885" s="12" t="n"/>
    </row>
    <row r="886" ht="15.75" customHeight="1" s="98">
      <c r="A886" s="12" t="n"/>
    </row>
    <row r="887" ht="15.75" customHeight="1" s="98">
      <c r="A887" s="12" t="n"/>
    </row>
    <row r="888" ht="15.75" customHeight="1" s="98">
      <c r="A888" s="12" t="n"/>
    </row>
    <row r="889" ht="15.75" customHeight="1" s="98">
      <c r="A889" s="12" t="n"/>
    </row>
    <row r="890" ht="15.75" customHeight="1" s="98">
      <c r="A890" s="12" t="n"/>
    </row>
    <row r="891" ht="15.75" customHeight="1" s="98">
      <c r="A891" s="12" t="n"/>
    </row>
    <row r="892" ht="15.75" customHeight="1" s="98">
      <c r="A892" s="12" t="n"/>
    </row>
    <row r="893" ht="15.75" customHeight="1" s="98">
      <c r="A893" s="12" t="n"/>
    </row>
    <row r="894" ht="15.75" customHeight="1" s="98">
      <c r="A894" s="12" t="n"/>
    </row>
    <row r="895" ht="15.75" customHeight="1" s="98">
      <c r="A895" s="12" t="n"/>
    </row>
    <row r="896" ht="15.75" customHeight="1" s="98">
      <c r="A896" s="12" t="n"/>
    </row>
    <row r="897" ht="15.75" customHeight="1" s="98">
      <c r="A897" s="12" t="n"/>
    </row>
    <row r="898" ht="15.75" customHeight="1" s="98">
      <c r="A898" s="12" t="n"/>
    </row>
    <row r="899" ht="15.75" customHeight="1" s="98">
      <c r="A899" s="12" t="n"/>
    </row>
    <row r="900" ht="15.75" customHeight="1" s="98">
      <c r="A900" s="12" t="n"/>
    </row>
    <row r="901" ht="15.75" customHeight="1" s="98">
      <c r="A901" s="12" t="n"/>
    </row>
    <row r="902" ht="15.75" customHeight="1" s="98">
      <c r="A902" s="12" t="n"/>
    </row>
    <row r="903" ht="15.75" customHeight="1" s="98">
      <c r="A903" s="12" t="n"/>
    </row>
    <row r="904" ht="15.75" customHeight="1" s="98">
      <c r="A904" s="12" t="n"/>
    </row>
    <row r="905" ht="15.75" customHeight="1" s="98">
      <c r="A905" s="12" t="n"/>
    </row>
    <row r="906" ht="15.75" customHeight="1" s="98">
      <c r="A906" s="12" t="n"/>
    </row>
    <row r="907" ht="15.75" customHeight="1" s="98">
      <c r="A907" s="12" t="n"/>
    </row>
    <row r="908" ht="15.75" customHeight="1" s="98">
      <c r="A908" s="12" t="n"/>
    </row>
    <row r="909" ht="15.75" customHeight="1" s="98">
      <c r="A909" s="12" t="n"/>
    </row>
    <row r="910" ht="15.75" customHeight="1" s="98">
      <c r="A910" s="12" t="n"/>
    </row>
    <row r="911" ht="15.75" customHeight="1" s="98">
      <c r="A911" s="12" t="n"/>
    </row>
    <row r="912" ht="15.75" customHeight="1" s="98">
      <c r="A912" s="12" t="n"/>
    </row>
    <row r="913" ht="15.75" customHeight="1" s="98">
      <c r="A913" s="12" t="n"/>
    </row>
    <row r="914" ht="15.75" customHeight="1" s="98">
      <c r="A914" s="12" t="n"/>
    </row>
    <row r="915" ht="15.75" customHeight="1" s="98">
      <c r="A915" s="12" t="n"/>
    </row>
    <row r="916" ht="15.75" customHeight="1" s="98">
      <c r="A916" s="12" t="n"/>
    </row>
    <row r="917" ht="15.75" customHeight="1" s="98">
      <c r="A917" s="12" t="n"/>
    </row>
    <row r="918" ht="15.75" customHeight="1" s="98">
      <c r="A918" s="12" t="n"/>
    </row>
    <row r="919" ht="15.75" customHeight="1" s="98">
      <c r="A919" s="12" t="n"/>
    </row>
    <row r="920" ht="15.75" customHeight="1" s="98">
      <c r="A920" s="12" t="n"/>
    </row>
    <row r="921" ht="15.75" customHeight="1" s="98">
      <c r="A921" s="12" t="n"/>
    </row>
    <row r="922" ht="15.75" customHeight="1" s="98">
      <c r="A922" s="12" t="n"/>
    </row>
    <row r="923" ht="15.75" customHeight="1" s="98">
      <c r="A923" s="12" t="n"/>
    </row>
    <row r="924" ht="15.75" customHeight="1" s="98">
      <c r="A924" s="12" t="n"/>
    </row>
    <row r="925" ht="15.75" customHeight="1" s="98">
      <c r="A925" s="12" t="n"/>
    </row>
    <row r="926" ht="15.75" customHeight="1" s="98">
      <c r="A926" s="12" t="n"/>
    </row>
    <row r="927" ht="15.75" customHeight="1" s="98">
      <c r="A927" s="12" t="n"/>
    </row>
    <row r="928" ht="15.75" customHeight="1" s="98">
      <c r="A928" s="12" t="n"/>
    </row>
    <row r="929" ht="15.75" customHeight="1" s="98">
      <c r="A929" s="12" t="n"/>
    </row>
    <row r="930" ht="15.75" customHeight="1" s="98">
      <c r="A930" s="12" t="n"/>
    </row>
    <row r="931" ht="15.75" customHeight="1" s="98">
      <c r="A931" s="12" t="n"/>
    </row>
    <row r="932" ht="15.75" customHeight="1" s="98">
      <c r="A932" s="12" t="n"/>
    </row>
    <row r="933" ht="15.75" customHeight="1" s="98">
      <c r="A933" s="12" t="n"/>
    </row>
    <row r="934" ht="15.75" customHeight="1" s="98">
      <c r="A934" s="12" t="n"/>
    </row>
    <row r="935" ht="15.75" customHeight="1" s="98">
      <c r="A935" s="12" t="n"/>
    </row>
    <row r="936" ht="15.75" customHeight="1" s="98">
      <c r="A936" s="12" t="n"/>
    </row>
    <row r="937" ht="15.75" customHeight="1" s="98">
      <c r="A937" s="12" t="n"/>
    </row>
    <row r="938" ht="15.75" customHeight="1" s="98">
      <c r="A938" s="12" t="n"/>
    </row>
    <row r="939" ht="15.75" customHeight="1" s="98">
      <c r="A939" s="12" t="n"/>
    </row>
    <row r="940" ht="15.75" customHeight="1" s="98">
      <c r="A940" s="12" t="n"/>
    </row>
    <row r="941" ht="15.75" customHeight="1" s="98">
      <c r="A941" s="12" t="n"/>
    </row>
    <row r="942" ht="15.75" customHeight="1" s="98">
      <c r="A942" s="12" t="n"/>
    </row>
    <row r="943" ht="15.75" customHeight="1" s="98">
      <c r="A943" s="12" t="n"/>
    </row>
    <row r="944" ht="15.75" customHeight="1" s="98">
      <c r="A944" s="12" t="n"/>
    </row>
    <row r="945" ht="15.75" customHeight="1" s="98">
      <c r="A945" s="12" t="n"/>
    </row>
    <row r="946" ht="15.75" customHeight="1" s="98">
      <c r="A946" s="12" t="n"/>
    </row>
    <row r="947" ht="15.75" customHeight="1" s="98">
      <c r="A947" s="12" t="n"/>
    </row>
    <row r="948" ht="15.75" customHeight="1" s="98">
      <c r="A948" s="12" t="n"/>
    </row>
    <row r="949" ht="15.75" customHeight="1" s="98">
      <c r="A949" s="12" t="n"/>
    </row>
    <row r="950" ht="15.75" customHeight="1" s="98">
      <c r="A950" s="12" t="n"/>
    </row>
    <row r="951" ht="15.75" customHeight="1" s="98">
      <c r="A951" s="12" t="n"/>
    </row>
    <row r="952" ht="15.75" customHeight="1" s="98">
      <c r="A952" s="12" t="n"/>
    </row>
    <row r="953" ht="15.75" customHeight="1" s="98">
      <c r="A953" s="12" t="n"/>
    </row>
    <row r="954" ht="15.75" customHeight="1" s="98">
      <c r="A954" s="12" t="n"/>
    </row>
    <row r="955" ht="15.75" customHeight="1" s="98">
      <c r="A955" s="12" t="n"/>
    </row>
    <row r="956" ht="15.75" customHeight="1" s="98">
      <c r="A956" s="12" t="n"/>
    </row>
    <row r="957" ht="15.75" customHeight="1" s="98">
      <c r="A957" s="12" t="n"/>
    </row>
    <row r="958" ht="15.75" customHeight="1" s="98">
      <c r="A958" s="12" t="n"/>
    </row>
    <row r="959" ht="15.75" customHeight="1" s="98">
      <c r="A959" s="12" t="n"/>
    </row>
    <row r="960" ht="15.75" customHeight="1" s="98">
      <c r="A960" s="12" t="n"/>
    </row>
    <row r="961" ht="15.75" customHeight="1" s="98">
      <c r="A961" s="12" t="n"/>
    </row>
    <row r="962" ht="15.75" customHeight="1" s="98">
      <c r="A962" s="12" t="n"/>
    </row>
    <row r="963" ht="15.75" customHeight="1" s="98">
      <c r="A963" s="12" t="n"/>
    </row>
    <row r="964" ht="15.75" customHeight="1" s="98">
      <c r="A964" s="12" t="n"/>
    </row>
    <row r="965" ht="15.75" customHeight="1" s="98">
      <c r="A965" s="12" t="n"/>
    </row>
    <row r="966" ht="15.75" customHeight="1" s="98">
      <c r="A966" s="12" t="n"/>
    </row>
    <row r="967" ht="15.75" customHeight="1" s="98">
      <c r="A967" s="12" t="n"/>
    </row>
    <row r="968" ht="15.75" customHeight="1" s="98">
      <c r="A968" s="12" t="n"/>
    </row>
    <row r="969" ht="15.75" customHeight="1" s="98">
      <c r="A969" s="12" t="n"/>
    </row>
    <row r="970" ht="15.75" customHeight="1" s="98">
      <c r="A970" s="12" t="n"/>
    </row>
    <row r="971" ht="15.75" customHeight="1" s="98">
      <c r="A971" s="12" t="n"/>
    </row>
    <row r="972" ht="15.75" customHeight="1" s="98">
      <c r="A972" s="12" t="n"/>
    </row>
    <row r="973" ht="15.75" customHeight="1" s="98">
      <c r="A973" s="12" t="n"/>
    </row>
    <row r="974" ht="15.75" customHeight="1" s="98">
      <c r="A974" s="12" t="n"/>
    </row>
    <row r="975" ht="15.75" customHeight="1" s="98">
      <c r="A975" s="12" t="n"/>
    </row>
    <row r="976" ht="15.75" customHeight="1" s="98">
      <c r="A976" s="12" t="n"/>
    </row>
    <row r="977" ht="15.75" customHeight="1" s="98">
      <c r="A977" s="12" t="n"/>
    </row>
    <row r="978" ht="15.75" customHeight="1" s="98">
      <c r="A978" s="12" t="n"/>
    </row>
    <row r="979" ht="15.75" customHeight="1" s="98">
      <c r="A979" s="12" t="n"/>
    </row>
    <row r="980" ht="15.75" customHeight="1" s="98">
      <c r="A980" s="12" t="n"/>
    </row>
    <row r="981" ht="15.75" customHeight="1" s="98">
      <c r="A981" s="12" t="n"/>
    </row>
    <row r="982" ht="15.75" customHeight="1" s="98">
      <c r="A982" s="12" t="n"/>
    </row>
    <row r="983" ht="15.75" customHeight="1" s="98">
      <c r="A983" s="12" t="n"/>
    </row>
    <row r="984" ht="15.75" customHeight="1" s="98">
      <c r="A984" s="12" t="n"/>
    </row>
    <row r="985" ht="15.75" customHeight="1" s="98">
      <c r="A985" s="12" t="n"/>
    </row>
    <row r="986" ht="15.75" customHeight="1" s="98">
      <c r="A986" s="12" t="n"/>
    </row>
    <row r="987" ht="15.75" customHeight="1" s="98">
      <c r="A987" s="12" t="n"/>
    </row>
    <row r="988" ht="15.75" customHeight="1" s="98">
      <c r="A988" s="12" t="n"/>
    </row>
    <row r="989" ht="15.75" customHeight="1" s="98">
      <c r="A989" s="12" t="n"/>
    </row>
    <row r="990" ht="15.75" customHeight="1" s="98">
      <c r="A990" s="12" t="n"/>
    </row>
    <row r="991" ht="15.75" customHeight="1" s="98">
      <c r="A991" s="12" t="n"/>
    </row>
    <row r="992" ht="15.75" customHeight="1" s="98">
      <c r="A992" s="12" t="n"/>
    </row>
    <row r="993" ht="15.75" customHeight="1" s="98">
      <c r="A993" s="12" t="n"/>
    </row>
    <row r="994" ht="15.75" customHeight="1" s="98">
      <c r="A994" s="12" t="n"/>
    </row>
    <row r="995" ht="15.75" customHeight="1" s="98">
      <c r="A995" s="12" t="n"/>
    </row>
    <row r="996" ht="15.75" customHeight="1" s="98">
      <c r="A996" s="12" t="n"/>
    </row>
    <row r="997" ht="15.75" customHeight="1" s="98">
      <c r="A997" s="12" t="n"/>
    </row>
    <row r="998" ht="15.75" customHeight="1" s="98">
      <c r="A998" s="12" t="n"/>
    </row>
    <row r="999" ht="15.75" customHeight="1" s="98">
      <c r="A999" s="12" t="n"/>
    </row>
    <row r="1000" ht="15.75" customHeight="1" s="98">
      <c r="A1000" s="1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9.5" customWidth="1" style="98" min="1" max="13"/>
  </cols>
  <sheetData>
    <row r="1" ht="15.75" customHeight="1" s="98">
      <c r="A1" s="82" t="n"/>
      <c r="B1" s="99" t="inlineStr">
        <is>
          <t>BLOCO 01</t>
        </is>
      </c>
      <c r="E1" s="100" t="n"/>
      <c r="F1" s="99" t="inlineStr">
        <is>
          <t>BLOCO 02</t>
        </is>
      </c>
      <c r="I1" s="100" t="n"/>
      <c r="J1" s="99" t="inlineStr">
        <is>
          <t>BLOCO 03</t>
        </is>
      </c>
      <c r="M1" s="100" t="n"/>
    </row>
    <row r="2" ht="37.5" customHeight="1" s="98">
      <c r="A2" s="85" t="n"/>
      <c r="B2" s="86" t="inlineStr">
        <is>
          <t>S01</t>
        </is>
      </c>
      <c r="C2" s="86" t="inlineStr">
        <is>
          <t>S02</t>
        </is>
      </c>
      <c r="D2" s="86" t="inlineStr">
        <is>
          <t>S03</t>
        </is>
      </c>
      <c r="E2" s="87" t="inlineStr">
        <is>
          <t>S04</t>
        </is>
      </c>
      <c r="F2" s="86" t="inlineStr">
        <is>
          <t>S05</t>
        </is>
      </c>
      <c r="G2" s="86" t="inlineStr">
        <is>
          <t>S06</t>
        </is>
      </c>
      <c r="H2" s="86" t="inlineStr">
        <is>
          <t>S07</t>
        </is>
      </c>
      <c r="I2" s="87" t="inlineStr">
        <is>
          <t>S08</t>
        </is>
      </c>
      <c r="J2" s="86" t="inlineStr">
        <is>
          <t>S09</t>
        </is>
      </c>
      <c r="K2" s="86" t="inlineStr">
        <is>
          <t>S10</t>
        </is>
      </c>
      <c r="L2" s="86" t="inlineStr">
        <is>
          <t>S11</t>
        </is>
      </c>
      <c r="M2" s="87" t="inlineStr">
        <is>
          <t>S12</t>
        </is>
      </c>
    </row>
    <row r="3" ht="37.5" customHeight="1" s="98">
      <c r="A3" s="88" t="inlineStr">
        <is>
          <t>VTT</t>
        </is>
      </c>
      <c r="B3" s="89">
        <f>SUMPRODUCT('bloco 01'!C6:C15, 'bloco 01'!D6:D15, 'bloco 01'!E6:E15) + SUMPRODUCT('bloco 01'!C21:C30, 'bloco 01'!D21:D30, 'bloco 01'!E21:E30) + SUMPRODUCT('bloco 01'!C36:C45, 'bloco 01'!D36:D45, 'bloco 01'!E36:E45)</f>
        <v/>
      </c>
      <c r="C3" s="89">
        <f>SUMPRODUCT('bloco 01'!I6:I15, 'bloco 01'!J6:J15, 'bloco 01'!K6:K15) + SUMPRODUCT('bloco 01'!I21:I30, 'bloco 01'!J21:J30, 'bloco 01'!K21:K30) + SUMPRODUCT('bloco 01'!I36:I45, 'bloco 01'!J36:J45, 'bloco 01'!K36:K45)</f>
        <v/>
      </c>
      <c r="D3" s="89">
        <f>SUMPRODUCT('bloco 01'!O6:O15, 'bloco 01'!P6:P15, 'bloco 01'!Q6:Q15) + SUMPRODUCT('bloco 01'!O21:O30, 'bloco 01'!P21:P30, 'bloco 01'!Q21:Q30) + SUMPRODUCT('bloco 01'!O36:O45, 'bloco 01'!P36:P45, 'bloco 01'!Q36:Q45)</f>
        <v/>
      </c>
      <c r="E3" s="90">
        <f>SUMPRODUCT('bloco 01'!U6:U15, 'bloco 01'!V6:V15, 'bloco 01'!W6:W15) + SUMPRODUCT('bloco 01'!U21:U30, 'bloco 01'!V21:V30, 'bloco 01'!W21:W30) + SUMPRODUCT('bloco 01'!U36:U45, 'bloco 01'!V36:V45, 'bloco 01'!W36:W45)</f>
        <v/>
      </c>
      <c r="F3" s="89">
        <f>SUMPRODUCT('bloco 02'!C6:C15, 'bloco 02'!D6:D15, 'bloco 02'!E6:E15) + SUMPRODUCT('bloco 02'!C21:C30, 'bloco 02'!D21:D30, 'bloco 02'!E21:E30) + SUMPRODUCT('bloco 02'!C36:C45, 'bloco 02'!D36:D45, 'bloco 02'!E36:E45)</f>
        <v/>
      </c>
      <c r="G3" s="89">
        <f>SUMPRODUCT('bloco 02'!I6:I15, 'bloco 02'!J6:J15, 'bloco 02'!K6:K15) + SUMPRODUCT('bloco 02'!I21:I30, 'bloco 02'!J21:J30, 'bloco 02'!K21:K30) + SUMPRODUCT('bloco 02'!I36:I45, 'bloco 02'!J36:J45, 'bloco 02'!K36:K45)</f>
        <v/>
      </c>
      <c r="H3" s="89">
        <f>SUMPRODUCT('bloco 02'!O6:O15, 'bloco 02'!P6:P15, 'bloco 02'!Q6:Q15) + SUMPRODUCT('bloco 02'!O21:O30, 'bloco 02'!P21:P30, 'bloco 02'!Q21:Q30) + SUMPRODUCT('bloco 02'!O36:O45, 'bloco 02'!P36:P45, 'bloco 02'!Q36:Q45)</f>
        <v/>
      </c>
      <c r="I3" s="90">
        <f>SUMPRODUCT('bloco 02'!U6:U15, 'bloco 02'!V6:V15, 'bloco 02'!W6:W15) + SUMPRODUCT('bloco 02'!U21:U30, 'bloco 02'!V21:V30, 'bloco 02'!W21:W30) + SUMPRODUCT('bloco 02'!U36:U45, 'bloco 02'!V36:V45, 'bloco 02'!W36:W45)</f>
        <v/>
      </c>
      <c r="J3" s="89">
        <f>SUMPRODUCT('bloco 03'!C6:C15, 'bloco 03'!D6:D15, 'bloco 03'!E6:E15) + SUMPRODUCT('bloco 03'!C21:C30, 'bloco 03'!D21:D30, 'bloco 03'!E21:E30) + SUMPRODUCT('bloco 03'!C36:C45, 'bloco 03'!D36:D45, 'bloco 03'!E36:E45)</f>
        <v/>
      </c>
      <c r="K3" s="89">
        <f>SUMPRODUCT('bloco 03'!I6:I15, 'bloco 03'!J6:J15, 'bloco 03'!K6:K15) + SUMPRODUCT('bloco 03'!I21:I30, 'bloco 03'!J21:J30, 'bloco 03'!K21:K30) + SUMPRODUCT('bloco 03'!I36:I45, 'bloco 03'!J36:J45, 'bloco 03'!K36:K45)</f>
        <v/>
      </c>
      <c r="L3" s="89">
        <f>SUMPRODUCT('bloco 03'!O6:O15, 'bloco 03'!P6:P15, 'bloco 03'!Q6:Q15) + SUMPRODUCT('bloco 03'!O21:O30, 'bloco 03'!P21:P30, 'bloco 03'!Q21:Q30) + SUMPRODUCT('bloco 03'!O36:O45, 'bloco 03'!P36:P45, 'bloco 03'!Q36:Q45)</f>
        <v/>
      </c>
      <c r="M3" s="90">
        <f>SUMPRODUCT('bloco 03'!U6:U15, 'bloco 03'!V6:V15, 'bloco 03'!W6:W15) + SUMPRODUCT('bloco 03'!U21:U30, 'bloco 03'!V21:V30, 'bloco 03'!W21:W30) + SUMPRODUCT('bloco 03'!U36:U45, 'bloco 03'!V36:V45, 'bloco 03'!W36:W45)</f>
        <v/>
      </c>
    </row>
    <row r="4" ht="37.5" customHeight="1" s="98">
      <c r="A4" s="88" t="inlineStr">
        <is>
          <t>VTR</t>
        </is>
      </c>
      <c r="B4" s="89">
        <f>SUMPRODUCT('bloco 01'!C6:C15, 'bloco 01'!D6:D15) + SUMPRODUCT('bloco 01'!C21:C30, 'bloco 01'!D21:D30) + SUMPRODUCT('bloco 01'!C36:C45, 'bloco 01'!D36:D45)</f>
        <v/>
      </c>
      <c r="C4" s="89">
        <f>SUMPRODUCT('bloco 01'!I6:I15, 'bloco 01'!J6:J15) + SUMPRODUCT('bloco 01'!I21:I30, 'bloco 01'!J21:J30) + SUMPRODUCT('bloco 01'!I36:I45, 'bloco 01'!J36:J45)</f>
        <v/>
      </c>
      <c r="D4" s="89">
        <f>SUMPRODUCT('bloco 01'!O6:O15, 'bloco 01'!P6:P15) + SUMPRODUCT('bloco 01'!O21:O30, 'bloco 01'!P21:P30) + SUMPRODUCT('bloco 01'!O36:O45, 'bloco 01'!P36:P45)</f>
        <v/>
      </c>
      <c r="E4" s="90">
        <f>SUMPRODUCT('bloco 01'!U6:U15, 'bloco 01'!V6:V15) + SUMPRODUCT('bloco 01'!U21:U30, 'bloco 01'!V21:V30) + SUMPRODUCT('bloco 01'!U36:U45, 'bloco 01'!V36:V45)</f>
        <v/>
      </c>
      <c r="F4" s="89">
        <f>SUMPRODUCT('bloco 02'!C6:C15, 'bloco 02'!D6:D15) + SUMPRODUCT('bloco 02'!C21:C30, 'bloco 02'!D21:D30) + SUMPRODUCT('bloco 02'!C36:C45, 'bloco 02'!D36:D45)</f>
        <v/>
      </c>
      <c r="G4" s="89">
        <f>SUMPRODUCT('bloco 02'!I6:I15, 'bloco 02'!J6:J15) + SUMPRODUCT('bloco 02'!I21:I30, 'bloco 02'!J21:J30) + SUMPRODUCT('bloco 02'!I36:I45, 'bloco 02'!J36:J45)</f>
        <v/>
      </c>
      <c r="H4" s="89">
        <f>SUMPRODUCT('bloco 02'!O6:O15, 'bloco 02'!P6:P15) + SUMPRODUCT('bloco 02'!O21:O30, 'bloco 02'!P21:P30) + SUMPRODUCT('bloco 02'!O36:O45, 'bloco 02'!P36:P45)</f>
        <v/>
      </c>
      <c r="I4" s="90">
        <f>SUMPRODUCT('bloco 02'!U6:U15, 'bloco 02'!V6:V15) + SUMPRODUCT('bloco 02'!U21:U30, 'bloco 02'!V21:V30) + SUMPRODUCT('bloco 02'!U36:U45, 'bloco 02'!V36:V45)</f>
        <v/>
      </c>
      <c r="J4" s="89">
        <f>SUMPRODUCT('bloco 03'!C6:C15, 'bloco 03'!D6:D15) + SUMPRODUCT('bloco 03'!C21:C30, 'bloco 03'!D21:D30) + SUMPRODUCT('bloco 03'!C36:C45, 'bloco 03'!D36:D45)</f>
        <v/>
      </c>
      <c r="K4" s="89">
        <f>SUMPRODUCT('bloco 03'!I6:I15, 'bloco 03'!J6:J15) + SUMPRODUCT('bloco 03'!I21:I30, 'bloco 03'!J21:J30) + SUMPRODUCT('bloco 03'!I36:I45, 'bloco 03'!J36:J45)</f>
        <v/>
      </c>
      <c r="L4" s="89">
        <f>SUMPRODUCT('bloco 03'!O6:O15, 'bloco 03'!P6:P15) + SUMPRODUCT('bloco 03'!O21:O30, 'bloco 03'!P21:P30) + SUMPRODUCT('bloco 03'!O36:O45, 'bloco 03'!P36:P45)</f>
        <v/>
      </c>
      <c r="M4" s="90">
        <f>SUMPRODUCT('bloco 03'!U6:U15, 'bloco 03'!V6:V15) + SUMPRODUCT('bloco 03'!U21:U30, 'bloco 03'!V21:V30) + SUMPRODUCT('bloco 03'!U36:U45, 'bloco 03'!V36:V45)</f>
        <v/>
      </c>
    </row>
    <row r="5" ht="37.5" customHeight="1" s="98">
      <c r="A5" s="88" t="inlineStr">
        <is>
          <t>%1RM</t>
        </is>
      </c>
      <c r="B5" s="91">
        <f t="array" ref="B5">IFERROR(AVERAGEIF({'bloco 01'!F6:F15; 'bloco 01'!F21:F30; 'bloco 01'!F36:F45}, "&gt;0"), "")</f>
        <v/>
      </c>
      <c r="C5" s="91">
        <f t="array" ref="C5">IFERROR(AVERAGEIF({'bloco 01'!L6:L15; 'bloco 01'!L21:L30; 'bloco 01'!L36:L45}, "&gt;0"), "")</f>
        <v/>
      </c>
      <c r="D5" s="91">
        <f t="array" ref="D5">IFERROR(AVERAGEIF({'bloco 01'!R6:R15; 'bloco 01'!R21:R30; 'bloco 01'!R36:R45}, "&gt;0"), "")</f>
        <v/>
      </c>
      <c r="E5" s="92">
        <f t="array" ref="E5">IFERROR(AVERAGEIF({'bloco 01'!X6:X15; 'bloco 01'!X21:X30; 'bloco 01'!X36:X45}, "&gt;0"), "")</f>
        <v/>
      </c>
      <c r="F5" s="91">
        <f t="array" ref="F5">IFERROR(AVERAGEIF({'bloco 02'!F6:F15; 'bloco 02'!F21:F30; 'bloco 02'!F36:F45}, "&gt;0"), "")</f>
        <v/>
      </c>
      <c r="G5" s="91">
        <f t="array" ref="G5">IFERROR(AVERAGEIF({'bloco 02'!L6:L15; 'bloco 02'!L21:L30; 'bloco 02'!L36:L45}, "&gt;0"), "")</f>
        <v/>
      </c>
      <c r="H5" s="91">
        <f t="array" ref="H5">IFERROR(AVERAGEIF({'bloco 02'!R6:R15; 'bloco 02'!R21:R30; 'bloco 02'!R36:R45}, "&gt;0"), "")</f>
        <v/>
      </c>
      <c r="I5" s="92">
        <f t="array" ref="I5">IFERROR(AVERAGEIF({'bloco 02'!X6:X15; 'bloco 02'!X21:X30; 'bloco 02'!X36:X45}, "&gt;0"), "")</f>
        <v/>
      </c>
      <c r="J5" s="91">
        <f t="array" ref="J5">IFERROR(AVERAGEIF({'bloco 03'!F6:F15; 'bloco 03'!F21:F30; 'bloco 03'!F36:F45}, "&gt;0"), "")</f>
        <v/>
      </c>
      <c r="K5" s="91">
        <f t="array" ref="K5">IFERROR(AVERAGEIF({'bloco 03'!L6:L15; 'bloco 03'!L21:L30; 'bloco 03'!L36:L45}, "&gt;0"), "")</f>
        <v/>
      </c>
      <c r="L5" s="91">
        <f t="array" ref="L5">IFERROR(AVERAGEIF({'bloco 03'!R6:R15; 'bloco 03'!R21:R30; 'bloco 03'!R36:R45}, "&gt;0"), "")</f>
        <v/>
      </c>
      <c r="M5" s="92">
        <f t="array" ref="M5">IFERROR(AVERAGEIF({'bloco 03'!X6:X15; 'bloco 03'!X21:X30; 'bloco 03'!X36:X45}, "&gt;0"), "")</f>
        <v/>
      </c>
    </row>
    <row r="6" ht="37.5" customHeight="1" s="98">
      <c r="A6" s="93" t="inlineStr">
        <is>
          <t>DATA</t>
        </is>
      </c>
      <c r="B6" s="94" t="n">
        <v>46027</v>
      </c>
      <c r="C6" s="94">
        <f>B6+7</f>
        <v/>
      </c>
      <c r="D6" s="94">
        <f>C6+7</f>
        <v/>
      </c>
      <c r="E6" s="95">
        <f>D6+7</f>
        <v/>
      </c>
      <c r="F6" s="94">
        <f>E6+7</f>
        <v/>
      </c>
      <c r="G6" s="94">
        <f>F6+7</f>
        <v/>
      </c>
      <c r="H6" s="94">
        <f>G6+7</f>
        <v/>
      </c>
      <c r="I6" s="95">
        <f>H6+7</f>
        <v/>
      </c>
      <c r="J6" s="94">
        <f>I6+7</f>
        <v/>
      </c>
      <c r="K6" s="94">
        <f>J6+7</f>
        <v/>
      </c>
      <c r="L6" s="94">
        <f>K6+7</f>
        <v/>
      </c>
      <c r="M6" s="95">
        <f>L6+7</f>
        <v/>
      </c>
    </row>
    <row r="7" ht="37.5" customHeight="1" s="98">
      <c r="A7" s="93" t="inlineStr">
        <is>
          <t>OBS</t>
        </is>
      </c>
      <c r="B7" s="96" t="n"/>
      <c r="C7" s="96" t="n"/>
      <c r="D7" s="96" t="n"/>
      <c r="E7" s="97" t="n"/>
      <c r="F7" s="96" t="n"/>
      <c r="G7" s="96" t="n"/>
      <c r="H7" s="96" t="n"/>
      <c r="I7" s="97" t="n"/>
      <c r="J7" s="96" t="n"/>
      <c r="K7" s="96" t="n"/>
      <c r="L7" s="96" t="n"/>
      <c r="M7" s="97" t="n"/>
    </row>
    <row r="8" ht="15.75" customHeight="1" s="9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 ht="15.75" customHeight="1" s="98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 ht="15.75" customHeight="1" s="98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5.75" customHeight="1" s="98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 ht="15.75" customHeight="1" s="98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 ht="15.75" customHeight="1" s="98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 ht="15.75" customHeight="1" s="98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5.75" customHeight="1" s="98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5.75" customHeight="1" s="98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 ht="15.75" customHeight="1" s="98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 ht="15.75" customHeight="1" s="9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5.75" customHeight="1" s="98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15.75" customHeight="1" s="98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15.75" customHeight="1" s="98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 ht="15.75" customHeight="1" s="98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5.75" customHeight="1" s="98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 ht="15.75" customHeight="1" s="98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 ht="15.75" customHeight="1" s="98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 ht="15.75" customHeight="1" s="98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5.75" customHeight="1" s="98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 ht="15.75" customHeight="1" s="9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 ht="15.75" customHeight="1" s="98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 ht="15.75" customHeight="1" s="98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5.75" customHeight="1" s="98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 ht="15.75" customHeight="1" s="98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 ht="15.75" customHeight="1" s="98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 ht="15.75" customHeight="1" s="98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5.75" customHeight="1" s="98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 ht="15.75" customHeight="1" s="98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 ht="15.75" customHeight="1" s="98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 ht="15.75" customHeight="1" s="9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5.75" customHeight="1" s="98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 ht="15.75" customHeight="1" s="98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 ht="15.75" customHeight="1" s="98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 ht="15.75" customHeight="1" s="98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5.75" customHeight="1" s="98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 ht="15.75" customHeight="1" s="98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 ht="15.75" customHeight="1" s="98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 ht="15.75" customHeight="1" s="98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5.75" customHeight="1" s="98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 ht="15.75" customHeight="1" s="9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 ht="15.75" customHeight="1" s="98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 ht="15.75" customHeight="1" s="98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 ht="15.75" customHeight="1" s="98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 ht="15.75" customHeight="1" s="98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 ht="15.75" customHeight="1" s="98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 ht="15.75" customHeight="1" s="98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 ht="15.75" customHeight="1" s="98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 ht="15.75" customHeight="1" s="98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 ht="15.75" customHeight="1" s="98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 ht="15.75" customHeight="1" s="9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 ht="15.75" customHeight="1" s="98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</row>
    <row r="60" ht="15.75" customHeight="1" s="98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 ht="15.75" customHeight="1" s="98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</row>
    <row r="62" ht="15.75" customHeight="1" s="98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 ht="15.75" customHeight="1" s="98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</row>
    <row r="64" ht="15.75" customHeight="1" s="98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 ht="15.75" customHeight="1" s="98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</row>
    <row r="66" ht="15.75" customHeight="1" s="98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 ht="15.75" customHeight="1" s="98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</row>
    <row r="68" ht="15.75" customHeight="1" s="9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 ht="15.75" customHeight="1" s="98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</row>
    <row r="70" ht="15.75" customHeight="1" s="98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 ht="15.75" customHeight="1" s="98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</row>
    <row r="72" ht="15.75" customHeight="1" s="98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 ht="15.75" customHeight="1" s="98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</row>
    <row r="74" ht="15.75" customHeight="1" s="98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 ht="15.75" customHeight="1" s="98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 ht="15.75" customHeight="1" s="98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 ht="15.75" customHeight="1" s="98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 ht="15.75" customHeight="1" s="9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 ht="15.75" customHeight="1" s="98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 ht="15.75" customHeight="1" s="98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 ht="15.75" customHeight="1" s="98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 ht="15.75" customHeight="1" s="98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 ht="15.75" customHeight="1" s="98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 ht="15.75" customHeight="1" s="98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 ht="15.75" customHeight="1" s="98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 ht="15.75" customHeight="1" s="98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 ht="15.75" customHeight="1" s="98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 ht="15.75" customHeight="1" s="9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 ht="15.75" customHeight="1" s="98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 ht="15.75" customHeight="1" s="98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 ht="15.75" customHeight="1" s="98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 ht="15.75" customHeight="1" s="98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 ht="15.75" customHeight="1" s="98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 ht="15.75" customHeight="1" s="98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 ht="15.75" customHeight="1" s="98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 ht="15.75" customHeight="1" s="98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 ht="15.75" customHeight="1" s="98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 ht="15.75" customHeight="1" s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 ht="15.75" customHeight="1" s="98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 ht="15.75" customHeight="1" s="98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 ht="15.75" customHeight="1" s="98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 ht="15.75" customHeight="1" s="98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 ht="15.75" customHeight="1" s="98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 ht="15.75" customHeight="1" s="98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 ht="15.75" customHeight="1" s="98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 ht="15.75" customHeight="1" s="98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 ht="15.75" customHeight="1" s="98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 ht="15.75" customHeight="1" s="9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 ht="15.75" customHeight="1" s="98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 ht="15.75" customHeight="1" s="98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 ht="15.75" customHeight="1" s="98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 ht="15.75" customHeight="1" s="98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 ht="15.75" customHeight="1" s="98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 ht="15.75" customHeight="1" s="98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 ht="15.75" customHeight="1" s="98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 ht="15.75" customHeight="1" s="98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 ht="15.75" customHeight="1" s="98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 ht="15.75" customHeight="1" s="9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 ht="15.75" customHeight="1" s="98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 ht="15.75" customHeight="1" s="98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 ht="15.75" customHeight="1" s="98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 ht="15.75" customHeight="1" s="98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 ht="15.75" customHeight="1" s="98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 ht="15.75" customHeight="1" s="98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 ht="15.75" customHeight="1" s="98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 ht="15.75" customHeight="1" s="98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 ht="15.75" customHeight="1" s="98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 ht="15.75" customHeight="1" s="9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 ht="15.75" customHeight="1" s="98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 ht="15.75" customHeight="1" s="98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 ht="15.75" customHeight="1" s="98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 ht="15.75" customHeight="1" s="98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 ht="15.75" customHeight="1" s="98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 ht="15.75" customHeight="1" s="98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 ht="15.75" customHeight="1" s="98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 ht="15.75" customHeight="1" s="98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 ht="15.75" customHeight="1" s="98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 ht="15.75" customHeight="1" s="9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 ht="15.75" customHeight="1" s="98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 ht="15.75" customHeight="1" s="98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 ht="15.75" customHeight="1" s="98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 ht="15.75" customHeight="1" s="98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 ht="15.75" customHeight="1" s="98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 ht="15.75" customHeight="1" s="98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 ht="15.75" customHeight="1" s="98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 ht="15.75" customHeight="1" s="98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 ht="15.75" customHeight="1" s="98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 ht="15.75" customHeight="1" s="9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 ht="15.75" customHeight="1" s="98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 ht="15.75" customHeight="1" s="98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 ht="15.75" customHeight="1" s="98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 ht="15.75" customHeight="1" s="98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 ht="15.75" customHeight="1" s="98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 ht="15.75" customHeight="1" s="98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 ht="15.75" customHeight="1" s="98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 ht="15.75" customHeight="1" s="98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 ht="15.75" customHeight="1" s="98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 ht="15.75" customHeight="1" s="9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 ht="15.75" customHeight="1" s="98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 ht="15.75" customHeight="1" s="98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 ht="15.75" customHeight="1" s="98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 ht="15.75" customHeight="1" s="98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 ht="15.75" customHeight="1" s="98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 ht="15.75" customHeight="1" s="98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 ht="15.75" customHeight="1" s="98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 ht="15.75" customHeight="1" s="98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 ht="15.75" customHeight="1" s="98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 ht="15.75" customHeight="1" s="9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 ht="15.75" customHeight="1" s="98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 ht="15.75" customHeight="1" s="98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 ht="15.75" customHeight="1" s="98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 ht="15.75" customHeight="1" s="98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 ht="15.75" customHeight="1" s="98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 ht="15.75" customHeight="1" s="98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 ht="15.75" customHeight="1" s="98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 ht="15.75" customHeight="1" s="98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 ht="15.75" customHeight="1" s="98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 ht="15.75" customHeight="1" s="9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 ht="15.75" customHeight="1" s="98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 ht="15.75" customHeight="1" s="98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 ht="15.75" customHeight="1" s="98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 ht="15.75" customHeight="1" s="98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 ht="15.75" customHeight="1" s="98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 ht="15.75" customHeight="1" s="98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 ht="15.75" customHeight="1" s="98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 ht="15.75" customHeight="1" s="98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 ht="15.75" customHeight="1" s="98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 ht="15.75" customHeight="1" s="9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 ht="15.75" customHeight="1" s="98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 ht="15.75" customHeight="1" s="98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 ht="15.75" customHeight="1" s="98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 ht="15.75" customHeight="1" s="98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 ht="15.75" customHeight="1" s="98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 ht="15.75" customHeight="1" s="98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 ht="15.75" customHeight="1" s="98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 ht="15.75" customHeight="1" s="98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 ht="15.75" customHeight="1" s="98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 ht="15.75" customHeight="1" s="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 ht="15.75" customHeight="1" s="98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 ht="15.75" customHeight="1" s="98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 ht="15.75" customHeight="1" s="98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 ht="15.75" customHeight="1" s="98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 ht="15.75" customHeight="1" s="98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 ht="15.75" customHeight="1" s="98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 ht="15.75" customHeight="1" s="98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 ht="15.75" customHeight="1" s="98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 ht="15.75" customHeight="1" s="98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 ht="15.75" customHeight="1" s="9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 ht="15.75" customHeight="1" s="98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 ht="15.75" customHeight="1" s="98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 ht="15.75" customHeight="1" s="98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 ht="15.75" customHeight="1" s="98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 ht="15.75" customHeight="1" s="98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 ht="15.75" customHeight="1" s="98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 ht="15.75" customHeight="1" s="98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 ht="15.75" customHeight="1" s="98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 ht="15.75" customHeight="1" s="98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 ht="15.75" customHeight="1" s="9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 ht="15.75" customHeight="1" s="98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 ht="15.75" customHeight="1" s="98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 ht="15.75" customHeight="1" s="98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 ht="15.75" customHeight="1" s="98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 ht="15.75" customHeight="1" s="98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 ht="15.75" customHeight="1" s="98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 ht="15.75" customHeight="1" s="98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 ht="15.75" customHeight="1" s="98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 ht="15.75" customHeight="1" s="98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 ht="15.75" customHeight="1" s="9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 ht="15.75" customHeight="1" s="98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 ht="15.75" customHeight="1" s="98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 ht="15.75" customHeight="1" s="98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 ht="15.75" customHeight="1" s="98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 ht="15.75" customHeight="1" s="98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 ht="15.75" customHeight="1" s="98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 ht="15.75" customHeight="1" s="98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 ht="15.75" customHeight="1" s="98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 ht="15.75" customHeight="1" s="98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 ht="15.75" customHeight="1" s="9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 ht="15.75" customHeight="1" s="98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 ht="15.75" customHeight="1" s="98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 ht="15.75" customHeight="1" s="98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 ht="15.75" customHeight="1" s="98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 ht="15.75" customHeight="1" s="98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 ht="15.75" customHeight="1" s="98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 ht="15.75" customHeight="1" s="98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 ht="15.75" customHeight="1" s="98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 ht="15.75" customHeight="1" s="98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 ht="15.75" customHeight="1" s="9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 ht="15.75" customHeight="1" s="98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 ht="15.75" customHeight="1" s="98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 ht="15.75" customHeight="1" s="98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 ht="15.75" customHeight="1" s="98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 ht="15.75" customHeight="1" s="98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 ht="15.75" customHeight="1" s="98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 ht="15.75" customHeight="1" s="98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 ht="15.75" customHeight="1" s="98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 ht="15.75" customHeight="1" s="98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 ht="15.75" customHeight="1" s="9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 ht="15.75" customHeight="1" s="98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 ht="15.75" customHeight="1" s="98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 ht="15.75" customHeight="1" s="98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 ht="15.75" customHeight="1" s="98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 ht="15.75" customHeight="1" s="98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 ht="15.75" customHeight="1" s="98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 ht="15.75" customHeight="1" s="98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 ht="15.75" customHeight="1" s="98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 ht="15.75" customHeight="1" s="98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 ht="15.75" customHeight="1" s="9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 ht="15.75" customHeight="1" s="98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 ht="15.75" customHeight="1" s="98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 ht="15.75" customHeight="1" s="98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 ht="15.75" customHeight="1" s="98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 ht="15.75" customHeight="1" s="98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 ht="15.75" customHeight="1" s="98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 ht="15.75" customHeight="1" s="98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 ht="15.75" customHeight="1" s="98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 ht="15.75" customHeight="1" s="98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 ht="15.75" customHeight="1" s="9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 ht="15.75" customHeight="1" s="98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 ht="15.75" customHeight="1" s="98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 ht="15.75" customHeight="1" s="98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 ht="15.75" customHeight="1" s="98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 ht="15.75" customHeight="1" s="98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 ht="15.75" customHeight="1" s="98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 ht="15.75" customHeight="1" s="98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 ht="15.75" customHeight="1" s="98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 ht="15.75" customHeight="1" s="98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 ht="15.75" customHeight="1" s="9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 ht="15.75" customHeight="1" s="98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 ht="15.75" customHeight="1" s="98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 ht="15.75" customHeight="1" s="98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 ht="15.75" customHeight="1" s="98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 ht="15.75" customHeight="1" s="98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 ht="15.75" customHeight="1" s="98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 ht="15.75" customHeight="1" s="98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 ht="15.75" customHeight="1" s="98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 ht="15.75" customHeight="1" s="98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 ht="15.75" customHeight="1" s="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 ht="15.75" customHeight="1" s="98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 ht="15.75" customHeight="1" s="98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 ht="15.75" customHeight="1" s="98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 ht="15.75" customHeight="1" s="98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 ht="15.75" customHeight="1" s="98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 ht="15.75" customHeight="1" s="98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 ht="15.75" customHeight="1" s="98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 ht="15.75" customHeight="1" s="98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 ht="15.75" customHeight="1" s="98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 ht="15.75" customHeight="1" s="9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 ht="15.75" customHeight="1" s="98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 ht="15.75" customHeight="1" s="98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 ht="15.75" customHeight="1" s="98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 ht="15.75" customHeight="1" s="98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 ht="15.75" customHeight="1" s="98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 ht="15.75" customHeight="1" s="98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 ht="15.75" customHeight="1" s="98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 ht="15.75" customHeight="1" s="98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 ht="15.75" customHeight="1" s="98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 ht="15.75" customHeight="1" s="9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 ht="15.75" customHeight="1" s="98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 ht="15.75" customHeight="1" s="98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 ht="15.75" customHeight="1" s="98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 ht="15.75" customHeight="1" s="98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 ht="15.75" customHeight="1" s="98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 ht="15.75" customHeight="1" s="98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 ht="15.75" customHeight="1" s="98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 ht="15.75" customHeight="1" s="98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 ht="15.75" customHeight="1" s="98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 ht="15.75" customHeight="1" s="9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 ht="15.75" customHeight="1" s="98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 ht="15.75" customHeight="1" s="98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 ht="15.75" customHeight="1" s="98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 ht="15.75" customHeight="1" s="98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 ht="15.75" customHeight="1" s="98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 ht="15.75" customHeight="1" s="98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 ht="15.75" customHeight="1" s="98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 ht="15.75" customHeight="1" s="98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 ht="15.75" customHeight="1" s="98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 ht="15.75" customHeight="1" s="9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 ht="15.75" customHeight="1" s="98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 ht="15.75" customHeight="1" s="98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 ht="15.75" customHeight="1" s="98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 ht="15.75" customHeight="1" s="98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 ht="15.75" customHeight="1" s="98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 ht="15.75" customHeight="1" s="98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 ht="15.75" customHeight="1" s="98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 ht="15.75" customHeight="1" s="98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 ht="15.75" customHeight="1" s="98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</row>
    <row r="348" ht="15.75" customHeight="1" s="9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 ht="15.75" customHeight="1" s="98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</row>
    <row r="350" ht="15.75" customHeight="1" s="98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 ht="15.75" customHeight="1" s="98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</row>
    <row r="352" ht="15.75" customHeight="1" s="98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 ht="15.75" customHeight="1" s="98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</row>
    <row r="354" ht="15.75" customHeight="1" s="98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 ht="15.75" customHeight="1" s="98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</row>
    <row r="356" ht="15.75" customHeight="1" s="98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 ht="15.75" customHeight="1" s="98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</row>
    <row r="358" ht="15.75" customHeight="1" s="9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 ht="15.75" customHeight="1" s="98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</row>
    <row r="360" ht="15.75" customHeight="1" s="98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 ht="15.75" customHeight="1" s="98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</row>
    <row r="362" ht="15.75" customHeight="1" s="98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 ht="15.75" customHeight="1" s="98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</row>
    <row r="364" ht="15.75" customHeight="1" s="98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 ht="15.75" customHeight="1" s="98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</row>
    <row r="366" ht="15.75" customHeight="1" s="98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 ht="15.75" customHeight="1" s="98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</row>
    <row r="368" ht="15.75" customHeight="1" s="9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 ht="15.75" customHeight="1" s="98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</row>
    <row r="370" ht="15.75" customHeight="1" s="98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 ht="15.75" customHeight="1" s="98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</row>
    <row r="372" ht="15.75" customHeight="1" s="98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 ht="15.75" customHeight="1" s="98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</row>
    <row r="374" ht="15.75" customHeight="1" s="98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 ht="15.75" customHeight="1" s="98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</row>
    <row r="376" ht="15.75" customHeight="1" s="98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</row>
    <row r="377" ht="15.75" customHeight="1" s="98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</row>
    <row r="378" ht="15.75" customHeight="1" s="9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</row>
    <row r="379" ht="15.75" customHeight="1" s="98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</row>
    <row r="380" ht="15.75" customHeight="1" s="98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 ht="15.75" customHeight="1" s="98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</row>
    <row r="382" ht="15.75" customHeight="1" s="98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</row>
    <row r="383" ht="15.75" customHeight="1" s="98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</row>
    <row r="384" ht="15.75" customHeight="1" s="98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</row>
    <row r="385" ht="15.75" customHeight="1" s="98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</row>
    <row r="386" ht="15.75" customHeight="1" s="98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</row>
    <row r="387" ht="15.75" customHeight="1" s="98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</row>
    <row r="388" ht="15.75" customHeight="1" s="9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</row>
    <row r="389" ht="15.75" customHeight="1" s="98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 ht="15.75" customHeight="1" s="98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 ht="15.75" customHeight="1" s="98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 ht="15.75" customHeight="1" s="98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 ht="15.75" customHeight="1" s="98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 ht="15.75" customHeight="1" s="98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 ht="15.75" customHeight="1" s="98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 ht="15.75" customHeight="1" s="98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 ht="15.75" customHeight="1" s="98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 ht="15.75" customHeight="1" s="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 ht="15.75" customHeight="1" s="98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 ht="15.75" customHeight="1" s="98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 ht="15.75" customHeight="1" s="98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 ht="15.75" customHeight="1" s="98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 ht="15.75" customHeight="1" s="98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 ht="15.75" customHeight="1" s="98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 ht="15.75" customHeight="1" s="98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</row>
    <row r="406" ht="15.75" customHeight="1" s="98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</row>
    <row r="407" ht="15.75" customHeight="1" s="98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</row>
    <row r="408" ht="15.75" customHeight="1" s="9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</row>
    <row r="409" ht="15.75" customHeight="1" s="98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</row>
    <row r="410" ht="15.75" customHeight="1" s="98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</row>
    <row r="411" ht="15.75" customHeight="1" s="98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</row>
    <row r="412" ht="15.75" customHeight="1" s="98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</row>
    <row r="413" ht="15.75" customHeight="1" s="98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</row>
    <row r="414" ht="15.75" customHeight="1" s="98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 ht="15.75" customHeight="1" s="98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</row>
    <row r="416" ht="15.75" customHeight="1" s="98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</row>
    <row r="417" ht="15.75" customHeight="1" s="98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</row>
    <row r="418" ht="15.75" customHeight="1" s="9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</row>
    <row r="419" ht="15.75" customHeight="1" s="98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</row>
    <row r="420" ht="15.75" customHeight="1" s="98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 ht="15.75" customHeight="1" s="98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</row>
    <row r="422" ht="15.75" customHeight="1" s="98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</row>
    <row r="423" ht="15.75" customHeight="1" s="98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</row>
    <row r="424" ht="15.75" customHeight="1" s="98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</row>
    <row r="425" ht="15.75" customHeight="1" s="98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</row>
    <row r="426" ht="15.75" customHeight="1" s="98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</row>
    <row r="427" ht="15.75" customHeight="1" s="98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</row>
    <row r="428" ht="15.75" customHeight="1" s="9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 ht="15.75" customHeight="1" s="98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</row>
    <row r="430" ht="15.75" customHeight="1" s="98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 ht="15.75" customHeight="1" s="98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</row>
    <row r="432" ht="15.75" customHeight="1" s="98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 ht="15.75" customHeight="1" s="98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</row>
    <row r="434" ht="15.75" customHeight="1" s="98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 ht="15.75" customHeight="1" s="98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</row>
    <row r="436" ht="15.75" customHeight="1" s="98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 ht="15.75" customHeight="1" s="98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</row>
    <row r="438" ht="15.75" customHeight="1" s="9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 ht="15.75" customHeight="1" s="98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</row>
    <row r="440" ht="15.75" customHeight="1" s="98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 ht="15.75" customHeight="1" s="98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</row>
    <row r="442" ht="15.75" customHeight="1" s="98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 ht="15.75" customHeight="1" s="98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</row>
    <row r="444" ht="15.75" customHeight="1" s="98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 ht="15.75" customHeight="1" s="98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</row>
    <row r="446" ht="15.75" customHeight="1" s="98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 ht="15.75" customHeight="1" s="98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</row>
    <row r="448" ht="15.75" customHeight="1" s="9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 ht="15.75" customHeight="1" s="98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</row>
    <row r="450" ht="15.75" customHeight="1" s="98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 ht="15.75" customHeight="1" s="98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</row>
    <row r="452" ht="15.75" customHeight="1" s="98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 ht="15.75" customHeight="1" s="98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</row>
    <row r="454" ht="15.75" customHeight="1" s="98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 ht="15.75" customHeight="1" s="98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</row>
    <row r="456" ht="15.75" customHeight="1" s="98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 ht="15.75" customHeight="1" s="98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</row>
    <row r="458" ht="15.75" customHeight="1" s="9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 ht="15.75" customHeight="1" s="98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</row>
    <row r="460" ht="15.75" customHeight="1" s="98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 ht="15.75" customHeight="1" s="98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</row>
    <row r="462" ht="15.75" customHeight="1" s="98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 ht="15.75" customHeight="1" s="98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</row>
    <row r="464" ht="15.75" customHeight="1" s="98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 ht="15.75" customHeight="1" s="98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</row>
    <row r="466" ht="15.75" customHeight="1" s="98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 ht="15.75" customHeight="1" s="98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</row>
    <row r="468" ht="15.75" customHeight="1" s="9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 ht="15.75" customHeight="1" s="98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</row>
    <row r="470" ht="15.75" customHeight="1" s="98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 ht="15.75" customHeight="1" s="98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</row>
    <row r="472" ht="15.75" customHeight="1" s="98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 ht="15.75" customHeight="1" s="98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</row>
    <row r="474" ht="15.75" customHeight="1" s="98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 ht="15.75" customHeight="1" s="98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</row>
    <row r="476" ht="15.75" customHeight="1" s="98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 ht="15.75" customHeight="1" s="98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</row>
    <row r="478" ht="15.75" customHeight="1" s="9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 ht="15.75" customHeight="1" s="98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</row>
    <row r="480" ht="15.75" customHeight="1" s="98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 ht="15.75" customHeight="1" s="98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</row>
    <row r="482" ht="15.75" customHeight="1" s="98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 ht="15.75" customHeight="1" s="98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</row>
    <row r="484" ht="15.75" customHeight="1" s="98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 ht="15.75" customHeight="1" s="98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</row>
    <row r="486" ht="15.75" customHeight="1" s="98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 ht="15.75" customHeight="1" s="98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</row>
    <row r="488" ht="15.75" customHeight="1" s="9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 ht="15.75" customHeight="1" s="98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</row>
    <row r="490" ht="15.75" customHeight="1" s="98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 ht="15.75" customHeight="1" s="98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</row>
    <row r="492" ht="15.75" customHeight="1" s="98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 ht="15.75" customHeight="1" s="98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</row>
    <row r="494" ht="15.75" customHeight="1" s="98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 ht="15.75" customHeight="1" s="98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</row>
    <row r="496" ht="15.75" customHeight="1" s="98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 ht="15.75" customHeight="1" s="98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</row>
    <row r="498" ht="15.75" customHeight="1" s="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 ht="15.75" customHeight="1" s="98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</row>
    <row r="500" ht="15.75" customHeight="1" s="98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 ht="15.75" customHeight="1" s="98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</row>
    <row r="502" ht="15.75" customHeight="1" s="98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  <row r="503" ht="15.75" customHeight="1" s="98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</row>
    <row r="504" ht="15.75" customHeight="1" s="98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</row>
    <row r="505" ht="15.75" customHeight="1" s="98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</row>
    <row r="506" ht="15.75" customHeight="1" s="98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</row>
    <row r="507" ht="15.75" customHeight="1" s="98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</row>
    <row r="508" ht="15.75" customHeight="1" s="9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</row>
    <row r="509" ht="15.75" customHeight="1" s="98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</row>
    <row r="510" ht="15.75" customHeight="1" s="98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</row>
    <row r="511" ht="15.75" customHeight="1" s="98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</row>
    <row r="512" ht="15.75" customHeight="1" s="98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</row>
    <row r="513" ht="15.75" customHeight="1" s="98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</row>
    <row r="514" ht="15.75" customHeight="1" s="98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</row>
    <row r="515" ht="15.75" customHeight="1" s="98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</row>
    <row r="516" ht="15.75" customHeight="1" s="98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</row>
    <row r="517" ht="15.75" customHeight="1" s="98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</row>
    <row r="518" ht="15.75" customHeight="1" s="9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</row>
    <row r="519" ht="15.75" customHeight="1" s="98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</row>
    <row r="520" ht="15.75" customHeight="1" s="98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</row>
    <row r="521" ht="15.75" customHeight="1" s="98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</row>
    <row r="522" ht="15.75" customHeight="1" s="98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</row>
    <row r="523" ht="15.75" customHeight="1" s="98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</row>
    <row r="524" ht="15.75" customHeight="1" s="98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</row>
    <row r="525" ht="15.75" customHeight="1" s="98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</row>
    <row r="526" ht="15.75" customHeight="1" s="98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</row>
    <row r="527" ht="15.75" customHeight="1" s="98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</row>
    <row r="528" ht="15.75" customHeight="1" s="9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</row>
    <row r="529" ht="15.75" customHeight="1" s="98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</row>
    <row r="530" ht="15.75" customHeight="1" s="98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</row>
    <row r="531" ht="15.75" customHeight="1" s="98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</row>
    <row r="532" ht="15.75" customHeight="1" s="98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</row>
    <row r="533" ht="15.75" customHeight="1" s="98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</row>
    <row r="534" ht="15.75" customHeight="1" s="98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</row>
    <row r="535" ht="15.75" customHeight="1" s="98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</row>
    <row r="536" ht="15.75" customHeight="1" s="98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</row>
    <row r="537" ht="15.75" customHeight="1" s="98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</row>
    <row r="538" ht="15.75" customHeight="1" s="9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</row>
    <row r="539" ht="15.75" customHeight="1" s="98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</row>
    <row r="540" ht="15.75" customHeight="1" s="98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</row>
    <row r="541" ht="15.75" customHeight="1" s="98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</row>
    <row r="542" ht="15.75" customHeight="1" s="98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</row>
    <row r="543" ht="15.75" customHeight="1" s="98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</row>
    <row r="544" ht="15.75" customHeight="1" s="98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</row>
    <row r="545" ht="15.75" customHeight="1" s="98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</row>
    <row r="546" ht="15.75" customHeight="1" s="98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</row>
    <row r="547" ht="15.75" customHeight="1" s="98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</row>
    <row r="548" ht="15.75" customHeight="1" s="9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</row>
    <row r="549" ht="15.75" customHeight="1" s="98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</row>
    <row r="550" ht="15.75" customHeight="1" s="98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</row>
    <row r="551" ht="15.75" customHeight="1" s="98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</row>
    <row r="552" ht="15.75" customHeight="1" s="98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</row>
    <row r="553" ht="15.75" customHeight="1" s="98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</row>
    <row r="554" ht="15.75" customHeight="1" s="98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</row>
    <row r="555" ht="15.75" customHeight="1" s="98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</row>
    <row r="556" ht="15.75" customHeight="1" s="98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</row>
    <row r="557" ht="15.75" customHeight="1" s="98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</row>
    <row r="558" ht="15.75" customHeight="1" s="9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</row>
    <row r="559" ht="15.75" customHeight="1" s="98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</row>
    <row r="560" ht="15.75" customHeight="1" s="98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</row>
    <row r="561" ht="15.75" customHeight="1" s="98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</row>
    <row r="562" ht="15.75" customHeight="1" s="98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</row>
    <row r="563" ht="15.75" customHeight="1" s="98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</row>
    <row r="564" ht="15.75" customHeight="1" s="98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</row>
    <row r="565" ht="15.75" customHeight="1" s="98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</row>
    <row r="566" ht="15.75" customHeight="1" s="98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</row>
    <row r="567" ht="15.75" customHeight="1" s="98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</row>
    <row r="568" ht="15.75" customHeight="1" s="9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</row>
    <row r="569" ht="15.75" customHeight="1" s="98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</row>
    <row r="570" ht="15.75" customHeight="1" s="98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</row>
    <row r="571" ht="15.75" customHeight="1" s="98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</row>
    <row r="572" ht="15.75" customHeight="1" s="98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</row>
    <row r="573" ht="15.75" customHeight="1" s="98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</row>
    <row r="574" ht="15.75" customHeight="1" s="98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</row>
    <row r="575" ht="15.75" customHeight="1" s="98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</row>
    <row r="576" ht="15.75" customHeight="1" s="98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</row>
    <row r="577" ht="15.75" customHeight="1" s="98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</row>
    <row r="578" ht="15.75" customHeight="1" s="9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</row>
    <row r="579" ht="15.75" customHeight="1" s="98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</row>
    <row r="580" ht="15.75" customHeight="1" s="98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</row>
    <row r="581" ht="15.75" customHeight="1" s="98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</row>
    <row r="582" ht="15.75" customHeight="1" s="98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</row>
    <row r="583" ht="15.75" customHeight="1" s="98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</row>
    <row r="584" ht="15.75" customHeight="1" s="98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</row>
    <row r="585" ht="15.75" customHeight="1" s="98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</row>
    <row r="586" ht="15.75" customHeight="1" s="98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</row>
    <row r="587" ht="15.75" customHeight="1" s="98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</row>
    <row r="588" ht="15.75" customHeight="1" s="9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</row>
    <row r="589" ht="15.75" customHeight="1" s="98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</row>
    <row r="590" ht="15.75" customHeight="1" s="98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</row>
    <row r="591" ht="15.75" customHeight="1" s="98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</row>
    <row r="592" ht="15.75" customHeight="1" s="98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</row>
    <row r="593" ht="15.75" customHeight="1" s="98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</row>
    <row r="594" ht="15.75" customHeight="1" s="98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</row>
    <row r="595" ht="15.75" customHeight="1" s="98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</row>
    <row r="596" ht="15.75" customHeight="1" s="98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</row>
    <row r="597" ht="15.75" customHeight="1" s="98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</row>
    <row r="598" ht="15.75" customHeight="1" s="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</row>
    <row r="599" ht="15.75" customHeight="1" s="98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</row>
    <row r="600" ht="15.75" customHeight="1" s="98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</row>
    <row r="601" ht="15.75" customHeight="1" s="98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</row>
    <row r="602" ht="15.75" customHeight="1" s="98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</row>
    <row r="603" ht="15.75" customHeight="1" s="98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</row>
    <row r="604" ht="15.75" customHeight="1" s="98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</row>
    <row r="605" ht="15.75" customHeight="1" s="98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</row>
    <row r="606" ht="15.75" customHeight="1" s="98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</row>
    <row r="607" ht="15.75" customHeight="1" s="98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</row>
    <row r="608" ht="15.75" customHeight="1" s="9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</row>
    <row r="609" ht="15.75" customHeight="1" s="98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</row>
    <row r="610" ht="15.75" customHeight="1" s="98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</row>
    <row r="611" ht="15.75" customHeight="1" s="98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</row>
    <row r="612" ht="15.75" customHeight="1" s="98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</row>
    <row r="613" ht="15.75" customHeight="1" s="98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</row>
    <row r="614" ht="15.75" customHeight="1" s="98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</row>
    <row r="615" ht="15.75" customHeight="1" s="98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</row>
    <row r="616" ht="15.75" customHeight="1" s="98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</row>
    <row r="617" ht="15.75" customHeight="1" s="98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</row>
    <row r="618" ht="15.75" customHeight="1" s="9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</row>
    <row r="619" ht="15.75" customHeight="1" s="98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</row>
    <row r="620" ht="15.75" customHeight="1" s="98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</row>
    <row r="621" ht="15.75" customHeight="1" s="98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</row>
    <row r="622" ht="15.75" customHeight="1" s="98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</row>
    <row r="623" ht="15.75" customHeight="1" s="98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</row>
    <row r="624" ht="15.75" customHeight="1" s="98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</row>
    <row r="625" ht="15.75" customHeight="1" s="98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</row>
    <row r="626" ht="15.75" customHeight="1" s="98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</row>
    <row r="627" ht="15.75" customHeight="1" s="98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</row>
    <row r="628" ht="15.75" customHeight="1" s="9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</row>
    <row r="629" ht="15.75" customHeight="1" s="98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</row>
    <row r="630" ht="15.75" customHeight="1" s="98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</row>
    <row r="631" ht="15.75" customHeight="1" s="98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</row>
    <row r="632" ht="15.75" customHeight="1" s="98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</row>
    <row r="633" ht="15.75" customHeight="1" s="98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</row>
    <row r="634" ht="15.75" customHeight="1" s="98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</row>
    <row r="635" ht="15.75" customHeight="1" s="98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</row>
    <row r="636" ht="15.75" customHeight="1" s="98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</row>
    <row r="637" ht="15.75" customHeight="1" s="98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</row>
    <row r="638" ht="15.75" customHeight="1" s="9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</row>
    <row r="639" ht="15.75" customHeight="1" s="98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</row>
    <row r="640" ht="15.75" customHeight="1" s="98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</row>
    <row r="641" ht="15.75" customHeight="1" s="98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</row>
    <row r="642" ht="15.75" customHeight="1" s="98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</row>
    <row r="643" ht="15.75" customHeight="1" s="98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</row>
    <row r="644" ht="15.75" customHeight="1" s="98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</row>
    <row r="645" ht="15.75" customHeight="1" s="98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</row>
    <row r="646" ht="15.75" customHeight="1" s="98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</row>
    <row r="647" ht="15.75" customHeight="1" s="98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</row>
    <row r="648" ht="15.75" customHeight="1" s="9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</row>
    <row r="649" ht="15.75" customHeight="1" s="98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</row>
    <row r="650" ht="15.75" customHeight="1" s="98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</row>
    <row r="651" ht="15.75" customHeight="1" s="98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</row>
    <row r="652" ht="15.75" customHeight="1" s="98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</row>
    <row r="653" ht="15.75" customHeight="1" s="98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</row>
    <row r="654" ht="15.75" customHeight="1" s="98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</row>
    <row r="655" ht="15.75" customHeight="1" s="98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</row>
    <row r="656" ht="15.75" customHeight="1" s="98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</row>
    <row r="657" ht="15.75" customHeight="1" s="98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</row>
    <row r="658" ht="15.75" customHeight="1" s="9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</row>
    <row r="659" ht="15.75" customHeight="1" s="98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</row>
    <row r="660" ht="15.75" customHeight="1" s="98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</row>
    <row r="661" ht="15.75" customHeight="1" s="98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</row>
    <row r="662" ht="15.75" customHeight="1" s="98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</row>
    <row r="663" ht="15.75" customHeight="1" s="98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</row>
    <row r="664" ht="15.75" customHeight="1" s="98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</row>
    <row r="665" ht="15.75" customHeight="1" s="98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</row>
    <row r="666" ht="15.75" customHeight="1" s="98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</row>
    <row r="667" ht="15.75" customHeight="1" s="98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</row>
    <row r="668" ht="15.75" customHeight="1" s="9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</row>
    <row r="669" ht="15.75" customHeight="1" s="98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</row>
    <row r="670" ht="15.75" customHeight="1" s="98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</row>
    <row r="671" ht="15.75" customHeight="1" s="98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</row>
    <row r="672" ht="15.75" customHeight="1" s="98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</row>
    <row r="673" ht="15.75" customHeight="1" s="98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</row>
    <row r="674" ht="15.75" customHeight="1" s="98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</row>
    <row r="675" ht="15.75" customHeight="1" s="98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</row>
    <row r="676" ht="15.75" customHeight="1" s="98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</row>
    <row r="677" ht="15.75" customHeight="1" s="98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</row>
    <row r="678" ht="15.75" customHeight="1" s="9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</row>
    <row r="679" ht="15.75" customHeight="1" s="98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</row>
    <row r="680" ht="15.75" customHeight="1" s="98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</row>
    <row r="681" ht="15.75" customHeight="1" s="98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</row>
    <row r="682" ht="15.75" customHeight="1" s="98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</row>
    <row r="683" ht="15.75" customHeight="1" s="98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</row>
    <row r="684" ht="15.75" customHeight="1" s="98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</row>
    <row r="685" ht="15.75" customHeight="1" s="98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</row>
    <row r="686" ht="15.75" customHeight="1" s="98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</row>
    <row r="687" ht="15.75" customHeight="1" s="98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</row>
    <row r="688" ht="15.75" customHeight="1" s="9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</row>
    <row r="689" ht="15.75" customHeight="1" s="98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</row>
    <row r="690" ht="15.75" customHeight="1" s="98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</row>
    <row r="691" ht="15.75" customHeight="1" s="98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</row>
    <row r="692" ht="15.75" customHeight="1" s="98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</row>
    <row r="693" ht="15.75" customHeight="1" s="98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</row>
    <row r="694" ht="15.75" customHeight="1" s="98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</row>
    <row r="695" ht="15.75" customHeight="1" s="98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</row>
    <row r="696" ht="15.75" customHeight="1" s="98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</row>
    <row r="697" ht="15.75" customHeight="1" s="98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</row>
    <row r="698" ht="15.75" customHeight="1" s="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</row>
    <row r="699" ht="15.75" customHeight="1" s="98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</row>
    <row r="700" ht="15.75" customHeight="1" s="98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</row>
    <row r="701" ht="15.75" customHeight="1" s="98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</row>
    <row r="702" ht="15.75" customHeight="1" s="98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</row>
    <row r="703" ht="15.75" customHeight="1" s="98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</row>
    <row r="704" ht="15.75" customHeight="1" s="98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</row>
    <row r="705" ht="15.75" customHeight="1" s="98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</row>
    <row r="706" ht="15.75" customHeight="1" s="98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</row>
    <row r="707" ht="15.75" customHeight="1" s="98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</row>
    <row r="708" ht="15.75" customHeight="1" s="9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</row>
    <row r="709" ht="15.75" customHeight="1" s="98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</row>
    <row r="710" ht="15.75" customHeight="1" s="98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</row>
    <row r="711" ht="15.75" customHeight="1" s="98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</row>
    <row r="712" ht="15.75" customHeight="1" s="98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</row>
    <row r="713" ht="15.75" customHeight="1" s="98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</row>
    <row r="714" ht="15.75" customHeight="1" s="98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</row>
    <row r="715" ht="15.75" customHeight="1" s="98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</row>
    <row r="716" ht="15.75" customHeight="1" s="98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</row>
    <row r="717" ht="15.75" customHeight="1" s="98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</row>
    <row r="718" ht="15.75" customHeight="1" s="9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</row>
    <row r="719" ht="15.75" customHeight="1" s="98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</row>
    <row r="720" ht="15.75" customHeight="1" s="98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</row>
    <row r="721" ht="15.75" customHeight="1" s="98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</row>
    <row r="722" ht="15.75" customHeight="1" s="98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</row>
    <row r="723" ht="15.75" customHeight="1" s="98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</row>
    <row r="724" ht="15.75" customHeight="1" s="98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</row>
    <row r="725" ht="15.75" customHeight="1" s="98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</row>
    <row r="726" ht="15.75" customHeight="1" s="98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</row>
    <row r="727" ht="15.75" customHeight="1" s="98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</row>
    <row r="728" ht="15.75" customHeight="1" s="9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</row>
    <row r="729" ht="15.75" customHeight="1" s="98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</row>
    <row r="730" ht="15.75" customHeight="1" s="98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</row>
    <row r="731" ht="15.75" customHeight="1" s="98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</row>
    <row r="732" ht="15.75" customHeight="1" s="98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</row>
    <row r="733" ht="15.75" customHeight="1" s="98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</row>
    <row r="734" ht="15.75" customHeight="1" s="98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</row>
    <row r="735" ht="15.75" customHeight="1" s="98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</row>
    <row r="736" ht="15.75" customHeight="1" s="98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</row>
    <row r="737" ht="15.75" customHeight="1" s="98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</row>
    <row r="738" ht="15.75" customHeight="1" s="9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</row>
    <row r="739" ht="15.75" customHeight="1" s="98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</row>
    <row r="740" ht="15.75" customHeight="1" s="98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</row>
    <row r="741" ht="15.75" customHeight="1" s="98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</row>
    <row r="742" ht="15.75" customHeight="1" s="98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</row>
    <row r="743" ht="15.75" customHeight="1" s="98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</row>
    <row r="744" ht="15.75" customHeight="1" s="98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</row>
    <row r="745" ht="15.75" customHeight="1" s="98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</row>
    <row r="746" ht="15.75" customHeight="1" s="98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</row>
    <row r="747" ht="15.75" customHeight="1" s="98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</row>
    <row r="748" ht="15.75" customHeight="1" s="9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</row>
    <row r="749" ht="15.75" customHeight="1" s="98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</row>
    <row r="750" ht="15.75" customHeight="1" s="98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</row>
    <row r="751" ht="15.75" customHeight="1" s="98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</row>
    <row r="752" ht="15.75" customHeight="1" s="98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</row>
    <row r="753" ht="15.75" customHeight="1" s="98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</row>
    <row r="754" ht="15.75" customHeight="1" s="98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</row>
    <row r="755" ht="15.75" customHeight="1" s="98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</row>
    <row r="756" ht="15.75" customHeight="1" s="98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</row>
    <row r="757" ht="15.75" customHeight="1" s="98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</row>
    <row r="758" ht="15.75" customHeight="1" s="9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</row>
    <row r="759" ht="15.75" customHeight="1" s="98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</row>
    <row r="760" ht="15.75" customHeight="1" s="98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</row>
    <row r="761" ht="15.75" customHeight="1" s="98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</row>
    <row r="762" ht="15.75" customHeight="1" s="98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</row>
    <row r="763" ht="15.75" customHeight="1" s="98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</row>
    <row r="764" ht="15.75" customHeight="1" s="98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</row>
    <row r="765" ht="15.75" customHeight="1" s="98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</row>
    <row r="766" ht="15.75" customHeight="1" s="98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</row>
    <row r="767" ht="15.75" customHeight="1" s="98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</row>
    <row r="768" ht="15.75" customHeight="1" s="9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</row>
    <row r="769" ht="15.75" customHeight="1" s="98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</row>
    <row r="770" ht="15.75" customHeight="1" s="98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</row>
    <row r="771" ht="15.75" customHeight="1" s="98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</row>
    <row r="772" ht="15.75" customHeight="1" s="98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</row>
    <row r="773" ht="15.75" customHeight="1" s="98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</row>
    <row r="774" ht="15.75" customHeight="1" s="98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</row>
    <row r="775" ht="15.75" customHeight="1" s="98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</row>
    <row r="776" ht="15.75" customHeight="1" s="98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</row>
    <row r="777" ht="15.75" customHeight="1" s="98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</row>
    <row r="778" ht="15.75" customHeight="1" s="9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</row>
    <row r="779" ht="15.75" customHeight="1" s="98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</row>
    <row r="780" ht="15.75" customHeight="1" s="98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</row>
    <row r="781" ht="15.75" customHeight="1" s="98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</row>
    <row r="782" ht="15.75" customHeight="1" s="98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</row>
    <row r="783" ht="15.75" customHeight="1" s="98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</row>
    <row r="784" ht="15.75" customHeight="1" s="98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</row>
    <row r="785" ht="15.75" customHeight="1" s="98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</row>
    <row r="786" ht="15.75" customHeight="1" s="98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</row>
    <row r="787" ht="15.75" customHeight="1" s="98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</row>
    <row r="788" ht="15.75" customHeight="1" s="9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</row>
    <row r="789" ht="15.75" customHeight="1" s="98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</row>
    <row r="790" ht="15.75" customHeight="1" s="98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</row>
    <row r="791" ht="15.75" customHeight="1" s="98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</row>
    <row r="792" ht="15.75" customHeight="1" s="98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</row>
    <row r="793" ht="15.75" customHeight="1" s="98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</row>
    <row r="794" ht="15.75" customHeight="1" s="98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</row>
    <row r="795" ht="15.75" customHeight="1" s="98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</row>
    <row r="796" ht="15.75" customHeight="1" s="98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</row>
    <row r="797" ht="15.75" customHeight="1" s="98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</row>
    <row r="798" ht="15.75" customHeight="1" s="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</row>
    <row r="799" ht="15.75" customHeight="1" s="98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</row>
    <row r="800" ht="15.75" customHeight="1" s="98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</row>
    <row r="801" ht="15.75" customHeight="1" s="98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</row>
    <row r="802" ht="15.75" customHeight="1" s="98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</row>
    <row r="803" ht="15.75" customHeight="1" s="98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</row>
    <row r="804" ht="15.75" customHeight="1" s="98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</row>
    <row r="805" ht="15.75" customHeight="1" s="98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</row>
    <row r="806" ht="15.75" customHeight="1" s="98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</row>
    <row r="807" ht="15.75" customHeight="1" s="98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</row>
    <row r="808" ht="15.75" customHeight="1" s="9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</row>
    <row r="809" ht="15.75" customHeight="1" s="98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</row>
    <row r="810" ht="15.75" customHeight="1" s="98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</row>
    <row r="811" ht="15.75" customHeight="1" s="98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</row>
    <row r="812" ht="15.75" customHeight="1" s="98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</row>
    <row r="813" ht="15.75" customHeight="1" s="98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</row>
    <row r="814" ht="15.75" customHeight="1" s="98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</row>
    <row r="815" ht="15.75" customHeight="1" s="98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</row>
    <row r="816" ht="15.75" customHeight="1" s="98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</row>
    <row r="817" ht="15.75" customHeight="1" s="98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</row>
    <row r="818" ht="15.75" customHeight="1" s="9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</row>
    <row r="819" ht="15.75" customHeight="1" s="98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</row>
    <row r="820" ht="15.75" customHeight="1" s="98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</row>
    <row r="821" ht="15.75" customHeight="1" s="98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</row>
    <row r="822" ht="15.75" customHeight="1" s="98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</row>
    <row r="823" ht="15.75" customHeight="1" s="98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</row>
    <row r="824" ht="15.75" customHeight="1" s="98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</row>
    <row r="825" ht="15.75" customHeight="1" s="98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</row>
    <row r="826" ht="15.75" customHeight="1" s="98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</row>
    <row r="827" ht="15.75" customHeight="1" s="98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</row>
    <row r="828" ht="15.75" customHeight="1" s="9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</row>
    <row r="829" ht="15.75" customHeight="1" s="98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</row>
    <row r="830" ht="15.75" customHeight="1" s="98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</row>
    <row r="831" ht="15.75" customHeight="1" s="98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</row>
    <row r="832" ht="15.75" customHeight="1" s="98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</row>
    <row r="833" ht="15.75" customHeight="1" s="98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</row>
    <row r="834" ht="15.75" customHeight="1" s="98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</row>
    <row r="835" ht="15.75" customHeight="1" s="98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</row>
    <row r="836" ht="15.75" customHeight="1" s="98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</row>
    <row r="837" ht="15.75" customHeight="1" s="98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</row>
    <row r="838" ht="15.75" customHeight="1" s="9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</row>
    <row r="839" ht="15.75" customHeight="1" s="98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</row>
    <row r="840" ht="15.75" customHeight="1" s="98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</row>
    <row r="841" ht="15.75" customHeight="1" s="98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</row>
    <row r="842" ht="15.75" customHeight="1" s="98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</row>
    <row r="843" ht="15.75" customHeight="1" s="98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</row>
    <row r="844" ht="15.75" customHeight="1" s="98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</row>
    <row r="845" ht="15.75" customHeight="1" s="98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</row>
    <row r="846" ht="15.75" customHeight="1" s="98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</row>
    <row r="847" ht="15.75" customHeight="1" s="98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</row>
    <row r="848" ht="15.75" customHeight="1" s="9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</row>
    <row r="849" ht="15.75" customHeight="1" s="98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</row>
    <row r="850" ht="15.75" customHeight="1" s="98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</row>
    <row r="851" ht="15.75" customHeight="1" s="98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</row>
    <row r="852" ht="15.75" customHeight="1" s="98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</row>
    <row r="853" ht="15.75" customHeight="1" s="98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</row>
    <row r="854" ht="15.75" customHeight="1" s="98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</row>
    <row r="855" ht="15.75" customHeight="1" s="98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</row>
    <row r="856" ht="15.75" customHeight="1" s="98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</row>
    <row r="857" ht="15.75" customHeight="1" s="98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</row>
    <row r="858" ht="15.75" customHeight="1" s="9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</row>
    <row r="859" ht="15.75" customHeight="1" s="98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</row>
    <row r="860" ht="15.75" customHeight="1" s="98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</row>
    <row r="861" ht="15.75" customHeight="1" s="98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</row>
    <row r="862" ht="15.75" customHeight="1" s="98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</row>
    <row r="863" ht="15.75" customHeight="1" s="98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</row>
    <row r="864" ht="15.75" customHeight="1" s="98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</row>
    <row r="865" ht="15.75" customHeight="1" s="98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</row>
    <row r="866" ht="15.75" customHeight="1" s="98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</row>
    <row r="867" ht="15.75" customHeight="1" s="98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</row>
    <row r="868" ht="15.75" customHeight="1" s="9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</row>
    <row r="869" ht="15.75" customHeight="1" s="98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</row>
    <row r="870" ht="15.75" customHeight="1" s="98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</row>
    <row r="871" ht="15.75" customHeight="1" s="98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</row>
    <row r="872" ht="15.75" customHeight="1" s="98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</row>
    <row r="873" ht="15.75" customHeight="1" s="98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</row>
    <row r="874" ht="15.75" customHeight="1" s="98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</row>
    <row r="875" ht="15.75" customHeight="1" s="98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</row>
    <row r="876" ht="15.75" customHeight="1" s="98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</row>
    <row r="877" ht="15.75" customHeight="1" s="98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</row>
    <row r="878" ht="15.75" customHeight="1" s="9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</row>
    <row r="879" ht="15.75" customHeight="1" s="98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</row>
    <row r="880" ht="15.75" customHeight="1" s="98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</row>
    <row r="881" ht="15.75" customHeight="1" s="98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</row>
    <row r="882" ht="15.75" customHeight="1" s="98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</row>
    <row r="883" ht="15.75" customHeight="1" s="98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</row>
    <row r="884" ht="15.75" customHeight="1" s="98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</row>
    <row r="885" ht="15.75" customHeight="1" s="98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</row>
    <row r="886" ht="15.75" customHeight="1" s="98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</row>
    <row r="887" ht="15.75" customHeight="1" s="98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</row>
    <row r="888" ht="15.75" customHeight="1" s="9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</row>
    <row r="889" ht="15.75" customHeight="1" s="98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</row>
    <row r="890" ht="15.75" customHeight="1" s="98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</row>
    <row r="891" ht="15.75" customHeight="1" s="98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</row>
    <row r="892" ht="15.75" customHeight="1" s="98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</row>
    <row r="893" ht="15.75" customHeight="1" s="98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</row>
    <row r="894" ht="15.75" customHeight="1" s="98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</row>
    <row r="895" ht="15.75" customHeight="1" s="98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</row>
    <row r="896" ht="15.75" customHeight="1" s="98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</row>
    <row r="897" ht="15.75" customHeight="1" s="98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</row>
    <row r="898" ht="15.75" customHeight="1" s="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</row>
    <row r="899" ht="15.75" customHeight="1" s="98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</row>
    <row r="900" ht="15.75" customHeight="1" s="98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</row>
    <row r="901" ht="15.75" customHeight="1" s="98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</row>
    <row r="902" ht="15.75" customHeight="1" s="98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</row>
    <row r="903" ht="15.75" customHeight="1" s="98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</row>
    <row r="904" ht="15.75" customHeight="1" s="98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</row>
    <row r="905" ht="15.75" customHeight="1" s="98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</row>
    <row r="906" ht="15.75" customHeight="1" s="98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</row>
    <row r="907" ht="15.75" customHeight="1" s="98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</row>
    <row r="908" ht="15.75" customHeight="1" s="9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</row>
    <row r="909" ht="15.75" customHeight="1" s="98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</row>
    <row r="910" ht="15.75" customHeight="1" s="98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</row>
    <row r="911" ht="15.75" customHeight="1" s="98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</row>
    <row r="912" ht="15.75" customHeight="1" s="98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</row>
    <row r="913" ht="15.75" customHeight="1" s="98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</row>
    <row r="914" ht="15.75" customHeight="1" s="98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</row>
    <row r="915" ht="15.75" customHeight="1" s="98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</row>
    <row r="916" ht="15.75" customHeight="1" s="98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</row>
    <row r="917" ht="15.75" customHeight="1" s="98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</row>
    <row r="918" ht="15.75" customHeight="1" s="9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</row>
    <row r="919" ht="15.75" customHeight="1" s="98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</row>
    <row r="920" ht="15.75" customHeight="1" s="98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</row>
    <row r="921" ht="15.75" customHeight="1" s="98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</row>
    <row r="922" ht="15.75" customHeight="1" s="98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</row>
    <row r="923" ht="15.75" customHeight="1" s="98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</row>
    <row r="924" ht="15.75" customHeight="1" s="98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</row>
    <row r="925" ht="15.75" customHeight="1" s="98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</row>
    <row r="926" ht="15.75" customHeight="1" s="98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</row>
    <row r="927" ht="15.75" customHeight="1" s="98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</row>
    <row r="928" ht="15.75" customHeight="1" s="9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</row>
    <row r="929" ht="15.75" customHeight="1" s="98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</row>
    <row r="930" ht="15.75" customHeight="1" s="98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</row>
    <row r="931" ht="15.75" customHeight="1" s="98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</row>
    <row r="932" ht="15.75" customHeight="1" s="98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</row>
    <row r="933" ht="15.75" customHeight="1" s="98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</row>
    <row r="934" ht="15.75" customHeight="1" s="98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</row>
    <row r="935" ht="15.75" customHeight="1" s="98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</row>
    <row r="936" ht="15.75" customHeight="1" s="98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</row>
    <row r="937" ht="15.75" customHeight="1" s="98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</row>
    <row r="938" ht="15.75" customHeight="1" s="9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</row>
    <row r="939" ht="15.75" customHeight="1" s="98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</row>
    <row r="940" ht="15.75" customHeight="1" s="98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</row>
    <row r="941" ht="15.75" customHeight="1" s="98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</row>
    <row r="942" ht="15.75" customHeight="1" s="98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</row>
    <row r="943" ht="15.75" customHeight="1" s="98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</row>
    <row r="944" ht="15.75" customHeight="1" s="98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</row>
    <row r="945" ht="15.75" customHeight="1" s="98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</row>
    <row r="946" ht="15.75" customHeight="1" s="98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</row>
    <row r="947" ht="15.75" customHeight="1" s="98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</row>
    <row r="948" ht="15.75" customHeight="1" s="9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</row>
    <row r="949" ht="15.75" customHeight="1" s="98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</row>
    <row r="950" ht="15.75" customHeight="1" s="98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</row>
    <row r="951" ht="15.75" customHeight="1" s="98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</row>
    <row r="952" ht="15.75" customHeight="1" s="98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</row>
    <row r="953" ht="15.75" customHeight="1" s="98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</row>
    <row r="954" ht="15.75" customHeight="1" s="98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</row>
    <row r="955" ht="15.75" customHeight="1" s="98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</row>
    <row r="956" ht="15.75" customHeight="1" s="98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</row>
    <row r="957" ht="15.75" customHeight="1" s="98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</row>
    <row r="958" ht="15.75" customHeight="1" s="9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</row>
    <row r="959" ht="15.75" customHeight="1" s="98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</row>
    <row r="960" ht="15.75" customHeight="1" s="98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</row>
    <row r="961" ht="15.75" customHeight="1" s="98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</row>
    <row r="962" ht="15.75" customHeight="1" s="98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</row>
    <row r="963" ht="15.75" customHeight="1" s="98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</row>
    <row r="964" ht="15.75" customHeight="1" s="98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</row>
    <row r="965" ht="15.75" customHeight="1" s="98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</row>
    <row r="966" ht="15.75" customHeight="1" s="98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</row>
    <row r="967" ht="15.75" customHeight="1" s="98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</row>
    <row r="968" ht="15.75" customHeight="1" s="9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</row>
    <row r="969" ht="15.75" customHeight="1" s="98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</row>
    <row r="970" ht="15.75" customHeight="1" s="98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</row>
    <row r="971" ht="15.75" customHeight="1" s="98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</row>
    <row r="972" ht="15.75" customHeight="1" s="98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</row>
    <row r="973" ht="15.75" customHeight="1" s="98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</row>
    <row r="974" ht="15.75" customHeight="1" s="98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</row>
    <row r="975" ht="15.75" customHeight="1" s="98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</row>
    <row r="976" ht="15.75" customHeight="1" s="98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</row>
    <row r="977" ht="15.75" customHeight="1" s="98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</row>
    <row r="978" ht="15.75" customHeight="1" s="9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</row>
    <row r="979" ht="15.75" customHeight="1" s="98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</row>
    <row r="980" ht="15.75" customHeight="1" s="98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</row>
    <row r="981" ht="15.75" customHeight="1" s="98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</row>
    <row r="982" ht="15.75" customHeight="1" s="98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</row>
    <row r="983" ht="15.75" customHeight="1" s="98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</row>
    <row r="984" ht="15.75" customHeight="1" s="98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</row>
    <row r="985" ht="15.75" customHeight="1" s="98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</row>
    <row r="986" ht="15.75" customHeight="1" s="98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</row>
    <row r="987" ht="15.75" customHeight="1" s="98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</row>
    <row r="988" ht="15.75" customHeight="1" s="9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</row>
    <row r="989" ht="15.75" customHeight="1" s="98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</row>
    <row r="990" ht="15.75" customHeight="1" s="98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</row>
    <row r="991" ht="15.75" customHeight="1" s="98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</row>
    <row r="992" ht="15.75" customHeight="1" s="98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</row>
    <row r="993" ht="15.75" customHeight="1" s="98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</row>
    <row r="994" ht="15.75" customHeight="1" s="98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</row>
    <row r="995" ht="15.75" customHeight="1" s="98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</row>
    <row r="996" ht="15.75" customHeight="1" s="98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</row>
    <row r="997" ht="15.75" customHeight="1" s="98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</row>
    <row r="998" ht="15.75" customHeight="1" s="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</row>
    <row r="999" ht="15.75" customHeight="1" s="98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</row>
    <row r="1000" ht="15.75" customHeight="1" s="98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</row>
  </sheetData>
  <mergeCells count="3">
    <mergeCell ref="B1:E1"/>
    <mergeCell ref="J1:M1"/>
    <mergeCell ref="F1:I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2026-10-04T21:42:41Z</dcterms:created>
  <dcterms:modified xsi:type="dcterms:W3CDTF">2026-10-04T21:42:42Z</dcterms:modified>
</cp:coreProperties>
</file>